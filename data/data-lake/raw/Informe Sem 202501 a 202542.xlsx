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6fa2a2f52fb053d6/Estudios/Proyectos Para GitHub/data-lake/raw/"/>
    </mc:Choice>
  </mc:AlternateContent>
  <xr:revisionPtr revIDLastSave="1" documentId="11_7267AD92FA4B12FC5FA776BEF9B9C5DF7EFFBD95" xr6:coauthVersionLast="45" xr6:coauthVersionMax="45" xr10:uidLastSave="{E19CE6C9-3356-4002-97F9-D1E9F7DF4AC1}"/>
  <bookViews>
    <workbookView xWindow="-108" yWindow="-108" windowWidth="23256" windowHeight="12456" firstSheet="33" activeTab="41" xr2:uid="{00000000-000D-0000-FFFF-FFFF00000000}"/>
  </bookViews>
  <sheets>
    <sheet name="202501" sheetId="43" r:id="rId1"/>
    <sheet name="202502" sheetId="42" r:id="rId2"/>
    <sheet name="202503" sheetId="41" r:id="rId3"/>
    <sheet name="202504" sheetId="40" r:id="rId4"/>
    <sheet name="202505" sheetId="39" r:id="rId5"/>
    <sheet name="202506" sheetId="38" r:id="rId6"/>
    <sheet name="202507" sheetId="37" r:id="rId7"/>
    <sheet name="202508" sheetId="36" r:id="rId8"/>
    <sheet name="202509" sheetId="35" r:id="rId9"/>
    <sheet name="202510" sheetId="34" r:id="rId10"/>
    <sheet name="202511" sheetId="33" r:id="rId11"/>
    <sheet name="202512" sheetId="32" r:id="rId12"/>
    <sheet name="202513" sheetId="31" r:id="rId13"/>
    <sheet name="202514" sheetId="30" r:id="rId14"/>
    <sheet name="202515" sheetId="29" r:id="rId15"/>
    <sheet name="202516" sheetId="28" r:id="rId16"/>
    <sheet name="202517" sheetId="27" r:id="rId17"/>
    <sheet name="202518" sheetId="26" r:id="rId18"/>
    <sheet name="202519" sheetId="25" r:id="rId19"/>
    <sheet name="202520" sheetId="24" r:id="rId20"/>
    <sheet name="202521" sheetId="23" r:id="rId21"/>
    <sheet name="202522" sheetId="22" r:id="rId22"/>
    <sheet name="202523" sheetId="21" r:id="rId23"/>
    <sheet name="202524" sheetId="20" r:id="rId24"/>
    <sheet name="202525" sheetId="19" r:id="rId25"/>
    <sheet name="202526" sheetId="18" r:id="rId26"/>
    <sheet name="202527" sheetId="17" r:id="rId27"/>
    <sheet name="202528" sheetId="16" r:id="rId28"/>
    <sheet name="202529" sheetId="15" r:id="rId29"/>
    <sheet name="202530" sheetId="14" r:id="rId30"/>
    <sheet name="202531" sheetId="13" r:id="rId31"/>
    <sheet name="202532" sheetId="12" r:id="rId32"/>
    <sheet name="202533" sheetId="11" r:id="rId33"/>
    <sheet name="202534" sheetId="10" r:id="rId34"/>
    <sheet name="202535" sheetId="9" r:id="rId35"/>
    <sheet name="202536" sheetId="8" r:id="rId36"/>
    <sheet name="202537" sheetId="7" r:id="rId37"/>
    <sheet name="202538" sheetId="6" r:id="rId38"/>
    <sheet name="202539" sheetId="5" r:id="rId39"/>
    <sheet name="202540" sheetId="4" r:id="rId40"/>
    <sheet name="202541" sheetId="3" r:id="rId41"/>
    <sheet name="202542" sheetId="2" r:id="rId42"/>
    <sheet name="Resumen Anual" sheetId="44" r:id="rId4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" i="2" l="1"/>
  <c r="AN136" i="44" l="1"/>
  <c r="AM136" i="44"/>
  <c r="AL136" i="44"/>
  <c r="AK136" i="44"/>
  <c r="AJ136" i="44"/>
  <c r="AI136" i="44"/>
  <c r="AH136" i="44"/>
  <c r="AG136" i="44"/>
  <c r="U136" i="44"/>
  <c r="V136" i="44" s="1"/>
  <c r="R136" i="44"/>
  <c r="S136" i="44" s="1"/>
  <c r="J136" i="44"/>
  <c r="T136" i="44" s="1"/>
  <c r="H136" i="44"/>
  <c r="G136" i="44"/>
  <c r="F136" i="44"/>
  <c r="E136" i="44"/>
  <c r="Q136" i="44" s="1"/>
  <c r="D136" i="44"/>
  <c r="AD135" i="44"/>
  <c r="AB135" i="44"/>
  <c r="V135" i="44"/>
  <c r="W135" i="44" s="1"/>
  <c r="T135" i="44"/>
  <c r="S135" i="44"/>
  <c r="Y135" i="44" s="1"/>
  <c r="Z135" i="44" s="1"/>
  <c r="K135" i="44"/>
  <c r="N135" i="44" s="1"/>
  <c r="H135" i="44"/>
  <c r="AD134" i="44"/>
  <c r="AB134" i="44"/>
  <c r="V134" i="44"/>
  <c r="W134" i="44" s="1"/>
  <c r="T134" i="44"/>
  <c r="S134" i="44"/>
  <c r="Y134" i="44" s="1"/>
  <c r="Z134" i="44" s="1"/>
  <c r="K134" i="44"/>
  <c r="N134" i="44" s="1"/>
  <c r="H134" i="44"/>
  <c r="AD133" i="44"/>
  <c r="AB133" i="44"/>
  <c r="V133" i="44"/>
  <c r="W133" i="44" s="1"/>
  <c r="T133" i="44"/>
  <c r="S133" i="44"/>
  <c r="Y133" i="44" s="1"/>
  <c r="Z133" i="44" s="1"/>
  <c r="K133" i="44"/>
  <c r="N133" i="44" s="1"/>
  <c r="H133" i="44"/>
  <c r="AD132" i="44"/>
  <c r="AB132" i="44"/>
  <c r="W132" i="44"/>
  <c r="V132" i="44"/>
  <c r="T132" i="44"/>
  <c r="S132" i="44"/>
  <c r="Y132" i="44" s="1"/>
  <c r="Z132" i="44" s="1"/>
  <c r="K132" i="44"/>
  <c r="N132" i="44" s="1"/>
  <c r="H132" i="44"/>
  <c r="AD131" i="44"/>
  <c r="AB131" i="44"/>
  <c r="W131" i="44"/>
  <c r="V131" i="44"/>
  <c r="T131" i="44"/>
  <c r="S131" i="44"/>
  <c r="Y131" i="44" s="1"/>
  <c r="Z131" i="44" s="1"/>
  <c r="K131" i="44"/>
  <c r="N131" i="44" s="1"/>
  <c r="H131" i="44"/>
  <c r="AD130" i="44"/>
  <c r="AB130" i="44"/>
  <c r="W130" i="44"/>
  <c r="V130" i="44"/>
  <c r="T130" i="44"/>
  <c r="S130" i="44"/>
  <c r="K130" i="44"/>
  <c r="Y130" i="44" s="1"/>
  <c r="Z130" i="44" s="1"/>
  <c r="H130" i="44"/>
  <c r="AD129" i="44"/>
  <c r="AB129" i="44"/>
  <c r="Y129" i="44"/>
  <c r="Z129" i="44" s="1"/>
  <c r="V129" i="44"/>
  <c r="T129" i="44"/>
  <c r="S129" i="44"/>
  <c r="W129" i="44" s="1"/>
  <c r="K129" i="44"/>
  <c r="N129" i="44" s="1"/>
  <c r="H129" i="44"/>
  <c r="AD128" i="44"/>
  <c r="AB128" i="44"/>
  <c r="Y128" i="44"/>
  <c r="Z128" i="44" s="1"/>
  <c r="W128" i="44"/>
  <c r="V128" i="44"/>
  <c r="T128" i="44"/>
  <c r="S128" i="44"/>
  <c r="N128" i="44"/>
  <c r="K128" i="44"/>
  <c r="H128" i="44"/>
  <c r="AD127" i="44"/>
  <c r="AB127" i="44"/>
  <c r="Y127" i="44"/>
  <c r="Z127" i="44" s="1"/>
  <c r="V127" i="44"/>
  <c r="W127" i="44" s="1"/>
  <c r="T127" i="44"/>
  <c r="S127" i="44"/>
  <c r="N127" i="44"/>
  <c r="K127" i="44"/>
  <c r="H127" i="44"/>
  <c r="AD126" i="44"/>
  <c r="AB126" i="44"/>
  <c r="V126" i="44"/>
  <c r="W126" i="44" s="1"/>
  <c r="T126" i="44"/>
  <c r="S126" i="44"/>
  <c r="Y126" i="44" s="1"/>
  <c r="Z126" i="44" s="1"/>
  <c r="N126" i="44"/>
  <c r="K126" i="44"/>
  <c r="H126" i="44"/>
  <c r="AD125" i="44"/>
  <c r="AB125" i="44"/>
  <c r="V125" i="44"/>
  <c r="W125" i="44" s="1"/>
  <c r="T125" i="44"/>
  <c r="S125" i="44"/>
  <c r="Y125" i="44" s="1"/>
  <c r="Z125" i="44" s="1"/>
  <c r="N125" i="44"/>
  <c r="K125" i="44"/>
  <c r="H125" i="44"/>
  <c r="AD124" i="44"/>
  <c r="AB124" i="44"/>
  <c r="W124" i="44"/>
  <c r="V124" i="44"/>
  <c r="T124" i="44"/>
  <c r="S124" i="44"/>
  <c r="Y124" i="44" s="1"/>
  <c r="Z124" i="44" s="1"/>
  <c r="N124" i="44"/>
  <c r="K124" i="44"/>
  <c r="H124" i="44"/>
  <c r="AD123" i="44"/>
  <c r="AB123" i="44"/>
  <c r="W123" i="44"/>
  <c r="V123" i="44"/>
  <c r="T123" i="44"/>
  <c r="S123" i="44"/>
  <c r="Y123" i="44" s="1"/>
  <c r="Z123" i="44" s="1"/>
  <c r="K123" i="44"/>
  <c r="N123" i="44" s="1"/>
  <c r="H123" i="44"/>
  <c r="AD122" i="44"/>
  <c r="AB122" i="44"/>
  <c r="W122" i="44"/>
  <c r="V122" i="44"/>
  <c r="T122" i="44"/>
  <c r="S122" i="44"/>
  <c r="Y122" i="44" s="1"/>
  <c r="Z122" i="44" s="1"/>
  <c r="K122" i="44"/>
  <c r="N122" i="44" s="1"/>
  <c r="H122" i="44"/>
  <c r="AD121" i="44"/>
  <c r="AB121" i="44"/>
  <c r="Y121" i="44"/>
  <c r="Z121" i="44" s="1"/>
  <c r="V121" i="44"/>
  <c r="T121" i="44"/>
  <c r="S121" i="44"/>
  <c r="W121" i="44" s="1"/>
  <c r="K121" i="44"/>
  <c r="N121" i="44" s="1"/>
  <c r="H121" i="44"/>
  <c r="AD120" i="44"/>
  <c r="AB120" i="44"/>
  <c r="Y120" i="44"/>
  <c r="Z120" i="44" s="1"/>
  <c r="W120" i="44"/>
  <c r="V120" i="44"/>
  <c r="T120" i="44"/>
  <c r="S120" i="44"/>
  <c r="N120" i="44"/>
  <c r="K120" i="44"/>
  <c r="H120" i="44"/>
  <c r="AD119" i="44"/>
  <c r="AB119" i="44"/>
  <c r="Y119" i="44"/>
  <c r="Z119" i="44" s="1"/>
  <c r="V119" i="44"/>
  <c r="W119" i="44" s="1"/>
  <c r="T119" i="44"/>
  <c r="S119" i="44"/>
  <c r="N119" i="44"/>
  <c r="K119" i="44"/>
  <c r="H119" i="44"/>
  <c r="AD118" i="44"/>
  <c r="AB118" i="44"/>
  <c r="V118" i="44"/>
  <c r="W118" i="44" s="1"/>
  <c r="T118" i="44"/>
  <c r="S118" i="44"/>
  <c r="Y118" i="44" s="1"/>
  <c r="Z118" i="44" s="1"/>
  <c r="N118" i="44"/>
  <c r="K118" i="44"/>
  <c r="H118" i="44"/>
  <c r="AD117" i="44"/>
  <c r="AB117" i="44"/>
  <c r="V117" i="44"/>
  <c r="W117" i="44" s="1"/>
  <c r="T117" i="44"/>
  <c r="S117" i="44"/>
  <c r="Y117" i="44" s="1"/>
  <c r="Z117" i="44" s="1"/>
  <c r="N117" i="44"/>
  <c r="K117" i="44"/>
  <c r="H117" i="44"/>
  <c r="AD116" i="44"/>
  <c r="AB116" i="44"/>
  <c r="W116" i="44"/>
  <c r="V116" i="44"/>
  <c r="T116" i="44"/>
  <c r="S116" i="44"/>
  <c r="Y116" i="44" s="1"/>
  <c r="Z116" i="44" s="1"/>
  <c r="K116" i="44"/>
  <c r="N116" i="44" s="1"/>
  <c r="H116" i="44"/>
  <c r="AD115" i="44"/>
  <c r="AB115" i="44"/>
  <c r="W115" i="44"/>
  <c r="V115" i="44"/>
  <c r="T115" i="44"/>
  <c r="S115" i="44"/>
  <c r="Y115" i="44" s="1"/>
  <c r="Z115" i="44" s="1"/>
  <c r="K115" i="44"/>
  <c r="N115" i="44" s="1"/>
  <c r="H115" i="44"/>
  <c r="AD114" i="44"/>
  <c r="AB114" i="44"/>
  <c r="W114" i="44"/>
  <c r="V114" i="44"/>
  <c r="T114" i="44"/>
  <c r="S114" i="44"/>
  <c r="K114" i="44"/>
  <c r="Y114" i="44" s="1"/>
  <c r="Z114" i="44" s="1"/>
  <c r="H114" i="44"/>
  <c r="AD113" i="44"/>
  <c r="AB113" i="44"/>
  <c r="Y113" i="44"/>
  <c r="Z113" i="44" s="1"/>
  <c r="V113" i="44"/>
  <c r="T113" i="44"/>
  <c r="S113" i="44"/>
  <c r="W113" i="44" s="1"/>
  <c r="K113" i="44"/>
  <c r="N113" i="44" s="1"/>
  <c r="H113" i="44"/>
  <c r="AD112" i="44"/>
  <c r="AB112" i="44"/>
  <c r="Y112" i="44"/>
  <c r="Z112" i="44" s="1"/>
  <c r="W112" i="44"/>
  <c r="V112" i="44"/>
  <c r="T112" i="44"/>
  <c r="S112" i="44"/>
  <c r="N112" i="44"/>
  <c r="K112" i="44"/>
  <c r="H112" i="44"/>
  <c r="AD111" i="44"/>
  <c r="AB111" i="44"/>
  <c r="Y111" i="44"/>
  <c r="Z111" i="44" s="1"/>
  <c r="V111" i="44"/>
  <c r="W111" i="44" s="1"/>
  <c r="T111" i="44"/>
  <c r="S111" i="44"/>
  <c r="N111" i="44"/>
  <c r="K111" i="44"/>
  <c r="H111" i="44"/>
  <c r="AD110" i="44"/>
  <c r="AB110" i="44"/>
  <c r="V110" i="44"/>
  <c r="W110" i="44" s="1"/>
  <c r="T110" i="44"/>
  <c r="S110" i="44"/>
  <c r="Y110" i="44" s="1"/>
  <c r="Z110" i="44" s="1"/>
  <c r="N110" i="44"/>
  <c r="K110" i="44"/>
  <c r="H110" i="44"/>
  <c r="AD109" i="44"/>
  <c r="AB109" i="44"/>
  <c r="V109" i="44"/>
  <c r="W109" i="44" s="1"/>
  <c r="T109" i="44"/>
  <c r="S109" i="44"/>
  <c r="Y109" i="44" s="1"/>
  <c r="Z109" i="44" s="1"/>
  <c r="N109" i="44"/>
  <c r="K109" i="44"/>
  <c r="H109" i="44"/>
  <c r="AD108" i="44"/>
  <c r="AB108" i="44"/>
  <c r="W108" i="44"/>
  <c r="V108" i="44"/>
  <c r="T108" i="44"/>
  <c r="S108" i="44"/>
  <c r="Y108" i="44" s="1"/>
  <c r="Z108" i="44" s="1"/>
  <c r="N108" i="44"/>
  <c r="K108" i="44"/>
  <c r="H108" i="44"/>
  <c r="AD107" i="44"/>
  <c r="AB107" i="44"/>
  <c r="W107" i="44"/>
  <c r="V107" i="44"/>
  <c r="T107" i="44"/>
  <c r="S107" i="44"/>
  <c r="Y107" i="44" s="1"/>
  <c r="Z107" i="44" s="1"/>
  <c r="K107" i="44"/>
  <c r="N107" i="44" s="1"/>
  <c r="H107" i="44"/>
  <c r="AD106" i="44"/>
  <c r="AB106" i="44"/>
  <c r="W106" i="44"/>
  <c r="V106" i="44"/>
  <c r="T106" i="44"/>
  <c r="S106" i="44"/>
  <c r="K106" i="44"/>
  <c r="Y106" i="44" s="1"/>
  <c r="Z106" i="44" s="1"/>
  <c r="H106" i="44"/>
  <c r="AD105" i="44"/>
  <c r="AB105" i="44"/>
  <c r="Y105" i="44"/>
  <c r="Z105" i="44" s="1"/>
  <c r="V105" i="44"/>
  <c r="T105" i="44"/>
  <c r="S105" i="44"/>
  <c r="W105" i="44" s="1"/>
  <c r="K105" i="44"/>
  <c r="N105" i="44" s="1"/>
  <c r="H105" i="44"/>
  <c r="AD104" i="44"/>
  <c r="AB104" i="44"/>
  <c r="Y104" i="44"/>
  <c r="Z104" i="44" s="1"/>
  <c r="W104" i="44"/>
  <c r="V104" i="44"/>
  <c r="T104" i="44"/>
  <c r="S104" i="44"/>
  <c r="N104" i="44"/>
  <c r="K104" i="44"/>
  <c r="H104" i="44"/>
  <c r="AD103" i="44"/>
  <c r="AB103" i="44"/>
  <c r="Y103" i="44"/>
  <c r="Z103" i="44" s="1"/>
  <c r="V103" i="44"/>
  <c r="W103" i="44" s="1"/>
  <c r="T103" i="44"/>
  <c r="S103" i="44"/>
  <c r="N103" i="44"/>
  <c r="K103" i="44"/>
  <c r="H103" i="44"/>
  <c r="AD102" i="44"/>
  <c r="AB102" i="44"/>
  <c r="V102" i="44"/>
  <c r="W102" i="44" s="1"/>
  <c r="T102" i="44"/>
  <c r="S102" i="44"/>
  <c r="Y102" i="44" s="1"/>
  <c r="Z102" i="44" s="1"/>
  <c r="N102" i="44"/>
  <c r="K102" i="44"/>
  <c r="H102" i="44"/>
  <c r="AD101" i="44"/>
  <c r="AB101" i="44"/>
  <c r="V101" i="44"/>
  <c r="W101" i="44" s="1"/>
  <c r="T101" i="44"/>
  <c r="S101" i="44"/>
  <c r="Y101" i="44" s="1"/>
  <c r="Z101" i="44" s="1"/>
  <c r="N101" i="44"/>
  <c r="K101" i="44"/>
  <c r="H101" i="44"/>
  <c r="AD100" i="44"/>
  <c r="AB100" i="44"/>
  <c r="W100" i="44"/>
  <c r="V100" i="44"/>
  <c r="T100" i="44"/>
  <c r="S100" i="44"/>
  <c r="Y100" i="44" s="1"/>
  <c r="Z100" i="44" s="1"/>
  <c r="N100" i="44"/>
  <c r="K100" i="44"/>
  <c r="H100" i="44"/>
  <c r="AD99" i="44"/>
  <c r="AB99" i="44"/>
  <c r="W99" i="44"/>
  <c r="V99" i="44"/>
  <c r="T99" i="44"/>
  <c r="S99" i="44"/>
  <c r="Y99" i="44" s="1"/>
  <c r="Z99" i="44" s="1"/>
  <c r="K99" i="44"/>
  <c r="N99" i="44" s="1"/>
  <c r="H99" i="44"/>
  <c r="AD98" i="44"/>
  <c r="AB98" i="44"/>
  <c r="W98" i="44"/>
  <c r="V98" i="44"/>
  <c r="T98" i="44"/>
  <c r="S98" i="44"/>
  <c r="Y98" i="44" s="1"/>
  <c r="Z98" i="44" s="1"/>
  <c r="K98" i="44"/>
  <c r="N98" i="44" s="1"/>
  <c r="H98" i="44"/>
  <c r="AD97" i="44"/>
  <c r="AB97" i="44"/>
  <c r="Y97" i="44"/>
  <c r="Z97" i="44" s="1"/>
  <c r="V97" i="44"/>
  <c r="T97" i="44"/>
  <c r="S97" i="44"/>
  <c r="W97" i="44" s="1"/>
  <c r="K97" i="44"/>
  <c r="N97" i="44" s="1"/>
  <c r="H97" i="44"/>
  <c r="AD96" i="44"/>
  <c r="AB96" i="44"/>
  <c r="Y96" i="44"/>
  <c r="Z96" i="44" s="1"/>
  <c r="W96" i="44"/>
  <c r="V96" i="44"/>
  <c r="T96" i="44"/>
  <c r="S96" i="44"/>
  <c r="N96" i="44"/>
  <c r="K96" i="44"/>
  <c r="H96" i="44"/>
  <c r="AD95" i="44"/>
  <c r="AB95" i="44"/>
  <c r="Y95" i="44"/>
  <c r="Z95" i="44" s="1"/>
  <c r="V95" i="44"/>
  <c r="W95" i="44" s="1"/>
  <c r="T95" i="44"/>
  <c r="S95" i="44"/>
  <c r="N95" i="44"/>
  <c r="K95" i="44"/>
  <c r="H95" i="44"/>
  <c r="AD94" i="44"/>
  <c r="AD136" i="44" s="1"/>
  <c r="AB94" i="44"/>
  <c r="AB136" i="44" s="1"/>
  <c r="V94" i="44"/>
  <c r="W94" i="44" s="1"/>
  <c r="T94" i="44"/>
  <c r="S94" i="44"/>
  <c r="Y94" i="44" s="1"/>
  <c r="Z94" i="44" s="1"/>
  <c r="N94" i="44"/>
  <c r="K94" i="44"/>
  <c r="H94" i="44"/>
  <c r="AN92" i="44"/>
  <c r="AM92" i="44"/>
  <c r="AL92" i="44"/>
  <c r="AK92" i="44"/>
  <c r="AJ92" i="44"/>
  <c r="AI92" i="44"/>
  <c r="AH92" i="44"/>
  <c r="AG92" i="44"/>
  <c r="U92" i="44"/>
  <c r="V92" i="44" s="1"/>
  <c r="R92" i="44"/>
  <c r="X92" i="44" s="1"/>
  <c r="M92" i="44"/>
  <c r="J92" i="44"/>
  <c r="T92" i="44" s="1"/>
  <c r="G92" i="44"/>
  <c r="F92" i="44"/>
  <c r="E92" i="44"/>
  <c r="Q92" i="44" s="1"/>
  <c r="D92" i="44"/>
  <c r="AD91" i="44"/>
  <c r="AB91" i="44"/>
  <c r="Z91" i="44"/>
  <c r="Y91" i="44"/>
  <c r="V91" i="44"/>
  <c r="W91" i="44" s="1"/>
  <c r="T91" i="44"/>
  <c r="S91" i="44"/>
  <c r="N91" i="44"/>
  <c r="K91" i="44"/>
  <c r="H91" i="44"/>
  <c r="AD90" i="44"/>
  <c r="AB90" i="44"/>
  <c r="Y90" i="44"/>
  <c r="Z90" i="44" s="1"/>
  <c r="V90" i="44"/>
  <c r="W90" i="44" s="1"/>
  <c r="T90" i="44"/>
  <c r="S90" i="44"/>
  <c r="N90" i="44"/>
  <c r="K90" i="44"/>
  <c r="H90" i="44"/>
  <c r="AD89" i="44"/>
  <c r="AB89" i="44"/>
  <c r="V89" i="44"/>
  <c r="T89" i="44"/>
  <c r="S89" i="44"/>
  <c r="Y89" i="44" s="1"/>
  <c r="Z89" i="44" s="1"/>
  <c r="N89" i="44"/>
  <c r="K89" i="44"/>
  <c r="H89" i="44"/>
  <c r="AD88" i="44"/>
  <c r="AB88" i="44"/>
  <c r="V88" i="44"/>
  <c r="W88" i="44" s="1"/>
  <c r="T88" i="44"/>
  <c r="S88" i="44"/>
  <c r="Y88" i="44" s="1"/>
  <c r="Z88" i="44" s="1"/>
  <c r="K88" i="44"/>
  <c r="N88" i="44" s="1"/>
  <c r="H88" i="44"/>
  <c r="AD87" i="44"/>
  <c r="AB87" i="44"/>
  <c r="W87" i="44"/>
  <c r="V87" i="44"/>
  <c r="T87" i="44"/>
  <c r="S87" i="44"/>
  <c r="Y87" i="44" s="1"/>
  <c r="Z87" i="44" s="1"/>
  <c r="K87" i="44"/>
  <c r="N87" i="44" s="1"/>
  <c r="H87" i="44"/>
  <c r="AD86" i="44"/>
  <c r="AB86" i="44"/>
  <c r="V86" i="44"/>
  <c r="T86" i="44"/>
  <c r="S86" i="44"/>
  <c r="Y86" i="44" s="1"/>
  <c r="Z86" i="44" s="1"/>
  <c r="K86" i="44"/>
  <c r="N86" i="44" s="1"/>
  <c r="H86" i="44"/>
  <c r="AD85" i="44"/>
  <c r="AB85" i="44"/>
  <c r="Y85" i="44"/>
  <c r="Z85" i="44" s="1"/>
  <c r="W85" i="44"/>
  <c r="V85" i="44"/>
  <c r="T85" i="44"/>
  <c r="S85" i="44"/>
  <c r="K85" i="44"/>
  <c r="N85" i="44" s="1"/>
  <c r="H85" i="44"/>
  <c r="AD84" i="44"/>
  <c r="AB84" i="44"/>
  <c r="Y84" i="44"/>
  <c r="Z84" i="44" s="1"/>
  <c r="V84" i="44"/>
  <c r="W84" i="44" s="1"/>
  <c r="T84" i="44"/>
  <c r="S84" i="44"/>
  <c r="K84" i="44"/>
  <c r="N84" i="44" s="1"/>
  <c r="H84" i="44"/>
  <c r="AD83" i="44"/>
  <c r="AB83" i="44"/>
  <c r="Y83" i="44"/>
  <c r="Z83" i="44" s="1"/>
  <c r="V83" i="44"/>
  <c r="W83" i="44" s="1"/>
  <c r="T83" i="44"/>
  <c r="S83" i="44"/>
  <c r="N83" i="44"/>
  <c r="K83" i="44"/>
  <c r="H83" i="44"/>
  <c r="AD82" i="44"/>
  <c r="AB82" i="44"/>
  <c r="Y82" i="44"/>
  <c r="Z82" i="44" s="1"/>
  <c r="V82" i="44"/>
  <c r="W82" i="44" s="1"/>
  <c r="T82" i="44"/>
  <c r="S82" i="44"/>
  <c r="N82" i="44"/>
  <c r="K82" i="44"/>
  <c r="H82" i="44"/>
  <c r="AD81" i="44"/>
  <c r="AB81" i="44"/>
  <c r="V81" i="44"/>
  <c r="W81" i="44" s="1"/>
  <c r="T81" i="44"/>
  <c r="S81" i="44"/>
  <c r="Y81" i="44" s="1"/>
  <c r="Z81" i="44" s="1"/>
  <c r="N81" i="44"/>
  <c r="K81" i="44"/>
  <c r="H81" i="44"/>
  <c r="AD80" i="44"/>
  <c r="AB80" i="44"/>
  <c r="V80" i="44"/>
  <c r="W80" i="44" s="1"/>
  <c r="T80" i="44"/>
  <c r="S80" i="44"/>
  <c r="Y80" i="44" s="1"/>
  <c r="Z80" i="44" s="1"/>
  <c r="K80" i="44"/>
  <c r="N80" i="44" s="1"/>
  <c r="H80" i="44"/>
  <c r="AD79" i="44"/>
  <c r="AB79" i="44"/>
  <c r="W79" i="44"/>
  <c r="V79" i="44"/>
  <c r="T79" i="44"/>
  <c r="S79" i="44"/>
  <c r="Y79" i="44" s="1"/>
  <c r="Z79" i="44" s="1"/>
  <c r="K79" i="44"/>
  <c r="N79" i="44" s="1"/>
  <c r="H79" i="44"/>
  <c r="AD78" i="44"/>
  <c r="AB78" i="44"/>
  <c r="V78" i="44"/>
  <c r="T78" i="44"/>
  <c r="S78" i="44"/>
  <c r="Y78" i="44" s="1"/>
  <c r="Z78" i="44" s="1"/>
  <c r="K78" i="44"/>
  <c r="N78" i="44" s="1"/>
  <c r="H78" i="44"/>
  <c r="AD77" i="44"/>
  <c r="AB77" i="44"/>
  <c r="Y77" i="44"/>
  <c r="Z77" i="44" s="1"/>
  <c r="W77" i="44"/>
  <c r="V77" i="44"/>
  <c r="T77" i="44"/>
  <c r="S77" i="44"/>
  <c r="K77" i="44"/>
  <c r="N77" i="44" s="1"/>
  <c r="H77" i="44"/>
  <c r="AD76" i="44"/>
  <c r="AB76" i="44"/>
  <c r="Y76" i="44"/>
  <c r="Z76" i="44" s="1"/>
  <c r="V76" i="44"/>
  <c r="W76" i="44" s="1"/>
  <c r="T76" i="44"/>
  <c r="S76" i="44"/>
  <c r="K76" i="44"/>
  <c r="N76" i="44" s="1"/>
  <c r="H76" i="44"/>
  <c r="AD75" i="44"/>
  <c r="AB75" i="44"/>
  <c r="Y75" i="44"/>
  <c r="Z75" i="44" s="1"/>
  <c r="V75" i="44"/>
  <c r="W75" i="44" s="1"/>
  <c r="T75" i="44"/>
  <c r="S75" i="44"/>
  <c r="N75" i="44"/>
  <c r="K75" i="44"/>
  <c r="H75" i="44"/>
  <c r="AD74" i="44"/>
  <c r="AB74" i="44"/>
  <c r="Y74" i="44"/>
  <c r="Z74" i="44" s="1"/>
  <c r="V74" i="44"/>
  <c r="W74" i="44" s="1"/>
  <c r="T74" i="44"/>
  <c r="S74" i="44"/>
  <c r="N74" i="44"/>
  <c r="K74" i="44"/>
  <c r="H74" i="44"/>
  <c r="AD73" i="44"/>
  <c r="AB73" i="44"/>
  <c r="V73" i="44"/>
  <c r="W73" i="44" s="1"/>
  <c r="T73" i="44"/>
  <c r="S73" i="44"/>
  <c r="Y73" i="44" s="1"/>
  <c r="Z73" i="44" s="1"/>
  <c r="N73" i="44"/>
  <c r="K73" i="44"/>
  <c r="H73" i="44"/>
  <c r="AD72" i="44"/>
  <c r="AB72" i="44"/>
  <c r="V72" i="44"/>
  <c r="W72" i="44" s="1"/>
  <c r="T72" i="44"/>
  <c r="S72" i="44"/>
  <c r="Y72" i="44" s="1"/>
  <c r="Z72" i="44" s="1"/>
  <c r="K72" i="44"/>
  <c r="N72" i="44" s="1"/>
  <c r="H72" i="44"/>
  <c r="AD71" i="44"/>
  <c r="AB71" i="44"/>
  <c r="W71" i="44"/>
  <c r="V71" i="44"/>
  <c r="T71" i="44"/>
  <c r="S71" i="44"/>
  <c r="Y71" i="44" s="1"/>
  <c r="Z71" i="44" s="1"/>
  <c r="K71" i="44"/>
  <c r="N71" i="44" s="1"/>
  <c r="H71" i="44"/>
  <c r="AD70" i="44"/>
  <c r="AB70" i="44"/>
  <c r="V70" i="44"/>
  <c r="T70" i="44"/>
  <c r="S70" i="44"/>
  <c r="Y70" i="44" s="1"/>
  <c r="Z70" i="44" s="1"/>
  <c r="K70" i="44"/>
  <c r="N70" i="44" s="1"/>
  <c r="H70" i="44"/>
  <c r="AD69" i="44"/>
  <c r="AB69" i="44"/>
  <c r="Y69" i="44"/>
  <c r="Z69" i="44" s="1"/>
  <c r="W69" i="44"/>
  <c r="V69" i="44"/>
  <c r="T69" i="44"/>
  <c r="S69" i="44"/>
  <c r="K69" i="44"/>
  <c r="N69" i="44" s="1"/>
  <c r="H69" i="44"/>
  <c r="AD68" i="44"/>
  <c r="AB68" i="44"/>
  <c r="Y68" i="44"/>
  <c r="Z68" i="44" s="1"/>
  <c r="V68" i="44"/>
  <c r="W68" i="44" s="1"/>
  <c r="T68" i="44"/>
  <c r="S68" i="44"/>
  <c r="K68" i="44"/>
  <c r="N68" i="44" s="1"/>
  <c r="H68" i="44"/>
  <c r="AD67" i="44"/>
  <c r="AB67" i="44"/>
  <c r="Y67" i="44"/>
  <c r="Z67" i="44" s="1"/>
  <c r="V67" i="44"/>
  <c r="W67" i="44" s="1"/>
  <c r="T67" i="44"/>
  <c r="S67" i="44"/>
  <c r="N67" i="44"/>
  <c r="K67" i="44"/>
  <c r="H67" i="44"/>
  <c r="AD66" i="44"/>
  <c r="AB66" i="44"/>
  <c r="Y66" i="44"/>
  <c r="Z66" i="44" s="1"/>
  <c r="V66" i="44"/>
  <c r="W66" i="44" s="1"/>
  <c r="T66" i="44"/>
  <c r="S66" i="44"/>
  <c r="N66" i="44"/>
  <c r="K66" i="44"/>
  <c r="H66" i="44"/>
  <c r="AD65" i="44"/>
  <c r="AB65" i="44"/>
  <c r="V65" i="44"/>
  <c r="W65" i="44" s="1"/>
  <c r="T65" i="44"/>
  <c r="S65" i="44"/>
  <c r="Y65" i="44" s="1"/>
  <c r="Z65" i="44" s="1"/>
  <c r="N65" i="44"/>
  <c r="K65" i="44"/>
  <c r="H65" i="44"/>
  <c r="AD64" i="44"/>
  <c r="AB64" i="44"/>
  <c r="V64" i="44"/>
  <c r="W64" i="44" s="1"/>
  <c r="T64" i="44"/>
  <c r="S64" i="44"/>
  <c r="Y64" i="44" s="1"/>
  <c r="Z64" i="44" s="1"/>
  <c r="K64" i="44"/>
  <c r="N64" i="44" s="1"/>
  <c r="H64" i="44"/>
  <c r="AD63" i="44"/>
  <c r="AB63" i="44"/>
  <c r="W63" i="44"/>
  <c r="V63" i="44"/>
  <c r="T63" i="44"/>
  <c r="S63" i="44"/>
  <c r="Y63" i="44" s="1"/>
  <c r="Z63" i="44" s="1"/>
  <c r="K63" i="44"/>
  <c r="N63" i="44" s="1"/>
  <c r="H63" i="44"/>
  <c r="AD62" i="44"/>
  <c r="AB62" i="44"/>
  <c r="V62" i="44"/>
  <c r="T62" i="44"/>
  <c r="S62" i="44"/>
  <c r="Y62" i="44" s="1"/>
  <c r="Z62" i="44" s="1"/>
  <c r="K62" i="44"/>
  <c r="N62" i="44" s="1"/>
  <c r="H62" i="44"/>
  <c r="AD61" i="44"/>
  <c r="AB61" i="44"/>
  <c r="Y61" i="44"/>
  <c r="Z61" i="44" s="1"/>
  <c r="W61" i="44"/>
  <c r="V61" i="44"/>
  <c r="T61" i="44"/>
  <c r="S61" i="44"/>
  <c r="K61" i="44"/>
  <c r="N61" i="44" s="1"/>
  <c r="H61" i="44"/>
  <c r="AD60" i="44"/>
  <c r="AB60" i="44"/>
  <c r="Y60" i="44"/>
  <c r="Z60" i="44" s="1"/>
  <c r="V60" i="44"/>
  <c r="W60" i="44" s="1"/>
  <c r="T60" i="44"/>
  <c r="S60" i="44"/>
  <c r="K60" i="44"/>
  <c r="N60" i="44" s="1"/>
  <c r="H60" i="44"/>
  <c r="AD59" i="44"/>
  <c r="AB59" i="44"/>
  <c r="Y59" i="44"/>
  <c r="Z59" i="44" s="1"/>
  <c r="V59" i="44"/>
  <c r="W59" i="44" s="1"/>
  <c r="T59" i="44"/>
  <c r="S59" i="44"/>
  <c r="N59" i="44"/>
  <c r="K59" i="44"/>
  <c r="H59" i="44"/>
  <c r="AD58" i="44"/>
  <c r="AB58" i="44"/>
  <c r="Y58" i="44"/>
  <c r="Z58" i="44" s="1"/>
  <c r="V58" i="44"/>
  <c r="W58" i="44" s="1"/>
  <c r="T58" i="44"/>
  <c r="S58" i="44"/>
  <c r="N58" i="44"/>
  <c r="K58" i="44"/>
  <c r="H58" i="44"/>
  <c r="AD57" i="44"/>
  <c r="AB57" i="44"/>
  <c r="V57" i="44"/>
  <c r="W57" i="44" s="1"/>
  <c r="T57" i="44"/>
  <c r="S57" i="44"/>
  <c r="Y57" i="44" s="1"/>
  <c r="Z57" i="44" s="1"/>
  <c r="N57" i="44"/>
  <c r="K57" i="44"/>
  <c r="H57" i="44"/>
  <c r="AD56" i="44"/>
  <c r="AB56" i="44"/>
  <c r="V56" i="44"/>
  <c r="W56" i="44" s="1"/>
  <c r="T56" i="44"/>
  <c r="S56" i="44"/>
  <c r="Y56" i="44" s="1"/>
  <c r="Z56" i="44" s="1"/>
  <c r="K56" i="44"/>
  <c r="N56" i="44" s="1"/>
  <c r="H56" i="44"/>
  <c r="AD55" i="44"/>
  <c r="AB55" i="44"/>
  <c r="W55" i="44"/>
  <c r="V55" i="44"/>
  <c r="T55" i="44"/>
  <c r="S55" i="44"/>
  <c r="Y55" i="44" s="1"/>
  <c r="Z55" i="44" s="1"/>
  <c r="K55" i="44"/>
  <c r="N55" i="44" s="1"/>
  <c r="H55" i="44"/>
  <c r="AD54" i="44"/>
  <c r="AB54" i="44"/>
  <c r="V54" i="44"/>
  <c r="T54" i="44"/>
  <c r="S54" i="44"/>
  <c r="Y54" i="44" s="1"/>
  <c r="Z54" i="44" s="1"/>
  <c r="K54" i="44"/>
  <c r="N54" i="44" s="1"/>
  <c r="H54" i="44"/>
  <c r="AD53" i="44"/>
  <c r="AB53" i="44"/>
  <c r="Y53" i="44"/>
  <c r="Z53" i="44" s="1"/>
  <c r="W53" i="44"/>
  <c r="V53" i="44"/>
  <c r="T53" i="44"/>
  <c r="S53" i="44"/>
  <c r="K53" i="44"/>
  <c r="N53" i="44" s="1"/>
  <c r="H53" i="44"/>
  <c r="AD52" i="44"/>
  <c r="AB52" i="44"/>
  <c r="Y52" i="44"/>
  <c r="Z52" i="44" s="1"/>
  <c r="V52" i="44"/>
  <c r="W52" i="44" s="1"/>
  <c r="T52" i="44"/>
  <c r="S52" i="44"/>
  <c r="K52" i="44"/>
  <c r="N52" i="44" s="1"/>
  <c r="H52" i="44"/>
  <c r="AD51" i="44"/>
  <c r="AB51" i="44"/>
  <c r="Y51" i="44"/>
  <c r="Z51" i="44" s="1"/>
  <c r="V51" i="44"/>
  <c r="W51" i="44" s="1"/>
  <c r="T51" i="44"/>
  <c r="S51" i="44"/>
  <c r="N51" i="44"/>
  <c r="K51" i="44"/>
  <c r="H51" i="44"/>
  <c r="AD50" i="44"/>
  <c r="AD92" i="44" s="1"/>
  <c r="AB50" i="44"/>
  <c r="Y50" i="44"/>
  <c r="Z50" i="44" s="1"/>
  <c r="V50" i="44"/>
  <c r="W50" i="44" s="1"/>
  <c r="T50" i="44"/>
  <c r="S50" i="44"/>
  <c r="N50" i="44"/>
  <c r="K50" i="44"/>
  <c r="H50" i="44"/>
  <c r="AN48" i="44"/>
  <c r="AM48" i="44"/>
  <c r="AL48" i="44"/>
  <c r="AK48" i="44"/>
  <c r="AJ48" i="44"/>
  <c r="AI48" i="44"/>
  <c r="AH48" i="44"/>
  <c r="AG48" i="44"/>
  <c r="U48" i="44"/>
  <c r="V48" i="44" s="1"/>
  <c r="R48" i="44"/>
  <c r="T48" i="44" s="1"/>
  <c r="M48" i="44"/>
  <c r="K48" i="44"/>
  <c r="N48" i="44" s="1"/>
  <c r="J48" i="44"/>
  <c r="H48" i="44"/>
  <c r="G48" i="44"/>
  <c r="F48" i="44"/>
  <c r="AB48" i="44" s="1"/>
  <c r="E48" i="44"/>
  <c r="Q48" i="44" s="1"/>
  <c r="D48" i="44"/>
  <c r="AD47" i="44"/>
  <c r="AB47" i="44"/>
  <c r="Y47" i="44"/>
  <c r="Z47" i="44" s="1"/>
  <c r="V47" i="44"/>
  <c r="W47" i="44" s="1"/>
  <c r="T47" i="44"/>
  <c r="S47" i="44"/>
  <c r="K47" i="44"/>
  <c r="N47" i="44" s="1"/>
  <c r="H47" i="44"/>
  <c r="AD46" i="44"/>
  <c r="AB46" i="44"/>
  <c r="Y46" i="44"/>
  <c r="Z46" i="44" s="1"/>
  <c r="V46" i="44"/>
  <c r="W46" i="44" s="1"/>
  <c r="T46" i="44"/>
  <c r="S46" i="44"/>
  <c r="N46" i="44"/>
  <c r="K46" i="44"/>
  <c r="H46" i="44"/>
  <c r="AD45" i="44"/>
  <c r="AB45" i="44"/>
  <c r="Y45" i="44"/>
  <c r="Z45" i="44" s="1"/>
  <c r="V45" i="44"/>
  <c r="W45" i="44" s="1"/>
  <c r="T45" i="44"/>
  <c r="S45" i="44"/>
  <c r="N45" i="44"/>
  <c r="K45" i="44"/>
  <c r="H45" i="44"/>
  <c r="AD44" i="44"/>
  <c r="AB44" i="44"/>
  <c r="V44" i="44"/>
  <c r="W44" i="44" s="1"/>
  <c r="T44" i="44"/>
  <c r="S44" i="44"/>
  <c r="Y44" i="44" s="1"/>
  <c r="Z44" i="44" s="1"/>
  <c r="N44" i="44"/>
  <c r="K44" i="44"/>
  <c r="H44" i="44"/>
  <c r="AD43" i="44"/>
  <c r="AB43" i="44"/>
  <c r="V43" i="44"/>
  <c r="W43" i="44" s="1"/>
  <c r="T43" i="44"/>
  <c r="S43" i="44"/>
  <c r="Y43" i="44" s="1"/>
  <c r="Z43" i="44" s="1"/>
  <c r="K43" i="44"/>
  <c r="N43" i="44" s="1"/>
  <c r="H43" i="44"/>
  <c r="AD42" i="44"/>
  <c r="AB42" i="44"/>
  <c r="W42" i="44"/>
  <c r="V42" i="44"/>
  <c r="T42" i="44"/>
  <c r="S42" i="44"/>
  <c r="Y42" i="44" s="1"/>
  <c r="Z42" i="44" s="1"/>
  <c r="K42" i="44"/>
  <c r="N42" i="44" s="1"/>
  <c r="H42" i="44"/>
  <c r="AD41" i="44"/>
  <c r="AB41" i="44"/>
  <c r="V41" i="44"/>
  <c r="T41" i="44"/>
  <c r="S41" i="44"/>
  <c r="Y41" i="44" s="1"/>
  <c r="Z41" i="44" s="1"/>
  <c r="K41" i="44"/>
  <c r="N41" i="44" s="1"/>
  <c r="H41" i="44"/>
  <c r="AD40" i="44"/>
  <c r="AB40" i="44"/>
  <c r="W40" i="44"/>
  <c r="V40" i="44"/>
  <c r="T40" i="44"/>
  <c r="S40" i="44"/>
  <c r="K40" i="44"/>
  <c r="Y40" i="44" s="1"/>
  <c r="Z40" i="44" s="1"/>
  <c r="H40" i="44"/>
  <c r="AD39" i="44"/>
  <c r="AB39" i="44"/>
  <c r="Y39" i="44"/>
  <c r="Z39" i="44" s="1"/>
  <c r="V39" i="44"/>
  <c r="W39" i="44" s="1"/>
  <c r="T39" i="44"/>
  <c r="S39" i="44"/>
  <c r="K39" i="44"/>
  <c r="N39" i="44" s="1"/>
  <c r="H39" i="44"/>
  <c r="AD38" i="44"/>
  <c r="AB38" i="44"/>
  <c r="Y38" i="44"/>
  <c r="Z38" i="44" s="1"/>
  <c r="V38" i="44"/>
  <c r="W38" i="44" s="1"/>
  <c r="T38" i="44"/>
  <c r="S38" i="44"/>
  <c r="N38" i="44"/>
  <c r="K38" i="44"/>
  <c r="H38" i="44"/>
  <c r="AD37" i="44"/>
  <c r="AB37" i="44"/>
  <c r="Y37" i="44"/>
  <c r="Z37" i="44" s="1"/>
  <c r="V37" i="44"/>
  <c r="W37" i="44" s="1"/>
  <c r="T37" i="44"/>
  <c r="S37" i="44"/>
  <c r="N37" i="44"/>
  <c r="K37" i="44"/>
  <c r="H37" i="44"/>
  <c r="AD36" i="44"/>
  <c r="AB36" i="44"/>
  <c r="V36" i="44"/>
  <c r="W36" i="44" s="1"/>
  <c r="T36" i="44"/>
  <c r="S36" i="44"/>
  <c r="Y36" i="44" s="1"/>
  <c r="Z36" i="44" s="1"/>
  <c r="N36" i="44"/>
  <c r="K36" i="44"/>
  <c r="H36" i="44"/>
  <c r="AD35" i="44"/>
  <c r="AB35" i="44"/>
  <c r="V35" i="44"/>
  <c r="W35" i="44" s="1"/>
  <c r="T35" i="44"/>
  <c r="S35" i="44"/>
  <c r="Y35" i="44" s="1"/>
  <c r="Z35" i="44" s="1"/>
  <c r="K35" i="44"/>
  <c r="N35" i="44" s="1"/>
  <c r="H35" i="44"/>
  <c r="AD34" i="44"/>
  <c r="AB34" i="44"/>
  <c r="W34" i="44"/>
  <c r="V34" i="44"/>
  <c r="T34" i="44"/>
  <c r="S34" i="44"/>
  <c r="Y34" i="44" s="1"/>
  <c r="Z34" i="44" s="1"/>
  <c r="K34" i="44"/>
  <c r="N34" i="44" s="1"/>
  <c r="H34" i="44"/>
  <c r="AD33" i="44"/>
  <c r="AB33" i="44"/>
  <c r="V33" i="44"/>
  <c r="T33" i="44"/>
  <c r="S33" i="44"/>
  <c r="Y33" i="44" s="1"/>
  <c r="Z33" i="44" s="1"/>
  <c r="K33" i="44"/>
  <c r="N33" i="44" s="1"/>
  <c r="H33" i="44"/>
  <c r="AD32" i="44"/>
  <c r="AB32" i="44"/>
  <c r="W32" i="44"/>
  <c r="V32" i="44"/>
  <c r="T32" i="44"/>
  <c r="S32" i="44"/>
  <c r="K32" i="44"/>
  <c r="Y32" i="44" s="1"/>
  <c r="Z32" i="44" s="1"/>
  <c r="H32" i="44"/>
  <c r="AD31" i="44"/>
  <c r="AB31" i="44"/>
  <c r="Y31" i="44"/>
  <c r="Z31" i="44" s="1"/>
  <c r="V31" i="44"/>
  <c r="W31" i="44" s="1"/>
  <c r="T31" i="44"/>
  <c r="S31" i="44"/>
  <c r="K31" i="44"/>
  <c r="N31" i="44" s="1"/>
  <c r="H31" i="44"/>
  <c r="AD30" i="44"/>
  <c r="AB30" i="44"/>
  <c r="Y30" i="44"/>
  <c r="Z30" i="44" s="1"/>
  <c r="V30" i="44"/>
  <c r="W30" i="44" s="1"/>
  <c r="T30" i="44"/>
  <c r="S30" i="44"/>
  <c r="N30" i="44"/>
  <c r="K30" i="44"/>
  <c r="H30" i="44"/>
  <c r="AD29" i="44"/>
  <c r="AB29" i="44"/>
  <c r="Y29" i="44"/>
  <c r="Z29" i="44" s="1"/>
  <c r="V29" i="44"/>
  <c r="W29" i="44" s="1"/>
  <c r="T29" i="44"/>
  <c r="S29" i="44"/>
  <c r="N29" i="44"/>
  <c r="K29" i="44"/>
  <c r="H29" i="44"/>
  <c r="AD28" i="44"/>
  <c r="AB28" i="44"/>
  <c r="V28" i="44"/>
  <c r="W28" i="44" s="1"/>
  <c r="T28" i="44"/>
  <c r="S28" i="44"/>
  <c r="Y28" i="44" s="1"/>
  <c r="Z28" i="44" s="1"/>
  <c r="N28" i="44"/>
  <c r="K28" i="44"/>
  <c r="H28" i="44"/>
  <c r="AD27" i="44"/>
  <c r="AB27" i="44"/>
  <c r="V27" i="44"/>
  <c r="W27" i="44" s="1"/>
  <c r="T27" i="44"/>
  <c r="S27" i="44"/>
  <c r="Y27" i="44" s="1"/>
  <c r="Z27" i="44" s="1"/>
  <c r="K27" i="44"/>
  <c r="N27" i="44" s="1"/>
  <c r="H27" i="44"/>
  <c r="AD26" i="44"/>
  <c r="AB26" i="44"/>
  <c r="W26" i="44"/>
  <c r="V26" i="44"/>
  <c r="T26" i="44"/>
  <c r="S26" i="44"/>
  <c r="Y26" i="44" s="1"/>
  <c r="Z26" i="44" s="1"/>
  <c r="K26" i="44"/>
  <c r="N26" i="44" s="1"/>
  <c r="H26" i="44"/>
  <c r="AD25" i="44"/>
  <c r="AB25" i="44"/>
  <c r="V25" i="44"/>
  <c r="T25" i="44"/>
  <c r="S25" i="44"/>
  <c r="Y25" i="44" s="1"/>
  <c r="Z25" i="44" s="1"/>
  <c r="K25" i="44"/>
  <c r="N25" i="44" s="1"/>
  <c r="H25" i="44"/>
  <c r="AD24" i="44"/>
  <c r="AB24" i="44"/>
  <c r="W24" i="44"/>
  <c r="V24" i="44"/>
  <c r="T24" i="44"/>
  <c r="S24" i="44"/>
  <c r="K24" i="44"/>
  <c r="Y24" i="44" s="1"/>
  <c r="Z24" i="44" s="1"/>
  <c r="H24" i="44"/>
  <c r="AD23" i="44"/>
  <c r="AB23" i="44"/>
  <c r="Y23" i="44"/>
  <c r="Z23" i="44" s="1"/>
  <c r="V23" i="44"/>
  <c r="W23" i="44" s="1"/>
  <c r="T23" i="44"/>
  <c r="S23" i="44"/>
  <c r="K23" i="44"/>
  <c r="N23" i="44" s="1"/>
  <c r="H23" i="44"/>
  <c r="AD22" i="44"/>
  <c r="AB22" i="44"/>
  <c r="Y22" i="44"/>
  <c r="Z22" i="44" s="1"/>
  <c r="V22" i="44"/>
  <c r="W22" i="44" s="1"/>
  <c r="T22" i="44"/>
  <c r="S22" i="44"/>
  <c r="N22" i="44"/>
  <c r="K22" i="44"/>
  <c r="H22" i="44"/>
  <c r="AD21" i="44"/>
  <c r="AB21" i="44"/>
  <c r="Y21" i="44"/>
  <c r="Z21" i="44" s="1"/>
  <c r="V21" i="44"/>
  <c r="W21" i="44" s="1"/>
  <c r="T21" i="44"/>
  <c r="S21" i="44"/>
  <c r="N21" i="44"/>
  <c r="K21" i="44"/>
  <c r="H21" i="44"/>
  <c r="AD20" i="44"/>
  <c r="AB20" i="44"/>
  <c r="V20" i="44"/>
  <c r="W20" i="44" s="1"/>
  <c r="T20" i="44"/>
  <c r="S20" i="44"/>
  <c r="Y20" i="44" s="1"/>
  <c r="Z20" i="44" s="1"/>
  <c r="N20" i="44"/>
  <c r="K20" i="44"/>
  <c r="H20" i="44"/>
  <c r="AD19" i="44"/>
  <c r="AB19" i="44"/>
  <c r="V19" i="44"/>
  <c r="W19" i="44" s="1"/>
  <c r="T19" i="44"/>
  <c r="S19" i="44"/>
  <c r="Y19" i="44" s="1"/>
  <c r="Z19" i="44" s="1"/>
  <c r="K19" i="44"/>
  <c r="N19" i="44" s="1"/>
  <c r="H19" i="44"/>
  <c r="AD18" i="44"/>
  <c r="AB18" i="44"/>
  <c r="W18" i="44"/>
  <c r="V18" i="44"/>
  <c r="T18" i="44"/>
  <c r="S18" i="44"/>
  <c r="Y18" i="44" s="1"/>
  <c r="Z18" i="44" s="1"/>
  <c r="K18" i="44"/>
  <c r="N18" i="44" s="1"/>
  <c r="H18" i="44"/>
  <c r="AD17" i="44"/>
  <c r="AB17" i="44"/>
  <c r="V17" i="44"/>
  <c r="T17" i="44"/>
  <c r="S17" i="44"/>
  <c r="Y17" i="44" s="1"/>
  <c r="Z17" i="44" s="1"/>
  <c r="K17" i="44"/>
  <c r="N17" i="44" s="1"/>
  <c r="H17" i="44"/>
  <c r="AD16" i="44"/>
  <c r="AB16" i="44"/>
  <c r="W16" i="44"/>
  <c r="V16" i="44"/>
  <c r="T16" i="44"/>
  <c r="S16" i="44"/>
  <c r="K16" i="44"/>
  <c r="Y16" i="44" s="1"/>
  <c r="Z16" i="44" s="1"/>
  <c r="H16" i="44"/>
  <c r="AD15" i="44"/>
  <c r="AB15" i="44"/>
  <c r="Y15" i="44"/>
  <c r="Z15" i="44" s="1"/>
  <c r="V15" i="44"/>
  <c r="W15" i="44" s="1"/>
  <c r="T15" i="44"/>
  <c r="S15" i="44"/>
  <c r="K15" i="44"/>
  <c r="N15" i="44" s="1"/>
  <c r="H15" i="44"/>
  <c r="AD14" i="44"/>
  <c r="AB14" i="44"/>
  <c r="Y14" i="44"/>
  <c r="Z14" i="44" s="1"/>
  <c r="V14" i="44"/>
  <c r="W14" i="44" s="1"/>
  <c r="T14" i="44"/>
  <c r="S14" i="44"/>
  <c r="N14" i="44"/>
  <c r="K14" i="44"/>
  <c r="H14" i="44"/>
  <c r="AD13" i="44"/>
  <c r="AB13" i="44"/>
  <c r="Y13" i="44"/>
  <c r="Z13" i="44" s="1"/>
  <c r="V13" i="44"/>
  <c r="W13" i="44" s="1"/>
  <c r="T13" i="44"/>
  <c r="S13" i="44"/>
  <c r="N13" i="44"/>
  <c r="K13" i="44"/>
  <c r="H13" i="44"/>
  <c r="AD12" i="44"/>
  <c r="AB12" i="44"/>
  <c r="V12" i="44"/>
  <c r="W12" i="44" s="1"/>
  <c r="T12" i="44"/>
  <c r="S12" i="44"/>
  <c r="Y12" i="44" s="1"/>
  <c r="Z12" i="44" s="1"/>
  <c r="N12" i="44"/>
  <c r="K12" i="44"/>
  <c r="H12" i="44"/>
  <c r="AD11" i="44"/>
  <c r="AB11" i="44"/>
  <c r="V11" i="44"/>
  <c r="W11" i="44" s="1"/>
  <c r="T11" i="44"/>
  <c r="S11" i="44"/>
  <c r="Y11" i="44" s="1"/>
  <c r="Z11" i="44" s="1"/>
  <c r="K11" i="44"/>
  <c r="N11" i="44" s="1"/>
  <c r="H11" i="44"/>
  <c r="AD10" i="44"/>
  <c r="AB10" i="44"/>
  <c r="W10" i="44"/>
  <c r="V10" i="44"/>
  <c r="T10" i="44"/>
  <c r="S10" i="44"/>
  <c r="Y10" i="44" s="1"/>
  <c r="Z10" i="44" s="1"/>
  <c r="K10" i="44"/>
  <c r="N10" i="44" s="1"/>
  <c r="H10" i="44"/>
  <c r="AD9" i="44"/>
  <c r="AB9" i="44"/>
  <c r="V9" i="44"/>
  <c r="T9" i="44"/>
  <c r="S9" i="44"/>
  <c r="Y9" i="44" s="1"/>
  <c r="Z9" i="44" s="1"/>
  <c r="K9" i="44"/>
  <c r="N9" i="44" s="1"/>
  <c r="H9" i="44"/>
  <c r="AD8" i="44"/>
  <c r="AB8" i="44"/>
  <c r="Y8" i="44"/>
  <c r="Z8" i="44" s="1"/>
  <c r="W8" i="44"/>
  <c r="V8" i="44"/>
  <c r="T8" i="44"/>
  <c r="S8" i="44"/>
  <c r="K8" i="44"/>
  <c r="N8" i="44" s="1"/>
  <c r="H8" i="44"/>
  <c r="AD7" i="44"/>
  <c r="AB7" i="44"/>
  <c r="Y7" i="44"/>
  <c r="Z7" i="44" s="1"/>
  <c r="V7" i="44"/>
  <c r="W7" i="44" s="1"/>
  <c r="T7" i="44"/>
  <c r="S7" i="44"/>
  <c r="N7" i="44"/>
  <c r="K7" i="44"/>
  <c r="H7" i="44"/>
  <c r="AD6" i="44"/>
  <c r="AD48" i="44" s="1"/>
  <c r="AB6" i="44"/>
  <c r="Y6" i="44"/>
  <c r="Z6" i="44" s="1"/>
  <c r="V6" i="44"/>
  <c r="W6" i="44" s="1"/>
  <c r="T6" i="44"/>
  <c r="S6" i="44"/>
  <c r="N6" i="44"/>
  <c r="K6" i="44"/>
  <c r="H6" i="44"/>
  <c r="AA36" i="43"/>
  <c r="Z36" i="43"/>
  <c r="Y36" i="43"/>
  <c r="X36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G36" i="43"/>
  <c r="F36" i="43"/>
  <c r="E36" i="43"/>
  <c r="D36" i="43"/>
  <c r="AN29" i="43"/>
  <c r="AM29" i="43"/>
  <c r="AL29" i="43"/>
  <c r="AK29" i="43"/>
  <c r="AJ29" i="43"/>
  <c r="AI29" i="43"/>
  <c r="AH29" i="43"/>
  <c r="U29" i="43"/>
  <c r="V29" i="43" s="1"/>
  <c r="W29" i="43" s="1"/>
  <c r="R29" i="43"/>
  <c r="S29" i="43" s="1"/>
  <c r="Y29" i="43" s="1"/>
  <c r="K29" i="43"/>
  <c r="N29" i="43" s="1"/>
  <c r="J29" i="43"/>
  <c r="G29" i="43"/>
  <c r="H29" i="43" s="1"/>
  <c r="F29" i="43"/>
  <c r="M29" i="43" s="1"/>
  <c r="E29" i="43"/>
  <c r="P29" i="43" s="1"/>
  <c r="D29" i="43"/>
  <c r="AO28" i="43"/>
  <c r="AD28" i="43"/>
  <c r="AB28" i="43"/>
  <c r="V28" i="43"/>
  <c r="T28" i="43"/>
  <c r="S28" i="43"/>
  <c r="Y28" i="43" s="1"/>
  <c r="Z28" i="43" s="1"/>
  <c r="O28" i="43"/>
  <c r="Q28" i="43" s="1"/>
  <c r="K28" i="43"/>
  <c r="N28" i="43" s="1"/>
  <c r="AG28" i="43" s="1"/>
  <c r="I28" i="43"/>
  <c r="H28" i="43"/>
  <c r="AO27" i="43"/>
  <c r="AG27" i="43"/>
  <c r="AD27" i="43"/>
  <c r="AB27" i="43"/>
  <c r="V27" i="43"/>
  <c r="W27" i="43" s="1"/>
  <c r="T27" i="43"/>
  <c r="S27" i="43"/>
  <c r="Y27" i="43" s="1"/>
  <c r="Z27" i="43" s="1"/>
  <c r="O27" i="43"/>
  <c r="Q27" i="43" s="1"/>
  <c r="N27" i="43"/>
  <c r="L27" i="43"/>
  <c r="K27" i="43"/>
  <c r="I27" i="43"/>
  <c r="H27" i="43"/>
  <c r="AO26" i="43"/>
  <c r="AG26" i="43"/>
  <c r="AD26" i="43"/>
  <c r="AB26" i="43"/>
  <c r="V26" i="43"/>
  <c r="W26" i="43" s="1"/>
  <c r="T26" i="43"/>
  <c r="S26" i="43"/>
  <c r="Y26" i="43" s="1"/>
  <c r="Z26" i="43" s="1"/>
  <c r="Q26" i="43"/>
  <c r="O26" i="43"/>
  <c r="N26" i="43"/>
  <c r="K26" i="43"/>
  <c r="L26" i="43" s="1"/>
  <c r="I26" i="43"/>
  <c r="H26" i="43"/>
  <c r="AO25" i="43"/>
  <c r="AD25" i="43"/>
  <c r="AB25" i="43"/>
  <c r="W25" i="43"/>
  <c r="V25" i="43"/>
  <c r="T25" i="43"/>
  <c r="S25" i="43"/>
  <c r="O25" i="43"/>
  <c r="Q25" i="43" s="1"/>
  <c r="K25" i="43"/>
  <c r="I25" i="43"/>
  <c r="H25" i="43"/>
  <c r="AO24" i="43"/>
  <c r="AD24" i="43"/>
  <c r="AB24" i="43"/>
  <c r="Y24" i="43"/>
  <c r="Z24" i="43" s="1"/>
  <c r="V24" i="43"/>
  <c r="W24" i="43" s="1"/>
  <c r="T24" i="43"/>
  <c r="S24" i="43"/>
  <c r="Q24" i="43"/>
  <c r="O24" i="43"/>
  <c r="L24" i="43"/>
  <c r="K24" i="43"/>
  <c r="N24" i="43" s="1"/>
  <c r="AG24" i="43" s="1"/>
  <c r="I24" i="43"/>
  <c r="H24" i="43"/>
  <c r="AO23" i="43"/>
  <c r="AD23" i="43"/>
  <c r="AB23" i="43"/>
  <c r="W23" i="43"/>
  <c r="V23" i="43"/>
  <c r="T23" i="43"/>
  <c r="S23" i="43"/>
  <c r="Y23" i="43" s="1"/>
  <c r="Z23" i="43" s="1"/>
  <c r="O23" i="43"/>
  <c r="Q23" i="43" s="1"/>
  <c r="N23" i="43"/>
  <c r="AG23" i="43" s="1"/>
  <c r="K23" i="43"/>
  <c r="L23" i="43" s="1"/>
  <c r="I23" i="43"/>
  <c r="H23" i="43"/>
  <c r="AO22" i="43"/>
  <c r="AD22" i="43"/>
  <c r="AB22" i="43"/>
  <c r="Y22" i="43"/>
  <c r="Z22" i="43" s="1"/>
  <c r="V22" i="43"/>
  <c r="W22" i="43" s="1"/>
  <c r="T22" i="43"/>
  <c r="S22" i="43"/>
  <c r="O22" i="43"/>
  <c r="Q22" i="43" s="1"/>
  <c r="L22" i="43"/>
  <c r="K22" i="43"/>
  <c r="N22" i="43" s="1"/>
  <c r="AG22" i="43" s="1"/>
  <c r="I22" i="43"/>
  <c r="H22" i="43"/>
  <c r="AO21" i="43"/>
  <c r="AD21" i="43"/>
  <c r="AB21" i="43"/>
  <c r="Z21" i="43"/>
  <c r="V21" i="43"/>
  <c r="W21" i="43" s="1"/>
  <c r="T21" i="43"/>
  <c r="S21" i="43"/>
  <c r="Q21" i="43"/>
  <c r="O21" i="43"/>
  <c r="N21" i="43"/>
  <c r="AG21" i="43" s="1"/>
  <c r="K21" i="43"/>
  <c r="Y21" i="43" s="1"/>
  <c r="I21" i="43"/>
  <c r="H21" i="43"/>
  <c r="AO20" i="43"/>
  <c r="AD20" i="43"/>
  <c r="AB20" i="43"/>
  <c r="V20" i="43"/>
  <c r="T20" i="43"/>
  <c r="S20" i="43"/>
  <c r="O20" i="43"/>
  <c r="Q20" i="43" s="1"/>
  <c r="K20" i="43"/>
  <c r="I20" i="43"/>
  <c r="H20" i="43"/>
  <c r="AO19" i="43"/>
  <c r="AD19" i="43"/>
  <c r="AB19" i="43"/>
  <c r="W19" i="43"/>
  <c r="V19" i="43"/>
  <c r="T19" i="43"/>
  <c r="S19" i="43"/>
  <c r="Q19" i="43"/>
  <c r="O19" i="43"/>
  <c r="K19" i="43"/>
  <c r="I19" i="43"/>
  <c r="H19" i="43"/>
  <c r="AO18" i="43"/>
  <c r="AD18" i="43"/>
  <c r="AB18" i="43"/>
  <c r="Y18" i="43"/>
  <c r="Z18" i="43" s="1"/>
  <c r="V18" i="43"/>
  <c r="W18" i="43" s="1"/>
  <c r="T18" i="43"/>
  <c r="S18" i="43"/>
  <c r="Q18" i="43"/>
  <c r="O18" i="43"/>
  <c r="N18" i="43"/>
  <c r="AG18" i="43" s="1"/>
  <c r="L18" i="43"/>
  <c r="K18" i="43"/>
  <c r="I18" i="43"/>
  <c r="H18" i="43"/>
  <c r="AO17" i="43"/>
  <c r="AD17" i="43"/>
  <c r="AB17" i="43"/>
  <c r="W17" i="43"/>
  <c r="V17" i="43"/>
  <c r="T17" i="43"/>
  <c r="S17" i="43"/>
  <c r="Y17" i="43" s="1"/>
  <c r="Z17" i="43" s="1"/>
  <c r="Q17" i="43"/>
  <c r="O17" i="43"/>
  <c r="N17" i="43"/>
  <c r="AG17" i="43" s="1"/>
  <c r="K17" i="43"/>
  <c r="L17" i="43" s="1"/>
  <c r="I17" i="43"/>
  <c r="H17" i="43"/>
  <c r="AO16" i="43"/>
  <c r="AD16" i="43"/>
  <c r="AB16" i="43"/>
  <c r="V16" i="43"/>
  <c r="T16" i="43"/>
  <c r="S16" i="43"/>
  <c r="Y16" i="43" s="1"/>
  <c r="Z16" i="43" s="1"/>
  <c r="Q16" i="43"/>
  <c r="O16" i="43"/>
  <c r="K16" i="43"/>
  <c r="N16" i="43" s="1"/>
  <c r="AG16" i="43" s="1"/>
  <c r="I16" i="43"/>
  <c r="H16" i="43"/>
  <c r="AO15" i="43"/>
  <c r="AD15" i="43"/>
  <c r="AB15" i="43"/>
  <c r="V15" i="43"/>
  <c r="T15" i="43"/>
  <c r="S15" i="43"/>
  <c r="Y15" i="43" s="1"/>
  <c r="Z15" i="43" s="1"/>
  <c r="Q15" i="43"/>
  <c r="O15" i="43"/>
  <c r="L15" i="43"/>
  <c r="K15" i="43"/>
  <c r="N15" i="43" s="1"/>
  <c r="AG15" i="43" s="1"/>
  <c r="I15" i="43"/>
  <c r="H15" i="43"/>
  <c r="AO14" i="43"/>
  <c r="AD14" i="43"/>
  <c r="AB14" i="43"/>
  <c r="W14" i="43"/>
  <c r="V14" i="43"/>
  <c r="T14" i="43"/>
  <c r="S14" i="43"/>
  <c r="Q14" i="43"/>
  <c r="O14" i="43"/>
  <c r="K14" i="43"/>
  <c r="I14" i="43"/>
  <c r="H14" i="43"/>
  <c r="AN12" i="43"/>
  <c r="AM12" i="43"/>
  <c r="AL12" i="43"/>
  <c r="AK12" i="43"/>
  <c r="AJ12" i="43"/>
  <c r="AI12" i="43"/>
  <c r="AH12" i="43"/>
  <c r="X12" i="43"/>
  <c r="U12" i="43"/>
  <c r="T12" i="43"/>
  <c r="R12" i="43"/>
  <c r="R31" i="43" s="1"/>
  <c r="O12" i="43"/>
  <c r="M12" i="43"/>
  <c r="J12" i="43"/>
  <c r="J31" i="43" s="1"/>
  <c r="G12" i="43"/>
  <c r="G31" i="43" s="1"/>
  <c r="F12" i="43"/>
  <c r="E12" i="43"/>
  <c r="D12" i="43"/>
  <c r="K12" i="43" s="1"/>
  <c r="AO11" i="43"/>
  <c r="AD11" i="43"/>
  <c r="AB11" i="43"/>
  <c r="W11" i="43"/>
  <c r="V11" i="43"/>
  <c r="T11" i="43"/>
  <c r="S11" i="43"/>
  <c r="Q11" i="43"/>
  <c r="O11" i="43"/>
  <c r="K11" i="43"/>
  <c r="I11" i="43"/>
  <c r="H11" i="43"/>
  <c r="AO10" i="43"/>
  <c r="AD10" i="43"/>
  <c r="AB10" i="43"/>
  <c r="Y10" i="43"/>
  <c r="Z10" i="43" s="1"/>
  <c r="V10" i="43"/>
  <c r="W10" i="43" s="1"/>
  <c r="T10" i="43"/>
  <c r="S10" i="43"/>
  <c r="O10" i="43"/>
  <c r="Q10" i="43" s="1"/>
  <c r="L10" i="43"/>
  <c r="K10" i="43"/>
  <c r="N10" i="43" s="1"/>
  <c r="AG10" i="43" s="1"/>
  <c r="I10" i="43"/>
  <c r="H10" i="43"/>
  <c r="AO9" i="43"/>
  <c r="AD9" i="43"/>
  <c r="AB9" i="43"/>
  <c r="W9" i="43"/>
  <c r="V9" i="43"/>
  <c r="T9" i="43"/>
  <c r="S9" i="43"/>
  <c r="Q9" i="43"/>
  <c r="O9" i="43"/>
  <c r="N9" i="43"/>
  <c r="AG9" i="43" s="1"/>
  <c r="K9" i="43"/>
  <c r="I9" i="43"/>
  <c r="H9" i="43"/>
  <c r="AO8" i="43"/>
  <c r="AG8" i="43"/>
  <c r="AD8" i="43"/>
  <c r="AB8" i="43"/>
  <c r="Y8" i="43"/>
  <c r="Z8" i="43" s="1"/>
  <c r="V8" i="43"/>
  <c r="T8" i="43"/>
  <c r="S8" i="43"/>
  <c r="W8" i="43" s="1"/>
  <c r="O8" i="43"/>
  <c r="Q8" i="43" s="1"/>
  <c r="N8" i="43"/>
  <c r="L8" i="43"/>
  <c r="K8" i="43"/>
  <c r="I8" i="43"/>
  <c r="H8" i="43"/>
  <c r="AO7" i="43"/>
  <c r="AD7" i="43"/>
  <c r="AB7" i="43"/>
  <c r="Z7" i="43"/>
  <c r="Y7" i="43"/>
  <c r="W7" i="43"/>
  <c r="V7" i="43"/>
  <c r="T7" i="43"/>
  <c r="S7" i="43"/>
  <c r="Q7" i="43"/>
  <c r="O7" i="43"/>
  <c r="N7" i="43"/>
  <c r="AG7" i="43" s="1"/>
  <c r="L7" i="43"/>
  <c r="K7" i="43"/>
  <c r="I7" i="43"/>
  <c r="H7" i="43"/>
  <c r="AO6" i="43"/>
  <c r="AG6" i="43"/>
  <c r="AD6" i="43"/>
  <c r="AB6" i="43"/>
  <c r="V6" i="43"/>
  <c r="T6" i="43"/>
  <c r="S6" i="43"/>
  <c r="Y6" i="43" s="1"/>
  <c r="Z6" i="43" s="1"/>
  <c r="O6" i="43"/>
  <c r="Q6" i="43" s="1"/>
  <c r="N6" i="43"/>
  <c r="L6" i="43"/>
  <c r="K6" i="43"/>
  <c r="I6" i="43"/>
  <c r="H6" i="43"/>
  <c r="AA37" i="42"/>
  <c r="Z37" i="42"/>
  <c r="Y37" i="42"/>
  <c r="X37" i="42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U31" i="42"/>
  <c r="J31" i="42"/>
  <c r="AN29" i="42"/>
  <c r="AM29" i="42"/>
  <c r="AL29" i="42"/>
  <c r="AK29" i="42"/>
  <c r="AJ29" i="42"/>
  <c r="AH29" i="42"/>
  <c r="AI29" i="42" s="1"/>
  <c r="U29" i="42"/>
  <c r="T29" i="42"/>
  <c r="R29" i="42"/>
  <c r="P29" i="42"/>
  <c r="K29" i="42"/>
  <c r="J29" i="42"/>
  <c r="H29" i="42"/>
  <c r="G29" i="42"/>
  <c r="F29" i="42"/>
  <c r="M29" i="42" s="1"/>
  <c r="E29" i="42"/>
  <c r="D29" i="42"/>
  <c r="V29" i="42" s="1"/>
  <c r="AO28" i="42"/>
  <c r="AG28" i="42"/>
  <c r="AD28" i="42"/>
  <c r="AB28" i="42"/>
  <c r="V28" i="42"/>
  <c r="T28" i="42"/>
  <c r="S28" i="42"/>
  <c r="Y28" i="42" s="1"/>
  <c r="Z28" i="42" s="1"/>
  <c r="O28" i="42"/>
  <c r="Q28" i="42" s="1"/>
  <c r="N28" i="42"/>
  <c r="L28" i="42"/>
  <c r="K28" i="42"/>
  <c r="I28" i="42"/>
  <c r="H28" i="42"/>
  <c r="AO27" i="42"/>
  <c r="AD27" i="42"/>
  <c r="AB27" i="42"/>
  <c r="W27" i="42"/>
  <c r="V27" i="42"/>
  <c r="T27" i="42"/>
  <c r="S27" i="42"/>
  <c r="Y27" i="42" s="1"/>
  <c r="Z27" i="42" s="1"/>
  <c r="Q27" i="42"/>
  <c r="O27" i="42"/>
  <c r="K27" i="42"/>
  <c r="N27" i="42" s="1"/>
  <c r="AG27" i="42" s="1"/>
  <c r="I27" i="42"/>
  <c r="H27" i="42"/>
  <c r="AO26" i="42"/>
  <c r="AG26" i="42"/>
  <c r="AD26" i="42"/>
  <c r="AB26" i="42"/>
  <c r="V26" i="42"/>
  <c r="T26" i="42"/>
  <c r="S26" i="42"/>
  <c r="Y26" i="42" s="1"/>
  <c r="Z26" i="42" s="1"/>
  <c r="Q26" i="42"/>
  <c r="O26" i="42"/>
  <c r="N26" i="42"/>
  <c r="L26" i="42"/>
  <c r="K26" i="42"/>
  <c r="I26" i="42"/>
  <c r="H26" i="42"/>
  <c r="AO25" i="42"/>
  <c r="AD25" i="42"/>
  <c r="AB25" i="42"/>
  <c r="W25" i="42"/>
  <c r="V25" i="42"/>
  <c r="T25" i="42"/>
  <c r="S25" i="42"/>
  <c r="Q25" i="42"/>
  <c r="O25" i="42"/>
  <c r="K25" i="42"/>
  <c r="I25" i="42"/>
  <c r="H25" i="42"/>
  <c r="AO24" i="42"/>
  <c r="AD24" i="42"/>
  <c r="AB24" i="42"/>
  <c r="Y24" i="42"/>
  <c r="Z24" i="42" s="1"/>
  <c r="V24" i="42"/>
  <c r="W24" i="42" s="1"/>
  <c r="T24" i="42"/>
  <c r="S24" i="42"/>
  <c r="O24" i="42"/>
  <c r="Q24" i="42" s="1"/>
  <c r="L24" i="42"/>
  <c r="K24" i="42"/>
  <c r="N24" i="42" s="1"/>
  <c r="AG24" i="42" s="1"/>
  <c r="I24" i="42"/>
  <c r="H24" i="42"/>
  <c r="AO23" i="42"/>
  <c r="AD23" i="42"/>
  <c r="AB23" i="42"/>
  <c r="W23" i="42"/>
  <c r="V23" i="42"/>
  <c r="T23" i="42"/>
  <c r="S23" i="42"/>
  <c r="Q23" i="42"/>
  <c r="O23" i="42"/>
  <c r="K23" i="42"/>
  <c r="I23" i="42"/>
  <c r="H23" i="42"/>
  <c r="AO22" i="42"/>
  <c r="AG22" i="42"/>
  <c r="AD22" i="42"/>
  <c r="AB22" i="42"/>
  <c r="Y22" i="42"/>
  <c r="Z22" i="42" s="1"/>
  <c r="V22" i="42"/>
  <c r="W22" i="42" s="1"/>
  <c r="T22" i="42"/>
  <c r="S22" i="42"/>
  <c r="O22" i="42"/>
  <c r="Q22" i="42" s="1"/>
  <c r="N22" i="42"/>
  <c r="L22" i="42"/>
  <c r="K22" i="42"/>
  <c r="I22" i="42"/>
  <c r="H22" i="42"/>
  <c r="AO21" i="42"/>
  <c r="AD21" i="42"/>
  <c r="AB21" i="42"/>
  <c r="W21" i="42"/>
  <c r="V21" i="42"/>
  <c r="T21" i="42"/>
  <c r="S21" i="42"/>
  <c r="Q21" i="42"/>
  <c r="O21" i="42"/>
  <c r="N21" i="42"/>
  <c r="AG21" i="42" s="1"/>
  <c r="K21" i="42"/>
  <c r="Y21" i="42" s="1"/>
  <c r="Z21" i="42" s="1"/>
  <c r="I21" i="42"/>
  <c r="H21" i="42"/>
  <c r="AO20" i="42"/>
  <c r="AG20" i="42"/>
  <c r="AD20" i="42"/>
  <c r="AB20" i="42"/>
  <c r="V20" i="42"/>
  <c r="T20" i="42"/>
  <c r="S20" i="42"/>
  <c r="Y20" i="42" s="1"/>
  <c r="Z20" i="42" s="1"/>
  <c r="O20" i="42"/>
  <c r="Q20" i="42" s="1"/>
  <c r="N20" i="42"/>
  <c r="L20" i="42"/>
  <c r="K20" i="42"/>
  <c r="I20" i="42"/>
  <c r="H20" i="42"/>
  <c r="AO19" i="42"/>
  <c r="AD19" i="42"/>
  <c r="AD29" i="42" s="1"/>
  <c r="AB19" i="42"/>
  <c r="W19" i="42"/>
  <c r="V19" i="42"/>
  <c r="T19" i="42"/>
  <c r="S19" i="42"/>
  <c r="Y19" i="42" s="1"/>
  <c r="Z19" i="42" s="1"/>
  <c r="Q19" i="42"/>
  <c r="O19" i="42"/>
  <c r="K19" i="42"/>
  <c r="N19" i="42" s="1"/>
  <c r="AG19" i="42" s="1"/>
  <c r="I19" i="42"/>
  <c r="H19" i="42"/>
  <c r="AO18" i="42"/>
  <c r="AG18" i="42"/>
  <c r="AD18" i="42"/>
  <c r="AB18" i="42"/>
  <c r="V18" i="42"/>
  <c r="T18" i="42"/>
  <c r="S18" i="42"/>
  <c r="Y18" i="42" s="1"/>
  <c r="Z18" i="42" s="1"/>
  <c r="O18" i="42"/>
  <c r="Q18" i="42" s="1"/>
  <c r="N18" i="42"/>
  <c r="L18" i="42"/>
  <c r="K18" i="42"/>
  <c r="I18" i="42"/>
  <c r="H18" i="42"/>
  <c r="AO17" i="42"/>
  <c r="AD17" i="42"/>
  <c r="AB17" i="42"/>
  <c r="W17" i="42"/>
  <c r="V17" i="42"/>
  <c r="T17" i="42"/>
  <c r="S17" i="42"/>
  <c r="Q17" i="42"/>
  <c r="O17" i="42"/>
  <c r="K17" i="42"/>
  <c r="I17" i="42"/>
  <c r="H17" i="42"/>
  <c r="AO16" i="42"/>
  <c r="AD16" i="42"/>
  <c r="AB16" i="42"/>
  <c r="Y16" i="42"/>
  <c r="Z16" i="42" s="1"/>
  <c r="V16" i="42"/>
  <c r="W16" i="42" s="1"/>
  <c r="T16" i="42"/>
  <c r="S16" i="42"/>
  <c r="O16" i="42"/>
  <c r="Q16" i="42" s="1"/>
  <c r="L16" i="42"/>
  <c r="K16" i="42"/>
  <c r="N16" i="42" s="1"/>
  <c r="AG16" i="42" s="1"/>
  <c r="I16" i="42"/>
  <c r="H16" i="42"/>
  <c r="AO15" i="42"/>
  <c r="AD15" i="42"/>
  <c r="AB15" i="42"/>
  <c r="W15" i="42"/>
  <c r="V15" i="42"/>
  <c r="T15" i="42"/>
  <c r="S15" i="42"/>
  <c r="Q15" i="42"/>
  <c r="O15" i="42"/>
  <c r="K15" i="42"/>
  <c r="I15" i="42"/>
  <c r="H15" i="42"/>
  <c r="AO14" i="42"/>
  <c r="AG14" i="42"/>
  <c r="AD14" i="42"/>
  <c r="AB14" i="42"/>
  <c r="Y14" i="42"/>
  <c r="Z14" i="42" s="1"/>
  <c r="V14" i="42"/>
  <c r="W14" i="42" s="1"/>
  <c r="T14" i="42"/>
  <c r="S14" i="42"/>
  <c r="O14" i="42"/>
  <c r="N14" i="42"/>
  <c r="L14" i="42"/>
  <c r="K14" i="42"/>
  <c r="I14" i="42"/>
  <c r="H14" i="42"/>
  <c r="AN12" i="42"/>
  <c r="AM12" i="42"/>
  <c r="AL12" i="42"/>
  <c r="AK12" i="42"/>
  <c r="AJ12" i="42"/>
  <c r="AH12" i="42"/>
  <c r="AI12" i="42" s="1"/>
  <c r="U12" i="42"/>
  <c r="R12" i="42"/>
  <c r="P12" i="42"/>
  <c r="J12" i="42"/>
  <c r="H12" i="42"/>
  <c r="G12" i="42"/>
  <c r="G31" i="42" s="1"/>
  <c r="F12" i="42"/>
  <c r="E12" i="42"/>
  <c r="D12" i="42"/>
  <c r="V12" i="42" s="1"/>
  <c r="AO11" i="42"/>
  <c r="AG11" i="42"/>
  <c r="AD11" i="42"/>
  <c r="AB11" i="42"/>
  <c r="Y11" i="42"/>
  <c r="Z11" i="42" s="1"/>
  <c r="V11" i="42"/>
  <c r="W11" i="42" s="1"/>
  <c r="T11" i="42"/>
  <c r="S11" i="42"/>
  <c r="O11" i="42"/>
  <c r="Q11" i="42" s="1"/>
  <c r="N11" i="42"/>
  <c r="L11" i="42"/>
  <c r="K11" i="42"/>
  <c r="I11" i="42"/>
  <c r="H11" i="42"/>
  <c r="AO10" i="42"/>
  <c r="AD10" i="42"/>
  <c r="AB10" i="42"/>
  <c r="W10" i="42"/>
  <c r="V10" i="42"/>
  <c r="T10" i="42"/>
  <c r="S10" i="42"/>
  <c r="Q10" i="42"/>
  <c r="O10" i="42"/>
  <c r="N10" i="42"/>
  <c r="AG10" i="42" s="1"/>
  <c r="K10" i="42"/>
  <c r="Y10" i="42" s="1"/>
  <c r="Z10" i="42" s="1"/>
  <c r="I10" i="42"/>
  <c r="H10" i="42"/>
  <c r="AO9" i="42"/>
  <c r="AG9" i="42"/>
  <c r="AD9" i="42"/>
  <c r="AB9" i="42"/>
  <c r="V9" i="42"/>
  <c r="T9" i="42"/>
  <c r="S9" i="42"/>
  <c r="Y9" i="42" s="1"/>
  <c r="Z9" i="42" s="1"/>
  <c r="O9" i="42"/>
  <c r="Q9" i="42" s="1"/>
  <c r="N9" i="42"/>
  <c r="L9" i="42"/>
  <c r="K9" i="42"/>
  <c r="I9" i="42"/>
  <c r="H9" i="42"/>
  <c r="AO8" i="42"/>
  <c r="AD8" i="42"/>
  <c r="AB8" i="42"/>
  <c r="W8" i="42"/>
  <c r="V8" i="42"/>
  <c r="T8" i="42"/>
  <c r="S8" i="42"/>
  <c r="Y8" i="42" s="1"/>
  <c r="Z8" i="42" s="1"/>
  <c r="Q8" i="42"/>
  <c r="O8" i="42"/>
  <c r="N8" i="42"/>
  <c r="AG8" i="42" s="1"/>
  <c r="K8" i="42"/>
  <c r="L8" i="42" s="1"/>
  <c r="I8" i="42"/>
  <c r="H8" i="42"/>
  <c r="AO7" i="42"/>
  <c r="AD7" i="42"/>
  <c r="AB7" i="42"/>
  <c r="V7" i="42"/>
  <c r="W7" i="42" s="1"/>
  <c r="T7" i="42"/>
  <c r="S7" i="42"/>
  <c r="Y7" i="42" s="1"/>
  <c r="Z7" i="42" s="1"/>
  <c r="O7" i="42"/>
  <c r="Q7" i="42" s="1"/>
  <c r="L7" i="42"/>
  <c r="K7" i="42"/>
  <c r="N7" i="42" s="1"/>
  <c r="AG7" i="42" s="1"/>
  <c r="I7" i="42"/>
  <c r="H7" i="42"/>
  <c r="AO6" i="42"/>
  <c r="AD6" i="42"/>
  <c r="AB6" i="42"/>
  <c r="AB12" i="42" s="1"/>
  <c r="W6" i="42"/>
  <c r="V6" i="42"/>
  <c r="T6" i="42"/>
  <c r="S6" i="42"/>
  <c r="Q6" i="42"/>
  <c r="O6" i="42"/>
  <c r="K6" i="42"/>
  <c r="I6" i="42"/>
  <c r="H6" i="42"/>
  <c r="AA38" i="41"/>
  <c r="Z38" i="41"/>
  <c r="Y38" i="41"/>
  <c r="X38" i="41"/>
  <c r="W38" i="41"/>
  <c r="V38" i="41"/>
  <c r="U38" i="41"/>
  <c r="T38" i="41"/>
  <c r="S38" i="41"/>
  <c r="R38" i="41"/>
  <c r="Q38" i="41"/>
  <c r="P38" i="41"/>
  <c r="O38" i="41"/>
  <c r="N38" i="41"/>
  <c r="M38" i="41"/>
  <c r="L38" i="41"/>
  <c r="K38" i="41"/>
  <c r="J38" i="41"/>
  <c r="I38" i="41"/>
  <c r="H38" i="41"/>
  <c r="G38" i="41"/>
  <c r="F38" i="41"/>
  <c r="E38" i="41"/>
  <c r="D38" i="41"/>
  <c r="AH31" i="41"/>
  <c r="F31" i="41"/>
  <c r="D31" i="41"/>
  <c r="AN29" i="41"/>
  <c r="AM29" i="41"/>
  <c r="AL29" i="41"/>
  <c r="AK29" i="41"/>
  <c r="AJ29" i="41"/>
  <c r="AI29" i="41"/>
  <c r="AH29" i="41"/>
  <c r="X29" i="41"/>
  <c r="U29" i="41"/>
  <c r="V29" i="41" s="1"/>
  <c r="W29" i="41" s="1"/>
  <c r="S29" i="41"/>
  <c r="R29" i="41"/>
  <c r="M29" i="41"/>
  <c r="J29" i="41"/>
  <c r="T29" i="41" s="1"/>
  <c r="G29" i="41"/>
  <c r="H29" i="41" s="1"/>
  <c r="F29" i="41"/>
  <c r="E29" i="41"/>
  <c r="P29" i="41" s="1"/>
  <c r="D29" i="41"/>
  <c r="AO28" i="41"/>
  <c r="AD28" i="41"/>
  <c r="AB28" i="41"/>
  <c r="W28" i="41"/>
  <c r="V28" i="41"/>
  <c r="T28" i="41"/>
  <c r="S28" i="41"/>
  <c r="Q28" i="41"/>
  <c r="O28" i="41"/>
  <c r="K28" i="41"/>
  <c r="I28" i="41"/>
  <c r="H28" i="41"/>
  <c r="AO27" i="41"/>
  <c r="AD27" i="41"/>
  <c r="AB27" i="41"/>
  <c r="Y27" i="41"/>
  <c r="Z27" i="41" s="1"/>
  <c r="V27" i="41"/>
  <c r="W27" i="41" s="1"/>
  <c r="T27" i="41"/>
  <c r="S27" i="41"/>
  <c r="O27" i="41"/>
  <c r="Q27" i="41" s="1"/>
  <c r="L27" i="41"/>
  <c r="K27" i="41"/>
  <c r="N27" i="41" s="1"/>
  <c r="AG27" i="41" s="1"/>
  <c r="I27" i="41"/>
  <c r="H27" i="41"/>
  <c r="AO26" i="41"/>
  <c r="AD26" i="41"/>
  <c r="AB26" i="41"/>
  <c r="W26" i="41"/>
  <c r="V26" i="41"/>
  <c r="T26" i="41"/>
  <c r="S26" i="41"/>
  <c r="Q26" i="41"/>
  <c r="O26" i="41"/>
  <c r="K26" i="41"/>
  <c r="I26" i="41"/>
  <c r="H26" i="41"/>
  <c r="AO25" i="41"/>
  <c r="AG25" i="41"/>
  <c r="AD25" i="41"/>
  <c r="AB25" i="41"/>
  <c r="Y25" i="41"/>
  <c r="Z25" i="41" s="1"/>
  <c r="V25" i="41"/>
  <c r="W25" i="41" s="1"/>
  <c r="T25" i="41"/>
  <c r="S25" i="41"/>
  <c r="O25" i="41"/>
  <c r="Q25" i="41" s="1"/>
  <c r="N25" i="41"/>
  <c r="L25" i="41"/>
  <c r="K25" i="41"/>
  <c r="I25" i="41"/>
  <c r="H25" i="41"/>
  <c r="AO24" i="41"/>
  <c r="AD24" i="41"/>
  <c r="AB24" i="41"/>
  <c r="W24" i="41"/>
  <c r="V24" i="41"/>
  <c r="T24" i="41"/>
  <c r="S24" i="41"/>
  <c r="Q24" i="41"/>
  <c r="O24" i="41"/>
  <c r="N24" i="41"/>
  <c r="AG24" i="41" s="1"/>
  <c r="K24" i="41"/>
  <c r="Y24" i="41" s="1"/>
  <c r="Z24" i="41" s="1"/>
  <c r="I24" i="41"/>
  <c r="H24" i="41"/>
  <c r="AO23" i="41"/>
  <c r="AG23" i="41"/>
  <c r="AD23" i="41"/>
  <c r="AB23" i="41"/>
  <c r="V23" i="41"/>
  <c r="T23" i="41"/>
  <c r="S23" i="41"/>
  <c r="Y23" i="41" s="1"/>
  <c r="Z23" i="41" s="1"/>
  <c r="O23" i="41"/>
  <c r="Q23" i="41" s="1"/>
  <c r="N23" i="41"/>
  <c r="L23" i="41"/>
  <c r="K23" i="41"/>
  <c r="I23" i="41"/>
  <c r="H23" i="41"/>
  <c r="AO22" i="41"/>
  <c r="AD22" i="41"/>
  <c r="AB22" i="41"/>
  <c r="W22" i="41"/>
  <c r="V22" i="41"/>
  <c r="T22" i="41"/>
  <c r="S22" i="41"/>
  <c r="Y22" i="41" s="1"/>
  <c r="Z22" i="41" s="1"/>
  <c r="Q22" i="41"/>
  <c r="O22" i="41"/>
  <c r="N22" i="41"/>
  <c r="AG22" i="41" s="1"/>
  <c r="K22" i="41"/>
  <c r="L22" i="41" s="1"/>
  <c r="I22" i="41"/>
  <c r="H22" i="41"/>
  <c r="AO21" i="41"/>
  <c r="AD21" i="41"/>
  <c r="AB21" i="41"/>
  <c r="V21" i="41"/>
  <c r="W21" i="41" s="1"/>
  <c r="T21" i="41"/>
  <c r="S21" i="41"/>
  <c r="Y21" i="41" s="1"/>
  <c r="Z21" i="41" s="1"/>
  <c r="O21" i="41"/>
  <c r="Q21" i="41" s="1"/>
  <c r="L21" i="41"/>
  <c r="K21" i="41"/>
  <c r="N21" i="41" s="1"/>
  <c r="AG21" i="41" s="1"/>
  <c r="I21" i="41"/>
  <c r="H21" i="41"/>
  <c r="AO20" i="41"/>
  <c r="AD20" i="41"/>
  <c r="AB20" i="41"/>
  <c r="W20" i="41"/>
  <c r="V20" i="41"/>
  <c r="T20" i="41"/>
  <c r="S20" i="41"/>
  <c r="Q20" i="41"/>
  <c r="O20" i="41"/>
  <c r="K20" i="41"/>
  <c r="I20" i="41"/>
  <c r="H20" i="41"/>
  <c r="AO19" i="41"/>
  <c r="AD19" i="41"/>
  <c r="AB19" i="41"/>
  <c r="Y19" i="41"/>
  <c r="Z19" i="41" s="1"/>
  <c r="V19" i="41"/>
  <c r="W19" i="41" s="1"/>
  <c r="T19" i="41"/>
  <c r="S19" i="41"/>
  <c r="O19" i="41"/>
  <c r="Q19" i="41" s="1"/>
  <c r="L19" i="41"/>
  <c r="K19" i="41"/>
  <c r="N19" i="41" s="1"/>
  <c r="AG19" i="41" s="1"/>
  <c r="I19" i="41"/>
  <c r="H19" i="41"/>
  <c r="AO18" i="41"/>
  <c r="AD18" i="41"/>
  <c r="AB18" i="41"/>
  <c r="W18" i="41"/>
  <c r="V18" i="41"/>
  <c r="T18" i="41"/>
  <c r="S18" i="41"/>
  <c r="Q18" i="41"/>
  <c r="O18" i="41"/>
  <c r="K18" i="41"/>
  <c r="I18" i="41"/>
  <c r="H18" i="41"/>
  <c r="AO17" i="41"/>
  <c r="AG17" i="41"/>
  <c r="AD17" i="41"/>
  <c r="AB17" i="41"/>
  <c r="Y17" i="41"/>
  <c r="Z17" i="41" s="1"/>
  <c r="V17" i="41"/>
  <c r="W17" i="41" s="1"/>
  <c r="T17" i="41"/>
  <c r="S17" i="41"/>
  <c r="O17" i="41"/>
  <c r="Q17" i="41" s="1"/>
  <c r="N17" i="41"/>
  <c r="L17" i="41"/>
  <c r="K17" i="41"/>
  <c r="I17" i="41"/>
  <c r="H17" i="41"/>
  <c r="AO16" i="41"/>
  <c r="AD16" i="41"/>
  <c r="AB16" i="41"/>
  <c r="W16" i="41"/>
  <c r="V16" i="41"/>
  <c r="T16" i="41"/>
  <c r="S16" i="41"/>
  <c r="Q16" i="41"/>
  <c r="O16" i="41"/>
  <c r="N16" i="41"/>
  <c r="AG16" i="41" s="1"/>
  <c r="K16" i="41"/>
  <c r="Y16" i="41" s="1"/>
  <c r="Z16" i="41" s="1"/>
  <c r="I16" i="41"/>
  <c r="H16" i="41"/>
  <c r="AO15" i="41"/>
  <c r="AG15" i="41"/>
  <c r="AD15" i="41"/>
  <c r="AB15" i="41"/>
  <c r="V15" i="41"/>
  <c r="T15" i="41"/>
  <c r="S15" i="41"/>
  <c r="Y15" i="41" s="1"/>
  <c r="Z15" i="41" s="1"/>
  <c r="O15" i="41"/>
  <c r="Q15" i="41" s="1"/>
  <c r="N15" i="41"/>
  <c r="L15" i="41"/>
  <c r="K15" i="41"/>
  <c r="I15" i="41"/>
  <c r="H15" i="41"/>
  <c r="AO14" i="41"/>
  <c r="AD14" i="41"/>
  <c r="AD29" i="41" s="1"/>
  <c r="AB14" i="41"/>
  <c r="W14" i="41"/>
  <c r="V14" i="41"/>
  <c r="T14" i="41"/>
  <c r="S14" i="41"/>
  <c r="Y14" i="41" s="1"/>
  <c r="Z14" i="41" s="1"/>
  <c r="Q14" i="41"/>
  <c r="O14" i="41"/>
  <c r="N14" i="41"/>
  <c r="AG14" i="41" s="1"/>
  <c r="K14" i="41"/>
  <c r="L14" i="41" s="1"/>
  <c r="I14" i="41"/>
  <c r="H14" i="41"/>
  <c r="AN12" i="41"/>
  <c r="AM12" i="41"/>
  <c r="AL12" i="41"/>
  <c r="AK12" i="41"/>
  <c r="AJ12" i="41"/>
  <c r="AI12" i="41"/>
  <c r="AH12" i="41"/>
  <c r="U12" i="41"/>
  <c r="S12" i="41"/>
  <c r="R12" i="41"/>
  <c r="X12" i="41" s="1"/>
  <c r="M12" i="41"/>
  <c r="J12" i="41"/>
  <c r="G12" i="41"/>
  <c r="H12" i="41" s="1"/>
  <c r="F12" i="41"/>
  <c r="M31" i="41" s="1"/>
  <c r="E12" i="41"/>
  <c r="P12" i="41" s="1"/>
  <c r="D12" i="41"/>
  <c r="AO11" i="41"/>
  <c r="AD11" i="41"/>
  <c r="AB11" i="41"/>
  <c r="W11" i="41"/>
  <c r="V11" i="41"/>
  <c r="T11" i="41"/>
  <c r="S11" i="41"/>
  <c r="Y11" i="41" s="1"/>
  <c r="Z11" i="41" s="1"/>
  <c r="Q11" i="41"/>
  <c r="O11" i="41"/>
  <c r="N11" i="41"/>
  <c r="AG11" i="41" s="1"/>
  <c r="K11" i="41"/>
  <c r="L11" i="41" s="1"/>
  <c r="I11" i="41"/>
  <c r="H11" i="41"/>
  <c r="AO10" i="41"/>
  <c r="AD10" i="41"/>
  <c r="AB10" i="41"/>
  <c r="V10" i="41"/>
  <c r="T10" i="41"/>
  <c r="S10" i="41"/>
  <c r="Y10" i="41" s="1"/>
  <c r="Z10" i="41" s="1"/>
  <c r="O10" i="41"/>
  <c r="Q10" i="41" s="1"/>
  <c r="L10" i="41"/>
  <c r="K10" i="41"/>
  <c r="N10" i="41" s="1"/>
  <c r="AG10" i="41" s="1"/>
  <c r="I10" i="41"/>
  <c r="H10" i="41"/>
  <c r="AO9" i="41"/>
  <c r="AD9" i="41"/>
  <c r="AB9" i="41"/>
  <c r="W9" i="41"/>
  <c r="V9" i="41"/>
  <c r="T9" i="41"/>
  <c r="S9" i="41"/>
  <c r="Q9" i="41"/>
  <c r="O9" i="41"/>
  <c r="K9" i="41"/>
  <c r="I9" i="41"/>
  <c r="H9" i="41"/>
  <c r="AO8" i="41"/>
  <c r="AD8" i="41"/>
  <c r="AB8" i="41"/>
  <c r="Y8" i="41"/>
  <c r="Z8" i="41" s="1"/>
  <c r="V8" i="41"/>
  <c r="W8" i="41" s="1"/>
  <c r="T8" i="41"/>
  <c r="S8" i="41"/>
  <c r="O8" i="41"/>
  <c r="Q8" i="41" s="1"/>
  <c r="L8" i="41"/>
  <c r="K8" i="41"/>
  <c r="N8" i="41" s="1"/>
  <c r="AG8" i="41" s="1"/>
  <c r="I8" i="41"/>
  <c r="H8" i="41"/>
  <c r="AO7" i="41"/>
  <c r="AD7" i="41"/>
  <c r="AD12" i="41" s="1"/>
  <c r="AB7" i="41"/>
  <c r="W7" i="41"/>
  <c r="V7" i="41"/>
  <c r="T7" i="41"/>
  <c r="S7" i="41"/>
  <c r="Q7" i="41"/>
  <c r="O7" i="41"/>
  <c r="N7" i="41"/>
  <c r="AG7" i="41" s="1"/>
  <c r="K7" i="41"/>
  <c r="I7" i="41"/>
  <c r="H7" i="41"/>
  <c r="AO6" i="41"/>
  <c r="AG6" i="41"/>
  <c r="AD6" i="41"/>
  <c r="AB6" i="41"/>
  <c r="AB12" i="41" s="1"/>
  <c r="Y6" i="41"/>
  <c r="Z6" i="41" s="1"/>
  <c r="V6" i="41"/>
  <c r="W6" i="41" s="1"/>
  <c r="T6" i="41"/>
  <c r="S6" i="41"/>
  <c r="O6" i="41"/>
  <c r="Q6" i="41" s="1"/>
  <c r="N6" i="41"/>
  <c r="L6" i="41"/>
  <c r="K6" i="41"/>
  <c r="I6" i="41"/>
  <c r="H6" i="41"/>
  <c r="AA39" i="40"/>
  <c r="Z39" i="40"/>
  <c r="Y39" i="40"/>
  <c r="X39" i="40"/>
  <c r="W39" i="40"/>
  <c r="V39" i="40"/>
  <c r="U39" i="40"/>
  <c r="T39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G39" i="40"/>
  <c r="F39" i="40"/>
  <c r="E39" i="40"/>
  <c r="D39" i="40"/>
  <c r="AN29" i="40"/>
  <c r="AM29" i="40"/>
  <c r="AL29" i="40"/>
  <c r="AK29" i="40"/>
  <c r="AJ29" i="40"/>
  <c r="AH29" i="40"/>
  <c r="AI29" i="40" s="1"/>
  <c r="V29" i="40"/>
  <c r="U29" i="40"/>
  <c r="R29" i="40"/>
  <c r="P29" i="40"/>
  <c r="J29" i="40"/>
  <c r="G29" i="40"/>
  <c r="H29" i="40" s="1"/>
  <c r="F29" i="40"/>
  <c r="E29" i="40"/>
  <c r="D29" i="40"/>
  <c r="AO28" i="40"/>
  <c r="AG28" i="40"/>
  <c r="AD28" i="40"/>
  <c r="AB28" i="40"/>
  <c r="Z28" i="40"/>
  <c r="Y28" i="40"/>
  <c r="V28" i="40"/>
  <c r="W28" i="40" s="1"/>
  <c r="T28" i="40"/>
  <c r="S28" i="40"/>
  <c r="O28" i="40"/>
  <c r="Q28" i="40" s="1"/>
  <c r="N28" i="40"/>
  <c r="L28" i="40"/>
  <c r="K28" i="40"/>
  <c r="I28" i="40"/>
  <c r="H28" i="40"/>
  <c r="AO27" i="40"/>
  <c r="AD27" i="40"/>
  <c r="AB27" i="40"/>
  <c r="W27" i="40"/>
  <c r="V27" i="40"/>
  <c r="T27" i="40"/>
  <c r="S27" i="40"/>
  <c r="O27" i="40"/>
  <c r="Q27" i="40" s="1"/>
  <c r="N27" i="40"/>
  <c r="AG27" i="40" s="1"/>
  <c r="K27" i="40"/>
  <c r="I27" i="40"/>
  <c r="H27" i="40"/>
  <c r="AO26" i="40"/>
  <c r="AG26" i="40"/>
  <c r="AD26" i="40"/>
  <c r="AB26" i="40"/>
  <c r="V26" i="40"/>
  <c r="T26" i="40"/>
  <c r="S26" i="40"/>
  <c r="Y26" i="40" s="1"/>
  <c r="Z26" i="40" s="1"/>
  <c r="O26" i="40"/>
  <c r="Q26" i="40" s="1"/>
  <c r="N26" i="40"/>
  <c r="L26" i="40"/>
  <c r="K26" i="40"/>
  <c r="I26" i="40"/>
  <c r="H26" i="40"/>
  <c r="AO25" i="40"/>
  <c r="AD25" i="40"/>
  <c r="AB25" i="40"/>
  <c r="V25" i="40"/>
  <c r="T25" i="40"/>
  <c r="S25" i="40"/>
  <c r="Q25" i="40"/>
  <c r="O25" i="40"/>
  <c r="K25" i="40"/>
  <c r="L25" i="40" s="1"/>
  <c r="I25" i="40"/>
  <c r="H25" i="40"/>
  <c r="AO24" i="40"/>
  <c r="AG24" i="40"/>
  <c r="AD24" i="40"/>
  <c r="AB24" i="40"/>
  <c r="V24" i="40"/>
  <c r="T24" i="40"/>
  <c r="S24" i="40"/>
  <c r="Y24" i="40" s="1"/>
  <c r="Z24" i="40" s="1"/>
  <c r="O24" i="40"/>
  <c r="Q24" i="40" s="1"/>
  <c r="L24" i="40"/>
  <c r="K24" i="40"/>
  <c r="N24" i="40" s="1"/>
  <c r="I24" i="40"/>
  <c r="H24" i="40"/>
  <c r="AO23" i="40"/>
  <c r="AD23" i="40"/>
  <c r="AB23" i="40"/>
  <c r="W23" i="40"/>
  <c r="V23" i="40"/>
  <c r="T23" i="40"/>
  <c r="S23" i="40"/>
  <c r="Q23" i="40"/>
  <c r="O23" i="40"/>
  <c r="K23" i="40"/>
  <c r="L23" i="40" s="1"/>
  <c r="I23" i="40"/>
  <c r="H23" i="40"/>
  <c r="AO22" i="40"/>
  <c r="AD22" i="40"/>
  <c r="AB22" i="40"/>
  <c r="V22" i="40"/>
  <c r="T22" i="40"/>
  <c r="S22" i="40"/>
  <c r="Y22" i="40" s="1"/>
  <c r="Z22" i="40" s="1"/>
  <c r="O22" i="40"/>
  <c r="Q22" i="40" s="1"/>
  <c r="K22" i="40"/>
  <c r="N22" i="40" s="1"/>
  <c r="AG22" i="40" s="1"/>
  <c r="I22" i="40"/>
  <c r="H22" i="40"/>
  <c r="AO21" i="40"/>
  <c r="AD21" i="40"/>
  <c r="AB21" i="40"/>
  <c r="W21" i="40"/>
  <c r="V21" i="40"/>
  <c r="T21" i="40"/>
  <c r="S21" i="40"/>
  <c r="Q21" i="40"/>
  <c r="O21" i="40"/>
  <c r="K21" i="40"/>
  <c r="N21" i="40" s="1"/>
  <c r="AG21" i="40" s="1"/>
  <c r="I21" i="40"/>
  <c r="H21" i="40"/>
  <c r="AO20" i="40"/>
  <c r="AD20" i="40"/>
  <c r="AB20" i="40"/>
  <c r="V20" i="40"/>
  <c r="T20" i="40"/>
  <c r="S20" i="40"/>
  <c r="Y20" i="40" s="1"/>
  <c r="Z20" i="40" s="1"/>
  <c r="O20" i="40"/>
  <c r="Q20" i="40" s="1"/>
  <c r="N20" i="40"/>
  <c r="AG20" i="40" s="1"/>
  <c r="L20" i="40"/>
  <c r="K20" i="40"/>
  <c r="I20" i="40"/>
  <c r="H20" i="40"/>
  <c r="AO19" i="40"/>
  <c r="AD19" i="40"/>
  <c r="AB19" i="40"/>
  <c r="W19" i="40"/>
  <c r="V19" i="40"/>
  <c r="T19" i="40"/>
  <c r="S19" i="40"/>
  <c r="O19" i="40"/>
  <c r="Q19" i="40" s="1"/>
  <c r="K19" i="40"/>
  <c r="I19" i="40"/>
  <c r="H19" i="40"/>
  <c r="AO18" i="40"/>
  <c r="AG18" i="40"/>
  <c r="AD18" i="40"/>
  <c r="AB18" i="40"/>
  <c r="Y18" i="40"/>
  <c r="Z18" i="40" s="1"/>
  <c r="V18" i="40"/>
  <c r="W18" i="40" s="1"/>
  <c r="T18" i="40"/>
  <c r="S18" i="40"/>
  <c r="Q18" i="40"/>
  <c r="O18" i="40"/>
  <c r="N18" i="40"/>
  <c r="L18" i="40"/>
  <c r="K18" i="40"/>
  <c r="I18" i="40"/>
  <c r="H18" i="40"/>
  <c r="AO17" i="40"/>
  <c r="AD17" i="40"/>
  <c r="AB17" i="40"/>
  <c r="W17" i="40"/>
  <c r="V17" i="40"/>
  <c r="T17" i="40"/>
  <c r="S17" i="40"/>
  <c r="Q17" i="40"/>
  <c r="O17" i="40"/>
  <c r="K17" i="40"/>
  <c r="I17" i="40"/>
  <c r="H17" i="40"/>
  <c r="AO16" i="40"/>
  <c r="AD16" i="40"/>
  <c r="AB16" i="40"/>
  <c r="V16" i="40"/>
  <c r="T16" i="40"/>
  <c r="S16" i="40"/>
  <c r="Y16" i="40" s="1"/>
  <c r="Z16" i="40" s="1"/>
  <c r="O16" i="40"/>
  <c r="Q16" i="40" s="1"/>
  <c r="L16" i="40"/>
  <c r="K16" i="40"/>
  <c r="N16" i="40" s="1"/>
  <c r="AG16" i="40" s="1"/>
  <c r="I16" i="40"/>
  <c r="H16" i="40"/>
  <c r="AO15" i="40"/>
  <c r="AD15" i="40"/>
  <c r="AD29" i="40" s="1"/>
  <c r="AB15" i="40"/>
  <c r="V15" i="40"/>
  <c r="W15" i="40" s="1"/>
  <c r="T15" i="40"/>
  <c r="S15" i="40"/>
  <c r="Y15" i="40" s="1"/>
  <c r="Z15" i="40" s="1"/>
  <c r="Q15" i="40"/>
  <c r="O15" i="40"/>
  <c r="N15" i="40"/>
  <c r="AG15" i="40" s="1"/>
  <c r="K15" i="40"/>
  <c r="L15" i="40" s="1"/>
  <c r="I15" i="40"/>
  <c r="H15" i="40"/>
  <c r="AO14" i="40"/>
  <c r="AG14" i="40"/>
  <c r="AD14" i="40"/>
  <c r="AB14" i="40"/>
  <c r="V14" i="40"/>
  <c r="W14" i="40" s="1"/>
  <c r="T14" i="40"/>
  <c r="S14" i="40"/>
  <c r="O14" i="40"/>
  <c r="K14" i="40"/>
  <c r="L14" i="40" s="1"/>
  <c r="I14" i="40"/>
  <c r="H14" i="40"/>
  <c r="AN12" i="40"/>
  <c r="AM12" i="40"/>
  <c r="AL12" i="40"/>
  <c r="AK12" i="40"/>
  <c r="AJ12" i="40"/>
  <c r="AI12" i="40"/>
  <c r="AI31" i="40" s="1"/>
  <c r="AH12" i="40"/>
  <c r="AH31" i="40" s="1"/>
  <c r="X12" i="40"/>
  <c r="V12" i="40"/>
  <c r="U12" i="40"/>
  <c r="U31" i="40" s="1"/>
  <c r="R12" i="40"/>
  <c r="P12" i="40"/>
  <c r="J12" i="40"/>
  <c r="J31" i="40" s="1"/>
  <c r="G12" i="40"/>
  <c r="G31" i="40" s="1"/>
  <c r="F12" i="40"/>
  <c r="E12" i="40"/>
  <c r="D12" i="40"/>
  <c r="AO11" i="40"/>
  <c r="AD11" i="40"/>
  <c r="AB11" i="40"/>
  <c r="Y11" i="40"/>
  <c r="Z11" i="40" s="1"/>
  <c r="V11" i="40"/>
  <c r="W11" i="40" s="1"/>
  <c r="T11" i="40"/>
  <c r="S11" i="40"/>
  <c r="Q11" i="40"/>
  <c r="O11" i="40"/>
  <c r="N11" i="40"/>
  <c r="AG11" i="40" s="1"/>
  <c r="L11" i="40"/>
  <c r="K11" i="40"/>
  <c r="I11" i="40"/>
  <c r="H11" i="40"/>
  <c r="AO10" i="40"/>
  <c r="AD10" i="40"/>
  <c r="AB10" i="40"/>
  <c r="W10" i="40"/>
  <c r="V10" i="40"/>
  <c r="T10" i="40"/>
  <c r="S10" i="40"/>
  <c r="O10" i="40"/>
  <c r="Q10" i="40" s="1"/>
  <c r="K10" i="40"/>
  <c r="I10" i="40"/>
  <c r="H10" i="40"/>
  <c r="AO9" i="40"/>
  <c r="AD9" i="40"/>
  <c r="AB9" i="40"/>
  <c r="Y9" i="40"/>
  <c r="Z9" i="40" s="1"/>
  <c r="V9" i="40"/>
  <c r="W9" i="40" s="1"/>
  <c r="T9" i="40"/>
  <c r="S9" i="40"/>
  <c r="O9" i="40"/>
  <c r="Q9" i="40" s="1"/>
  <c r="N9" i="40"/>
  <c r="AG9" i="40" s="1"/>
  <c r="L9" i="40"/>
  <c r="K9" i="40"/>
  <c r="I9" i="40"/>
  <c r="H9" i="40"/>
  <c r="AO8" i="40"/>
  <c r="AD8" i="40"/>
  <c r="AB8" i="40"/>
  <c r="V8" i="40"/>
  <c r="W8" i="40" s="1"/>
  <c r="T8" i="40"/>
  <c r="S8" i="40"/>
  <c r="Y8" i="40" s="1"/>
  <c r="Z8" i="40" s="1"/>
  <c r="Q8" i="40"/>
  <c r="O8" i="40"/>
  <c r="N8" i="40"/>
  <c r="AG8" i="40" s="1"/>
  <c r="K8" i="40"/>
  <c r="L8" i="40" s="1"/>
  <c r="I8" i="40"/>
  <c r="H8" i="40"/>
  <c r="AO7" i="40"/>
  <c r="AG7" i="40"/>
  <c r="AD7" i="40"/>
  <c r="AB7" i="40"/>
  <c r="V7" i="40"/>
  <c r="T7" i="40"/>
  <c r="S7" i="40"/>
  <c r="O7" i="40"/>
  <c r="Q7" i="40" s="1"/>
  <c r="K7" i="40"/>
  <c r="N7" i="40" s="1"/>
  <c r="I7" i="40"/>
  <c r="H7" i="40"/>
  <c r="AO6" i="40"/>
  <c r="AD6" i="40"/>
  <c r="AD12" i="40" s="1"/>
  <c r="AB6" i="40"/>
  <c r="V6" i="40"/>
  <c r="W6" i="40" s="1"/>
  <c r="T6" i="40"/>
  <c r="S6" i="40"/>
  <c r="Y6" i="40" s="1"/>
  <c r="Z6" i="40" s="1"/>
  <c r="Q6" i="40"/>
  <c r="Q12" i="40" s="1"/>
  <c r="O6" i="40"/>
  <c r="L6" i="40"/>
  <c r="K6" i="40"/>
  <c r="N6" i="40" s="1"/>
  <c r="AG6" i="40" s="1"/>
  <c r="I6" i="40"/>
  <c r="H6" i="40"/>
  <c r="AA40" i="39"/>
  <c r="Z40" i="39"/>
  <c r="Y40" i="39"/>
  <c r="X40" i="39"/>
  <c r="W40" i="39"/>
  <c r="V40" i="39"/>
  <c r="U40" i="39"/>
  <c r="T40" i="39"/>
  <c r="S40" i="39"/>
  <c r="R40" i="39"/>
  <c r="Q40" i="39"/>
  <c r="P40" i="39"/>
  <c r="O40" i="39"/>
  <c r="N40" i="39"/>
  <c r="M40" i="39"/>
  <c r="L40" i="39"/>
  <c r="K40" i="39"/>
  <c r="J40" i="39"/>
  <c r="I40" i="39"/>
  <c r="H40" i="39"/>
  <c r="G40" i="39"/>
  <c r="F40" i="39"/>
  <c r="E40" i="39"/>
  <c r="D40" i="39"/>
  <c r="AH31" i="39"/>
  <c r="E31" i="39"/>
  <c r="AN29" i="39"/>
  <c r="AM29" i="39"/>
  <c r="AL29" i="39"/>
  <c r="AK29" i="39"/>
  <c r="AJ29" i="39"/>
  <c r="AH29" i="39"/>
  <c r="AI29" i="39" s="1"/>
  <c r="X29" i="39"/>
  <c r="U29" i="39"/>
  <c r="V29" i="39" s="1"/>
  <c r="S29" i="39"/>
  <c r="R29" i="39"/>
  <c r="P29" i="39"/>
  <c r="M29" i="39"/>
  <c r="J29" i="39"/>
  <c r="G29" i="39"/>
  <c r="H29" i="39" s="1"/>
  <c r="F29" i="39"/>
  <c r="E29" i="39"/>
  <c r="D29" i="39"/>
  <c r="AO28" i="39"/>
  <c r="AG28" i="39"/>
  <c r="AD28" i="39"/>
  <c r="AB28" i="39"/>
  <c r="V28" i="39"/>
  <c r="W28" i="39" s="1"/>
  <c r="T28" i="39"/>
  <c r="S28" i="39"/>
  <c r="Y28" i="39" s="1"/>
  <c r="Z28" i="39" s="1"/>
  <c r="Q28" i="39"/>
  <c r="O28" i="39"/>
  <c r="N28" i="39"/>
  <c r="L28" i="39"/>
  <c r="K28" i="39"/>
  <c r="I28" i="39"/>
  <c r="H28" i="39"/>
  <c r="AO27" i="39"/>
  <c r="AG27" i="39"/>
  <c r="AD27" i="39"/>
  <c r="AB27" i="39"/>
  <c r="V27" i="39"/>
  <c r="W27" i="39" s="1"/>
  <c r="T27" i="39"/>
  <c r="S27" i="39"/>
  <c r="Y27" i="39" s="1"/>
  <c r="Z27" i="39" s="1"/>
  <c r="O27" i="39"/>
  <c r="Q27" i="39" s="1"/>
  <c r="K27" i="39"/>
  <c r="N27" i="39" s="1"/>
  <c r="I27" i="39"/>
  <c r="H27" i="39"/>
  <c r="AO26" i="39"/>
  <c r="AG26" i="39"/>
  <c r="AD26" i="39"/>
  <c r="AB26" i="39"/>
  <c r="W26" i="39"/>
  <c r="V26" i="39"/>
  <c r="T26" i="39"/>
  <c r="S26" i="39"/>
  <c r="O26" i="39"/>
  <c r="Q26" i="39" s="1"/>
  <c r="K26" i="39"/>
  <c r="I26" i="39"/>
  <c r="H26" i="39"/>
  <c r="AO25" i="39"/>
  <c r="AD25" i="39"/>
  <c r="AB25" i="39"/>
  <c r="Y25" i="39"/>
  <c r="Z25" i="39" s="1"/>
  <c r="V25" i="39"/>
  <c r="W25" i="39" s="1"/>
  <c r="T25" i="39"/>
  <c r="S25" i="39"/>
  <c r="Q25" i="39"/>
  <c r="O25" i="39"/>
  <c r="N25" i="39"/>
  <c r="AG25" i="39" s="1"/>
  <c r="L25" i="39"/>
  <c r="K25" i="39"/>
  <c r="I25" i="39"/>
  <c r="H25" i="39"/>
  <c r="AO24" i="39"/>
  <c r="AD24" i="39"/>
  <c r="AB24" i="39"/>
  <c r="W24" i="39"/>
  <c r="V24" i="39"/>
  <c r="T24" i="39"/>
  <c r="S24" i="39"/>
  <c r="O24" i="39"/>
  <c r="Q24" i="39" s="1"/>
  <c r="K24" i="39"/>
  <c r="I24" i="39"/>
  <c r="H24" i="39"/>
  <c r="AO23" i="39"/>
  <c r="AD23" i="39"/>
  <c r="AB23" i="39"/>
  <c r="Y23" i="39"/>
  <c r="Z23" i="39" s="1"/>
  <c r="V23" i="39"/>
  <c r="W23" i="39" s="1"/>
  <c r="T23" i="39"/>
  <c r="S23" i="39"/>
  <c r="O23" i="39"/>
  <c r="Q23" i="39" s="1"/>
  <c r="N23" i="39"/>
  <c r="AG23" i="39" s="1"/>
  <c r="L23" i="39"/>
  <c r="K23" i="39"/>
  <c r="I23" i="39"/>
  <c r="H23" i="39"/>
  <c r="AO22" i="39"/>
  <c r="AD22" i="39"/>
  <c r="AB22" i="39"/>
  <c r="Z22" i="39"/>
  <c r="V22" i="39"/>
  <c r="W22" i="39" s="1"/>
  <c r="T22" i="39"/>
  <c r="S22" i="39"/>
  <c r="Y22" i="39" s="1"/>
  <c r="Q22" i="39"/>
  <c r="O22" i="39"/>
  <c r="N22" i="39"/>
  <c r="AG22" i="39" s="1"/>
  <c r="K22" i="39"/>
  <c r="L22" i="39" s="1"/>
  <c r="I22" i="39"/>
  <c r="H22" i="39"/>
  <c r="AO21" i="39"/>
  <c r="AD21" i="39"/>
  <c r="AB21" i="39"/>
  <c r="V21" i="39"/>
  <c r="T21" i="39"/>
  <c r="S21" i="39"/>
  <c r="O21" i="39"/>
  <c r="Q21" i="39" s="1"/>
  <c r="K21" i="39"/>
  <c r="N21" i="39" s="1"/>
  <c r="AG21" i="39" s="1"/>
  <c r="I21" i="39"/>
  <c r="H21" i="39"/>
  <c r="AO20" i="39"/>
  <c r="AG20" i="39"/>
  <c r="AD20" i="39"/>
  <c r="AB20" i="39"/>
  <c r="V20" i="39"/>
  <c r="W20" i="39" s="1"/>
  <c r="T20" i="39"/>
  <c r="S20" i="39"/>
  <c r="Y20" i="39" s="1"/>
  <c r="Z20" i="39" s="1"/>
  <c r="Q20" i="39"/>
  <c r="O20" i="39"/>
  <c r="N20" i="39"/>
  <c r="L20" i="39"/>
  <c r="K20" i="39"/>
  <c r="I20" i="39"/>
  <c r="H20" i="39"/>
  <c r="AO19" i="39"/>
  <c r="AG19" i="39"/>
  <c r="AD19" i="39"/>
  <c r="AB19" i="39"/>
  <c r="V19" i="39"/>
  <c r="W19" i="39" s="1"/>
  <c r="T19" i="39"/>
  <c r="S19" i="39"/>
  <c r="Y19" i="39" s="1"/>
  <c r="Z19" i="39" s="1"/>
  <c r="O19" i="39"/>
  <c r="Q19" i="39" s="1"/>
  <c r="K19" i="39"/>
  <c r="N19" i="39" s="1"/>
  <c r="I19" i="39"/>
  <c r="H19" i="39"/>
  <c r="AO18" i="39"/>
  <c r="AD18" i="39"/>
  <c r="AB18" i="39"/>
  <c r="W18" i="39"/>
  <c r="V18" i="39"/>
  <c r="T18" i="39"/>
  <c r="S18" i="39"/>
  <c r="O18" i="39"/>
  <c r="Q18" i="39" s="1"/>
  <c r="K18" i="39"/>
  <c r="I18" i="39"/>
  <c r="H18" i="39"/>
  <c r="AO17" i="39"/>
  <c r="AD17" i="39"/>
  <c r="AB17" i="39"/>
  <c r="Y17" i="39"/>
  <c r="Z17" i="39" s="1"/>
  <c r="V17" i="39"/>
  <c r="W17" i="39" s="1"/>
  <c r="T17" i="39"/>
  <c r="S17" i="39"/>
  <c r="Q17" i="39"/>
  <c r="O17" i="39"/>
  <c r="N17" i="39"/>
  <c r="AG17" i="39" s="1"/>
  <c r="L17" i="39"/>
  <c r="K17" i="39"/>
  <c r="I17" i="39"/>
  <c r="H17" i="39"/>
  <c r="AO16" i="39"/>
  <c r="AD16" i="39"/>
  <c r="AB16" i="39"/>
  <c r="W16" i="39"/>
  <c r="V16" i="39"/>
  <c r="T16" i="39"/>
  <c r="S16" i="39"/>
  <c r="O16" i="39"/>
  <c r="Q16" i="39" s="1"/>
  <c r="N16" i="39"/>
  <c r="AG16" i="39" s="1"/>
  <c r="K16" i="39"/>
  <c r="I16" i="39"/>
  <c r="H16" i="39"/>
  <c r="AO15" i="39"/>
  <c r="AD15" i="39"/>
  <c r="AB15" i="39"/>
  <c r="Y15" i="39"/>
  <c r="Z15" i="39" s="1"/>
  <c r="V15" i="39"/>
  <c r="W15" i="39" s="1"/>
  <c r="T15" i="39"/>
  <c r="S15" i="39"/>
  <c r="O15" i="39"/>
  <c r="Q15" i="39" s="1"/>
  <c r="N15" i="39"/>
  <c r="AG15" i="39" s="1"/>
  <c r="L15" i="39"/>
  <c r="K15" i="39"/>
  <c r="I15" i="39"/>
  <c r="H15" i="39"/>
  <c r="AO14" i="39"/>
  <c r="AG14" i="39"/>
  <c r="AD14" i="39"/>
  <c r="AB14" i="39"/>
  <c r="V14" i="39"/>
  <c r="W14" i="39" s="1"/>
  <c r="T14" i="39"/>
  <c r="S14" i="39"/>
  <c r="Y14" i="39" s="1"/>
  <c r="Z14" i="39" s="1"/>
  <c r="Q14" i="39"/>
  <c r="O14" i="39"/>
  <c r="N14" i="39"/>
  <c r="K14" i="39"/>
  <c r="L14" i="39" s="1"/>
  <c r="I14" i="39"/>
  <c r="H14" i="39"/>
  <c r="AN12" i="39"/>
  <c r="AM12" i="39"/>
  <c r="AL12" i="39"/>
  <c r="AK12" i="39"/>
  <c r="AJ12" i="39"/>
  <c r="AH12" i="39"/>
  <c r="AI12" i="39" s="1"/>
  <c r="AB12" i="39"/>
  <c r="U12" i="39"/>
  <c r="U31" i="39" s="1"/>
  <c r="S12" i="39"/>
  <c r="R12" i="39"/>
  <c r="X12" i="39" s="1"/>
  <c r="Q12" i="39"/>
  <c r="M12" i="39"/>
  <c r="J12" i="39"/>
  <c r="G12" i="39"/>
  <c r="F12" i="39"/>
  <c r="E12" i="39"/>
  <c r="P12" i="39" s="1"/>
  <c r="D12" i="39"/>
  <c r="V12" i="39" s="1"/>
  <c r="W12" i="39" s="1"/>
  <c r="AO11" i="39"/>
  <c r="AD11" i="39"/>
  <c r="AB11" i="39"/>
  <c r="V11" i="39"/>
  <c r="W11" i="39" s="1"/>
  <c r="T11" i="39"/>
  <c r="S11" i="39"/>
  <c r="Y11" i="39" s="1"/>
  <c r="Z11" i="39" s="1"/>
  <c r="Q11" i="39"/>
  <c r="O11" i="39"/>
  <c r="N11" i="39"/>
  <c r="AG11" i="39" s="1"/>
  <c r="K11" i="39"/>
  <c r="L11" i="39" s="1"/>
  <c r="I11" i="39"/>
  <c r="H11" i="39"/>
  <c r="AO10" i="39"/>
  <c r="AG10" i="39"/>
  <c r="AD10" i="39"/>
  <c r="AB10" i="39"/>
  <c r="V10" i="39"/>
  <c r="T10" i="39"/>
  <c r="S10" i="39"/>
  <c r="O10" i="39"/>
  <c r="Q10" i="39" s="1"/>
  <c r="K10" i="39"/>
  <c r="N10" i="39" s="1"/>
  <c r="I10" i="39"/>
  <c r="H10" i="39"/>
  <c r="AO9" i="39"/>
  <c r="AG9" i="39"/>
  <c r="AD9" i="39"/>
  <c r="AB9" i="39"/>
  <c r="V9" i="39"/>
  <c r="W9" i="39" s="1"/>
  <c r="T9" i="39"/>
  <c r="S9" i="39"/>
  <c r="Y9" i="39" s="1"/>
  <c r="Z9" i="39" s="1"/>
  <c r="Q9" i="39"/>
  <c r="O9" i="39"/>
  <c r="N9" i="39"/>
  <c r="L9" i="39"/>
  <c r="K9" i="39"/>
  <c r="I9" i="39"/>
  <c r="H9" i="39"/>
  <c r="AO8" i="39"/>
  <c r="AG8" i="39"/>
  <c r="AD8" i="39"/>
  <c r="AB8" i="39"/>
  <c r="V8" i="39"/>
  <c r="T8" i="39"/>
  <c r="S8" i="39"/>
  <c r="Y8" i="39" s="1"/>
  <c r="Z8" i="39" s="1"/>
  <c r="O8" i="39"/>
  <c r="Q8" i="39" s="1"/>
  <c r="K8" i="39"/>
  <c r="N8" i="39" s="1"/>
  <c r="I8" i="39"/>
  <c r="H8" i="39"/>
  <c r="AO7" i="39"/>
  <c r="AD7" i="39"/>
  <c r="AB7" i="39"/>
  <c r="W7" i="39"/>
  <c r="V7" i="39"/>
  <c r="T7" i="39"/>
  <c r="S7" i="39"/>
  <c r="O7" i="39"/>
  <c r="Q7" i="39" s="1"/>
  <c r="K7" i="39"/>
  <c r="I7" i="39"/>
  <c r="H7" i="39"/>
  <c r="AO6" i="39"/>
  <c r="AD6" i="39"/>
  <c r="AB6" i="39"/>
  <c r="V6" i="39"/>
  <c r="W6" i="39" s="1"/>
  <c r="T6" i="39"/>
  <c r="S6" i="39"/>
  <c r="Q6" i="39"/>
  <c r="O6" i="39"/>
  <c r="K6" i="39"/>
  <c r="N6" i="39" s="1"/>
  <c r="AG6" i="39" s="1"/>
  <c r="I6" i="39"/>
  <c r="H6" i="39"/>
  <c r="AC43" i="38"/>
  <c r="AB43" i="38"/>
  <c r="AA43" i="38"/>
  <c r="Z43" i="38"/>
  <c r="Y43" i="38"/>
  <c r="X43" i="38"/>
  <c r="W43" i="38"/>
  <c r="V43" i="38"/>
  <c r="U43" i="38"/>
  <c r="T43" i="38"/>
  <c r="S43" i="38"/>
  <c r="R43" i="38"/>
  <c r="Q43" i="38"/>
  <c r="P43" i="38"/>
  <c r="O43" i="38"/>
  <c r="N43" i="38"/>
  <c r="M43" i="38"/>
  <c r="L43" i="38"/>
  <c r="K43" i="38"/>
  <c r="J43" i="38"/>
  <c r="I43" i="38"/>
  <c r="H43" i="38"/>
  <c r="G43" i="38"/>
  <c r="F43" i="38"/>
  <c r="E43" i="38"/>
  <c r="D43" i="38"/>
  <c r="AH33" i="38"/>
  <c r="AN31" i="38"/>
  <c r="AM31" i="38"/>
  <c r="AL31" i="38"/>
  <c r="AK31" i="38"/>
  <c r="AJ31" i="38"/>
  <c r="AH31" i="38"/>
  <c r="AI31" i="38" s="1"/>
  <c r="X31" i="38"/>
  <c r="U31" i="38"/>
  <c r="R31" i="38"/>
  <c r="S31" i="38" s="1"/>
  <c r="P31" i="38"/>
  <c r="J31" i="38"/>
  <c r="G31" i="38"/>
  <c r="F31" i="38"/>
  <c r="M31" i="38" s="1"/>
  <c r="E31" i="38"/>
  <c r="D31" i="38"/>
  <c r="AO30" i="38"/>
  <c r="AD30" i="38"/>
  <c r="AB30" i="38"/>
  <c r="Y30" i="38"/>
  <c r="Z30" i="38" s="1"/>
  <c r="V30" i="38"/>
  <c r="W30" i="38" s="1"/>
  <c r="T30" i="38"/>
  <c r="S30" i="38"/>
  <c r="O30" i="38"/>
  <c r="Q30" i="38" s="1"/>
  <c r="N30" i="38"/>
  <c r="AG30" i="38" s="1"/>
  <c r="L30" i="38"/>
  <c r="K30" i="38"/>
  <c r="I30" i="38"/>
  <c r="H30" i="38"/>
  <c r="AO29" i="38"/>
  <c r="AD29" i="38"/>
  <c r="AB29" i="38"/>
  <c r="Z29" i="38"/>
  <c r="V29" i="38"/>
  <c r="W29" i="38" s="1"/>
  <c r="T29" i="38"/>
  <c r="S29" i="38"/>
  <c r="Y29" i="38" s="1"/>
  <c r="Q29" i="38"/>
  <c r="O29" i="38"/>
  <c r="N29" i="38"/>
  <c r="AG29" i="38" s="1"/>
  <c r="K29" i="38"/>
  <c r="L29" i="38" s="1"/>
  <c r="I29" i="38"/>
  <c r="H29" i="38"/>
  <c r="AO28" i="38"/>
  <c r="AD28" i="38"/>
  <c r="AB28" i="38"/>
  <c r="V28" i="38"/>
  <c r="T28" i="38"/>
  <c r="S28" i="38"/>
  <c r="Q28" i="38"/>
  <c r="O28" i="38"/>
  <c r="K28" i="38"/>
  <c r="N28" i="38" s="1"/>
  <c r="AG28" i="38" s="1"/>
  <c r="I28" i="38"/>
  <c r="H28" i="38"/>
  <c r="AO27" i="38"/>
  <c r="AG27" i="38"/>
  <c r="AD27" i="38"/>
  <c r="AB27" i="38"/>
  <c r="V27" i="38"/>
  <c r="T27" i="38"/>
  <c r="S27" i="38"/>
  <c r="Y27" i="38" s="1"/>
  <c r="Z27" i="38" s="1"/>
  <c r="Q27" i="38"/>
  <c r="O27" i="38"/>
  <c r="N27" i="38"/>
  <c r="L27" i="38"/>
  <c r="K27" i="38"/>
  <c r="I27" i="38"/>
  <c r="H27" i="38"/>
  <c r="AO26" i="38"/>
  <c r="AD26" i="38"/>
  <c r="AB26" i="38"/>
  <c r="V26" i="38"/>
  <c r="W26" i="38" s="1"/>
  <c r="T26" i="38"/>
  <c r="S26" i="38"/>
  <c r="O26" i="38"/>
  <c r="Q26" i="38" s="1"/>
  <c r="K26" i="38"/>
  <c r="I26" i="38"/>
  <c r="H26" i="38"/>
  <c r="AO25" i="38"/>
  <c r="AD25" i="38"/>
  <c r="AB25" i="38"/>
  <c r="W25" i="38"/>
  <c r="V25" i="38"/>
  <c r="T25" i="38"/>
  <c r="S25" i="38"/>
  <c r="O25" i="38"/>
  <c r="Q25" i="38" s="1"/>
  <c r="L25" i="38"/>
  <c r="K25" i="38"/>
  <c r="N25" i="38" s="1"/>
  <c r="AG25" i="38" s="1"/>
  <c r="I25" i="38"/>
  <c r="H25" i="38"/>
  <c r="AO24" i="38"/>
  <c r="AD24" i="38"/>
  <c r="AB24" i="38"/>
  <c r="Y24" i="38"/>
  <c r="Z24" i="38" s="1"/>
  <c r="W24" i="38"/>
  <c r="V24" i="38"/>
  <c r="T24" i="38"/>
  <c r="S24" i="38"/>
  <c r="Q24" i="38"/>
  <c r="O24" i="38"/>
  <c r="N24" i="38"/>
  <c r="AG24" i="38" s="1"/>
  <c r="L24" i="38"/>
  <c r="K24" i="38"/>
  <c r="I24" i="38"/>
  <c r="H24" i="38"/>
  <c r="AO23" i="38"/>
  <c r="AD23" i="38"/>
  <c r="AB23" i="38"/>
  <c r="Y23" i="38"/>
  <c r="Z23" i="38" s="1"/>
  <c r="W23" i="38"/>
  <c r="V23" i="38"/>
  <c r="T23" i="38"/>
  <c r="S23" i="38"/>
  <c r="O23" i="38"/>
  <c r="Q23" i="38" s="1"/>
  <c r="K23" i="38"/>
  <c r="I23" i="38"/>
  <c r="H23" i="38"/>
  <c r="AO22" i="38"/>
  <c r="AD22" i="38"/>
  <c r="AB22" i="38"/>
  <c r="Z22" i="38"/>
  <c r="Y22" i="38"/>
  <c r="V22" i="38"/>
  <c r="W22" i="38" s="1"/>
  <c r="T22" i="38"/>
  <c r="S22" i="38"/>
  <c r="Q22" i="38"/>
  <c r="O22" i="38"/>
  <c r="N22" i="38"/>
  <c r="AG22" i="38" s="1"/>
  <c r="L22" i="38"/>
  <c r="K22" i="38"/>
  <c r="I22" i="38"/>
  <c r="H22" i="38"/>
  <c r="AO21" i="38"/>
  <c r="AG21" i="38"/>
  <c r="AD21" i="38"/>
  <c r="AB21" i="38"/>
  <c r="Z21" i="38"/>
  <c r="V21" i="38"/>
  <c r="W21" i="38" s="1"/>
  <c r="T21" i="38"/>
  <c r="S21" i="38"/>
  <c r="Y21" i="38" s="1"/>
  <c r="O21" i="38"/>
  <c r="Q21" i="38" s="1"/>
  <c r="N21" i="38"/>
  <c r="K21" i="38"/>
  <c r="L21" i="38" s="1"/>
  <c r="I21" i="38"/>
  <c r="H21" i="38"/>
  <c r="AO20" i="38"/>
  <c r="AD20" i="38"/>
  <c r="AB20" i="38"/>
  <c r="V20" i="38"/>
  <c r="T20" i="38"/>
  <c r="S20" i="38"/>
  <c r="O20" i="38"/>
  <c r="Q20" i="38" s="1"/>
  <c r="K20" i="38"/>
  <c r="N20" i="38" s="1"/>
  <c r="AG20" i="38" s="1"/>
  <c r="I20" i="38"/>
  <c r="H20" i="38"/>
  <c r="AO19" i="38"/>
  <c r="AG19" i="38"/>
  <c r="AD19" i="38"/>
  <c r="AB19" i="38"/>
  <c r="V19" i="38"/>
  <c r="W19" i="38" s="1"/>
  <c r="T19" i="38"/>
  <c r="S19" i="38"/>
  <c r="Y19" i="38" s="1"/>
  <c r="Z19" i="38" s="1"/>
  <c r="Q19" i="38"/>
  <c r="O19" i="38"/>
  <c r="N19" i="38"/>
  <c r="L19" i="38"/>
  <c r="K19" i="38"/>
  <c r="I19" i="38"/>
  <c r="H19" i="38"/>
  <c r="AO18" i="38"/>
  <c r="AD18" i="38"/>
  <c r="AB18" i="38"/>
  <c r="W18" i="38"/>
  <c r="V18" i="38"/>
  <c r="T18" i="38"/>
  <c r="S18" i="38"/>
  <c r="O18" i="38"/>
  <c r="Q18" i="38" s="1"/>
  <c r="K18" i="38"/>
  <c r="I18" i="38"/>
  <c r="H18" i="38"/>
  <c r="AO17" i="38"/>
  <c r="AD17" i="38"/>
  <c r="AB17" i="38"/>
  <c r="V17" i="38"/>
  <c r="W17" i="38" s="1"/>
  <c r="T17" i="38"/>
  <c r="S17" i="38"/>
  <c r="O17" i="38"/>
  <c r="Q17" i="38" s="1"/>
  <c r="K17" i="38"/>
  <c r="I17" i="38"/>
  <c r="H17" i="38"/>
  <c r="AO16" i="38"/>
  <c r="AD16" i="38"/>
  <c r="AB16" i="38"/>
  <c r="W16" i="38"/>
  <c r="V16" i="38"/>
  <c r="T16" i="38"/>
  <c r="S16" i="38"/>
  <c r="Q16" i="38"/>
  <c r="O16" i="38"/>
  <c r="K16" i="38"/>
  <c r="I16" i="38"/>
  <c r="H16" i="38"/>
  <c r="AO15" i="38"/>
  <c r="AD15" i="38"/>
  <c r="AB15" i="38"/>
  <c r="W15" i="38"/>
  <c r="V15" i="38"/>
  <c r="T15" i="38"/>
  <c r="S15" i="38"/>
  <c r="O15" i="38"/>
  <c r="Q15" i="38" s="1"/>
  <c r="N15" i="38"/>
  <c r="AG15" i="38" s="1"/>
  <c r="L15" i="38"/>
  <c r="K15" i="38"/>
  <c r="Y15" i="38" s="1"/>
  <c r="Z15" i="38" s="1"/>
  <c r="I15" i="38"/>
  <c r="H15" i="38"/>
  <c r="AO14" i="38"/>
  <c r="AD14" i="38"/>
  <c r="AB14" i="38"/>
  <c r="AB31" i="38" s="1"/>
  <c r="Y14" i="38"/>
  <c r="Z14" i="38" s="1"/>
  <c r="W14" i="38"/>
  <c r="V14" i="38"/>
  <c r="T14" i="38"/>
  <c r="S14" i="38"/>
  <c r="Q14" i="38"/>
  <c r="O14" i="38"/>
  <c r="N14" i="38"/>
  <c r="AG14" i="38" s="1"/>
  <c r="L14" i="38"/>
  <c r="K14" i="38"/>
  <c r="I14" i="38"/>
  <c r="H14" i="38"/>
  <c r="AN12" i="38"/>
  <c r="AM12" i="38"/>
  <c r="AL12" i="38"/>
  <c r="AK12" i="38"/>
  <c r="AJ12" i="38"/>
  <c r="AI12" i="38"/>
  <c r="AH12" i="38"/>
  <c r="AI33" i="38" s="1"/>
  <c r="X12" i="38"/>
  <c r="U12" i="38"/>
  <c r="S12" i="38"/>
  <c r="R12" i="38"/>
  <c r="R33" i="38" s="1"/>
  <c r="P12" i="38"/>
  <c r="J12" i="38"/>
  <c r="J33" i="38" s="1"/>
  <c r="G12" i="38"/>
  <c r="H12" i="38" s="1"/>
  <c r="F12" i="38"/>
  <c r="E12" i="38"/>
  <c r="D12" i="38"/>
  <c r="AO11" i="38"/>
  <c r="AD11" i="38"/>
  <c r="AB11" i="38"/>
  <c r="Y11" i="38"/>
  <c r="Z11" i="38" s="1"/>
  <c r="W11" i="38"/>
  <c r="V11" i="38"/>
  <c r="T11" i="38"/>
  <c r="S11" i="38"/>
  <c r="Q11" i="38"/>
  <c r="O11" i="38"/>
  <c r="N11" i="38"/>
  <c r="AG11" i="38" s="1"/>
  <c r="L11" i="38"/>
  <c r="K11" i="38"/>
  <c r="I11" i="38"/>
  <c r="H11" i="38"/>
  <c r="AO10" i="38"/>
  <c r="AG10" i="38"/>
  <c r="AD10" i="38"/>
  <c r="AB10" i="38"/>
  <c r="Z10" i="38"/>
  <c r="V10" i="38"/>
  <c r="W10" i="38" s="1"/>
  <c r="T10" i="38"/>
  <c r="S10" i="38"/>
  <c r="Y10" i="38" s="1"/>
  <c r="Q10" i="38"/>
  <c r="O10" i="38"/>
  <c r="N10" i="38"/>
  <c r="L10" i="38"/>
  <c r="K10" i="38"/>
  <c r="I10" i="38"/>
  <c r="H10" i="38"/>
  <c r="AO9" i="38"/>
  <c r="AG9" i="38"/>
  <c r="AD9" i="38"/>
  <c r="AB9" i="38"/>
  <c r="V9" i="38"/>
  <c r="T9" i="38"/>
  <c r="S9" i="38"/>
  <c r="Q9" i="38"/>
  <c r="O9" i="38"/>
  <c r="N9" i="38"/>
  <c r="K9" i="38"/>
  <c r="L9" i="38" s="1"/>
  <c r="I9" i="38"/>
  <c r="H9" i="38"/>
  <c r="AO8" i="38"/>
  <c r="AG8" i="38"/>
  <c r="AD8" i="38"/>
  <c r="AB8" i="38"/>
  <c r="V8" i="38"/>
  <c r="W8" i="38" s="1"/>
  <c r="T8" i="38"/>
  <c r="S8" i="38"/>
  <c r="Y8" i="38" s="1"/>
  <c r="Z8" i="38" s="1"/>
  <c r="O8" i="38"/>
  <c r="Q8" i="38" s="1"/>
  <c r="N8" i="38"/>
  <c r="L8" i="38"/>
  <c r="K8" i="38"/>
  <c r="I8" i="38"/>
  <c r="H8" i="38"/>
  <c r="AO7" i="38"/>
  <c r="AD7" i="38"/>
  <c r="AB7" i="38"/>
  <c r="W7" i="38"/>
  <c r="V7" i="38"/>
  <c r="T7" i="38"/>
  <c r="S7" i="38"/>
  <c r="Q7" i="38"/>
  <c r="O7" i="38"/>
  <c r="K7" i="38"/>
  <c r="I7" i="38"/>
  <c r="H7" i="38"/>
  <c r="AO6" i="38"/>
  <c r="AG6" i="38"/>
  <c r="AD6" i="38"/>
  <c r="AB6" i="38"/>
  <c r="Y6" i="38"/>
  <c r="Z6" i="38" s="1"/>
  <c r="V6" i="38"/>
  <c r="W6" i="38" s="1"/>
  <c r="T6" i="38"/>
  <c r="S6" i="38"/>
  <c r="O6" i="38"/>
  <c r="Q6" i="38" s="1"/>
  <c r="Q12" i="38" s="1"/>
  <c r="L6" i="38"/>
  <c r="K6" i="38"/>
  <c r="N6" i="38" s="1"/>
  <c r="I6" i="38"/>
  <c r="H6" i="38"/>
  <c r="AC44" i="37"/>
  <c r="AB44" i="37"/>
  <c r="AA44" i="37"/>
  <c r="Z44" i="37"/>
  <c r="Y44" i="37"/>
  <c r="X44" i="37"/>
  <c r="W44" i="37"/>
  <c r="V44" i="37"/>
  <c r="U44" i="37"/>
  <c r="T44" i="37"/>
  <c r="S44" i="37"/>
  <c r="R44" i="37"/>
  <c r="Q44" i="37"/>
  <c r="P44" i="37"/>
  <c r="O44" i="37"/>
  <c r="N44" i="37"/>
  <c r="M44" i="37"/>
  <c r="L44" i="37"/>
  <c r="K44" i="37"/>
  <c r="J44" i="37"/>
  <c r="I44" i="37"/>
  <c r="H44" i="37"/>
  <c r="G44" i="37"/>
  <c r="F44" i="37"/>
  <c r="E44" i="37"/>
  <c r="D44" i="37"/>
  <c r="F33" i="37"/>
  <c r="AN31" i="37"/>
  <c r="AM31" i="37"/>
  <c r="AL31" i="37"/>
  <c r="AK31" i="37"/>
  <c r="AJ31" i="37"/>
  <c r="AI31" i="37"/>
  <c r="AH31" i="37"/>
  <c r="W31" i="37"/>
  <c r="U31" i="37"/>
  <c r="S31" i="37"/>
  <c r="R31" i="37"/>
  <c r="X31" i="37" s="1"/>
  <c r="J31" i="37"/>
  <c r="T31" i="37" s="1"/>
  <c r="G31" i="37"/>
  <c r="H31" i="37" s="1"/>
  <c r="F31" i="37"/>
  <c r="M31" i="37" s="1"/>
  <c r="E31" i="37"/>
  <c r="D31" i="37"/>
  <c r="V31" i="37" s="1"/>
  <c r="AO30" i="37"/>
  <c r="AD30" i="37"/>
  <c r="AB30" i="37"/>
  <c r="W30" i="37"/>
  <c r="V30" i="37"/>
  <c r="T30" i="37"/>
  <c r="S30" i="37"/>
  <c r="Q30" i="37"/>
  <c r="O30" i="37"/>
  <c r="K30" i="37"/>
  <c r="I30" i="37"/>
  <c r="H30" i="37"/>
  <c r="AO29" i="37"/>
  <c r="AG29" i="37"/>
  <c r="AD29" i="37"/>
  <c r="AB29" i="37"/>
  <c r="Y29" i="37"/>
  <c r="Z29" i="37" s="1"/>
  <c r="V29" i="37"/>
  <c r="T29" i="37"/>
  <c r="S29" i="37"/>
  <c r="W29" i="37" s="1"/>
  <c r="O29" i="37"/>
  <c r="Q29" i="37" s="1"/>
  <c r="N29" i="37"/>
  <c r="L29" i="37"/>
  <c r="K29" i="37"/>
  <c r="I29" i="37"/>
  <c r="H29" i="37"/>
  <c r="AO28" i="37"/>
  <c r="AD28" i="37"/>
  <c r="AB28" i="37"/>
  <c r="Z28" i="37"/>
  <c r="V28" i="37"/>
  <c r="W28" i="37" s="1"/>
  <c r="T28" i="37"/>
  <c r="S28" i="37"/>
  <c r="Y28" i="37" s="1"/>
  <c r="Q28" i="37"/>
  <c r="O28" i="37"/>
  <c r="N28" i="37"/>
  <c r="AG28" i="37" s="1"/>
  <c r="L28" i="37"/>
  <c r="K28" i="37"/>
  <c r="I28" i="37"/>
  <c r="H28" i="37"/>
  <c r="AO27" i="37"/>
  <c r="AD27" i="37"/>
  <c r="AB27" i="37"/>
  <c r="V27" i="37"/>
  <c r="W27" i="37" s="1"/>
  <c r="T27" i="37"/>
  <c r="S27" i="37"/>
  <c r="Y27" i="37" s="1"/>
  <c r="Z27" i="37" s="1"/>
  <c r="O27" i="37"/>
  <c r="Q27" i="37" s="1"/>
  <c r="K27" i="37"/>
  <c r="N27" i="37" s="1"/>
  <c r="AG27" i="37" s="1"/>
  <c r="I27" i="37"/>
  <c r="H27" i="37"/>
  <c r="AO26" i="37"/>
  <c r="AD26" i="37"/>
  <c r="AB26" i="37"/>
  <c r="W26" i="37"/>
  <c r="V26" i="37"/>
  <c r="T26" i="37"/>
  <c r="S26" i="37"/>
  <c r="Q26" i="37"/>
  <c r="O26" i="37"/>
  <c r="K26" i="37"/>
  <c r="N26" i="37" s="1"/>
  <c r="AG26" i="37" s="1"/>
  <c r="I26" i="37"/>
  <c r="H26" i="37"/>
  <c r="AO25" i="37"/>
  <c r="AD25" i="37"/>
  <c r="AB25" i="37"/>
  <c r="V25" i="37"/>
  <c r="T25" i="37"/>
  <c r="S25" i="37"/>
  <c r="Y25" i="37" s="1"/>
  <c r="Z25" i="37" s="1"/>
  <c r="Q25" i="37"/>
  <c r="O25" i="37"/>
  <c r="L25" i="37"/>
  <c r="K25" i="37"/>
  <c r="N25" i="37" s="1"/>
  <c r="AG25" i="37" s="1"/>
  <c r="I25" i="37"/>
  <c r="H25" i="37"/>
  <c r="AO24" i="37"/>
  <c r="AD24" i="37"/>
  <c r="AB24" i="37"/>
  <c r="W24" i="37"/>
  <c r="V24" i="37"/>
  <c r="T24" i="37"/>
  <c r="S24" i="37"/>
  <c r="O24" i="37"/>
  <c r="Q24" i="37" s="1"/>
  <c r="K24" i="37"/>
  <c r="N24" i="37" s="1"/>
  <c r="AG24" i="37" s="1"/>
  <c r="I24" i="37"/>
  <c r="H24" i="37"/>
  <c r="AO23" i="37"/>
  <c r="AD23" i="37"/>
  <c r="AB23" i="37"/>
  <c r="Y23" i="37"/>
  <c r="Z23" i="37" s="1"/>
  <c r="V23" i="37"/>
  <c r="W23" i="37" s="1"/>
  <c r="T23" i="37"/>
  <c r="S23" i="37"/>
  <c r="O23" i="37"/>
  <c r="Q23" i="37" s="1"/>
  <c r="N23" i="37"/>
  <c r="AG23" i="37" s="1"/>
  <c r="L23" i="37"/>
  <c r="K23" i="37"/>
  <c r="I23" i="37"/>
  <c r="H23" i="37"/>
  <c r="AO22" i="37"/>
  <c r="AD22" i="37"/>
  <c r="AB22" i="37"/>
  <c r="W22" i="37"/>
  <c r="V22" i="37"/>
  <c r="T22" i="37"/>
  <c r="S22" i="37"/>
  <c r="Q22" i="37"/>
  <c r="O22" i="37"/>
  <c r="K22" i="37"/>
  <c r="I22" i="37"/>
  <c r="H22" i="37"/>
  <c r="AO21" i="37"/>
  <c r="AG21" i="37"/>
  <c r="AD21" i="37"/>
  <c r="AB21" i="37"/>
  <c r="Y21" i="37"/>
  <c r="Z21" i="37" s="1"/>
  <c r="V21" i="37"/>
  <c r="T21" i="37"/>
  <c r="S21" i="37"/>
  <c r="W21" i="37" s="1"/>
  <c r="O21" i="37"/>
  <c r="Q21" i="37" s="1"/>
  <c r="N21" i="37"/>
  <c r="L21" i="37"/>
  <c r="K21" i="37"/>
  <c r="I21" i="37"/>
  <c r="H21" i="37"/>
  <c r="AO20" i="37"/>
  <c r="AD20" i="37"/>
  <c r="AB20" i="37"/>
  <c r="V20" i="37"/>
  <c r="W20" i="37" s="1"/>
  <c r="T20" i="37"/>
  <c r="S20" i="37"/>
  <c r="Y20" i="37" s="1"/>
  <c r="Z20" i="37" s="1"/>
  <c r="Q20" i="37"/>
  <c r="O20" i="37"/>
  <c r="N20" i="37"/>
  <c r="AG20" i="37" s="1"/>
  <c r="L20" i="37"/>
  <c r="K20" i="37"/>
  <c r="I20" i="37"/>
  <c r="H20" i="37"/>
  <c r="AO19" i="37"/>
  <c r="AD19" i="37"/>
  <c r="AB19" i="37"/>
  <c r="V19" i="37"/>
  <c r="W19" i="37" s="1"/>
  <c r="T19" i="37"/>
  <c r="S19" i="37"/>
  <c r="Y19" i="37" s="1"/>
  <c r="Z19" i="37" s="1"/>
  <c r="O19" i="37"/>
  <c r="Q19" i="37" s="1"/>
  <c r="K19" i="37"/>
  <c r="N19" i="37" s="1"/>
  <c r="AG19" i="37" s="1"/>
  <c r="I19" i="37"/>
  <c r="H19" i="37"/>
  <c r="AO18" i="37"/>
  <c r="AD18" i="37"/>
  <c r="AB18" i="37"/>
  <c r="W18" i="37"/>
  <c r="V18" i="37"/>
  <c r="T18" i="37"/>
  <c r="S18" i="37"/>
  <c r="Q18" i="37"/>
  <c r="O18" i="37"/>
  <c r="K18" i="37"/>
  <c r="N18" i="37" s="1"/>
  <c r="AG18" i="37" s="1"/>
  <c r="I18" i="37"/>
  <c r="H18" i="37"/>
  <c r="AO17" i="37"/>
  <c r="AG17" i="37"/>
  <c r="AD17" i="37"/>
  <c r="AB17" i="37"/>
  <c r="V17" i="37"/>
  <c r="W17" i="37" s="1"/>
  <c r="T17" i="37"/>
  <c r="S17" i="37"/>
  <c r="Y17" i="37" s="1"/>
  <c r="Z17" i="37" s="1"/>
  <c r="Q17" i="37"/>
  <c r="O17" i="37"/>
  <c r="L17" i="37"/>
  <c r="K17" i="37"/>
  <c r="N17" i="37" s="1"/>
  <c r="I17" i="37"/>
  <c r="H17" i="37"/>
  <c r="AO16" i="37"/>
  <c r="AD16" i="37"/>
  <c r="AB16" i="37"/>
  <c r="W16" i="37"/>
  <c r="V16" i="37"/>
  <c r="T16" i="37"/>
  <c r="S16" i="37"/>
  <c r="O16" i="37"/>
  <c r="Q16" i="37" s="1"/>
  <c r="K16" i="37"/>
  <c r="N16" i="37" s="1"/>
  <c r="AG16" i="37" s="1"/>
  <c r="I16" i="37"/>
  <c r="H16" i="37"/>
  <c r="AO15" i="37"/>
  <c r="AD15" i="37"/>
  <c r="AB15" i="37"/>
  <c r="Y15" i="37"/>
  <c r="Z15" i="37" s="1"/>
  <c r="V15" i="37"/>
  <c r="W15" i="37" s="1"/>
  <c r="T15" i="37"/>
  <c r="S15" i="37"/>
  <c r="O15" i="37"/>
  <c r="Q15" i="37" s="1"/>
  <c r="N15" i="37"/>
  <c r="AG15" i="37" s="1"/>
  <c r="L15" i="37"/>
  <c r="K15" i="37"/>
  <c r="I15" i="37"/>
  <c r="H15" i="37"/>
  <c r="AO14" i="37"/>
  <c r="AD14" i="37"/>
  <c r="AB14" i="37"/>
  <c r="W14" i="37"/>
  <c r="V14" i="37"/>
  <c r="T14" i="37"/>
  <c r="S14" i="37"/>
  <c r="Y14" i="37" s="1"/>
  <c r="Z14" i="37" s="1"/>
  <c r="Q14" i="37"/>
  <c r="O14" i="37"/>
  <c r="K14" i="37"/>
  <c r="I14" i="37"/>
  <c r="H14" i="37"/>
  <c r="AN12" i="37"/>
  <c r="AM12" i="37"/>
  <c r="AL12" i="37"/>
  <c r="AK12" i="37"/>
  <c r="AJ12" i="37"/>
  <c r="AI12" i="37"/>
  <c r="AH12" i="37"/>
  <c r="AH33" i="37" s="1"/>
  <c r="W12" i="37"/>
  <c r="U12" i="37"/>
  <c r="U33" i="37" s="1"/>
  <c r="S12" i="37"/>
  <c r="R12" i="37"/>
  <c r="R33" i="37" s="1"/>
  <c r="J12" i="37"/>
  <c r="T12" i="37" s="1"/>
  <c r="G12" i="37"/>
  <c r="H12" i="37" s="1"/>
  <c r="F12" i="37"/>
  <c r="E12" i="37"/>
  <c r="D12" i="37"/>
  <c r="V12" i="37" s="1"/>
  <c r="AO11" i="37"/>
  <c r="AD11" i="37"/>
  <c r="AB11" i="37"/>
  <c r="W11" i="37"/>
  <c r="V11" i="37"/>
  <c r="T11" i="37"/>
  <c r="S11" i="37"/>
  <c r="Q11" i="37"/>
  <c r="O11" i="37"/>
  <c r="K11" i="37"/>
  <c r="I11" i="37"/>
  <c r="H11" i="37"/>
  <c r="AO10" i="37"/>
  <c r="AG10" i="37"/>
  <c r="AD10" i="37"/>
  <c r="AB10" i="37"/>
  <c r="Y10" i="37"/>
  <c r="Z10" i="37" s="1"/>
  <c r="V10" i="37"/>
  <c r="W10" i="37" s="1"/>
  <c r="T10" i="37"/>
  <c r="S10" i="37"/>
  <c r="O10" i="37"/>
  <c r="Q10" i="37" s="1"/>
  <c r="N10" i="37"/>
  <c r="L10" i="37"/>
  <c r="K10" i="37"/>
  <c r="I10" i="37"/>
  <c r="H10" i="37"/>
  <c r="AO9" i="37"/>
  <c r="AD9" i="37"/>
  <c r="AB9" i="37"/>
  <c r="V9" i="37"/>
  <c r="W9" i="37" s="1"/>
  <c r="T9" i="37"/>
  <c r="S9" i="37"/>
  <c r="Y9" i="37" s="1"/>
  <c r="Z9" i="37" s="1"/>
  <c r="Q9" i="37"/>
  <c r="O9" i="37"/>
  <c r="N9" i="37"/>
  <c r="AG9" i="37" s="1"/>
  <c r="K9" i="37"/>
  <c r="L9" i="37" s="1"/>
  <c r="I9" i="37"/>
  <c r="H9" i="37"/>
  <c r="AO8" i="37"/>
  <c r="AD8" i="37"/>
  <c r="AB8" i="37"/>
  <c r="AB12" i="37" s="1"/>
  <c r="V8" i="37"/>
  <c r="W8" i="37" s="1"/>
  <c r="T8" i="37"/>
  <c r="S8" i="37"/>
  <c r="Y8" i="37" s="1"/>
  <c r="Z8" i="37" s="1"/>
  <c r="O8" i="37"/>
  <c r="Q8" i="37" s="1"/>
  <c r="K8" i="37"/>
  <c r="N8" i="37" s="1"/>
  <c r="AG8" i="37" s="1"/>
  <c r="I8" i="37"/>
  <c r="H8" i="37"/>
  <c r="AO7" i="37"/>
  <c r="AD7" i="37"/>
  <c r="AB7" i="37"/>
  <c r="W7" i="37"/>
  <c r="V7" i="37"/>
  <c r="T7" i="37"/>
  <c r="S7" i="37"/>
  <c r="Q7" i="37"/>
  <c r="O7" i="37"/>
  <c r="K7" i="37"/>
  <c r="N7" i="37" s="1"/>
  <c r="AG7" i="37" s="1"/>
  <c r="I7" i="37"/>
  <c r="H7" i="37"/>
  <c r="AO6" i="37"/>
  <c r="AD6" i="37"/>
  <c r="AB6" i="37"/>
  <c r="V6" i="37"/>
  <c r="W6" i="37" s="1"/>
  <c r="T6" i="37"/>
  <c r="S6" i="37"/>
  <c r="Y6" i="37" s="1"/>
  <c r="Z6" i="37" s="1"/>
  <c r="O6" i="37"/>
  <c r="Q6" i="37" s="1"/>
  <c r="L6" i="37"/>
  <c r="K6" i="37"/>
  <c r="N6" i="37" s="1"/>
  <c r="AG6" i="37" s="1"/>
  <c r="I6" i="37"/>
  <c r="H6" i="37"/>
  <c r="AC45" i="36"/>
  <c r="AB45" i="36"/>
  <c r="AA45" i="36"/>
  <c r="Z45" i="36"/>
  <c r="Y45" i="36"/>
  <c r="X45" i="36"/>
  <c r="W45" i="36"/>
  <c r="V45" i="36"/>
  <c r="U45" i="36"/>
  <c r="T45" i="36"/>
  <c r="S45" i="36"/>
  <c r="R45" i="36"/>
  <c r="Q45" i="36"/>
  <c r="P45" i="36"/>
  <c r="O45" i="36"/>
  <c r="N45" i="36"/>
  <c r="M45" i="36"/>
  <c r="L45" i="36"/>
  <c r="K45" i="36"/>
  <c r="J45" i="36"/>
  <c r="I45" i="36"/>
  <c r="H45" i="36"/>
  <c r="G45" i="36"/>
  <c r="F45" i="36"/>
  <c r="E45" i="36"/>
  <c r="D45" i="36"/>
  <c r="E33" i="36"/>
  <c r="AN31" i="36"/>
  <c r="AM31" i="36"/>
  <c r="AL31" i="36"/>
  <c r="AK31" i="36"/>
  <c r="AJ31" i="36"/>
  <c r="AH31" i="36"/>
  <c r="AI31" i="36" s="1"/>
  <c r="X31" i="36"/>
  <c r="U31" i="36"/>
  <c r="R31" i="36"/>
  <c r="P31" i="36"/>
  <c r="J31" i="36"/>
  <c r="T31" i="36" s="1"/>
  <c r="G31" i="36"/>
  <c r="F31" i="36"/>
  <c r="M31" i="36" s="1"/>
  <c r="E31" i="36"/>
  <c r="D31" i="36"/>
  <c r="V31" i="36" s="1"/>
  <c r="AO30" i="36"/>
  <c r="AD30" i="36"/>
  <c r="AB30" i="36"/>
  <c r="Y30" i="36"/>
  <c r="Z30" i="36" s="1"/>
  <c r="V30" i="36"/>
  <c r="W30" i="36" s="1"/>
  <c r="T30" i="36"/>
  <c r="S30" i="36"/>
  <c r="O30" i="36"/>
  <c r="Q30" i="36" s="1"/>
  <c r="N30" i="36"/>
  <c r="AG30" i="36" s="1"/>
  <c r="L30" i="36"/>
  <c r="K30" i="36"/>
  <c r="I30" i="36"/>
  <c r="H30" i="36"/>
  <c r="AO29" i="36"/>
  <c r="AD29" i="36"/>
  <c r="AB29" i="36"/>
  <c r="W29" i="36"/>
  <c r="V29" i="36"/>
  <c r="T29" i="36"/>
  <c r="S29" i="36"/>
  <c r="Y29" i="36" s="1"/>
  <c r="Z29" i="36" s="1"/>
  <c r="Q29" i="36"/>
  <c r="O29" i="36"/>
  <c r="K29" i="36"/>
  <c r="I29" i="36"/>
  <c r="H29" i="36"/>
  <c r="AO28" i="36"/>
  <c r="AG28" i="36"/>
  <c r="AD28" i="36"/>
  <c r="AB28" i="36"/>
  <c r="Y28" i="36"/>
  <c r="Z28" i="36" s="1"/>
  <c r="V28" i="36"/>
  <c r="T28" i="36"/>
  <c r="S28" i="36"/>
  <c r="W28" i="36" s="1"/>
  <c r="O28" i="36"/>
  <c r="Q28" i="36" s="1"/>
  <c r="N28" i="36"/>
  <c r="L28" i="36"/>
  <c r="K28" i="36"/>
  <c r="I28" i="36"/>
  <c r="H28" i="36"/>
  <c r="AO27" i="36"/>
  <c r="AD27" i="36"/>
  <c r="AB27" i="36"/>
  <c r="Z27" i="36"/>
  <c r="V27" i="36"/>
  <c r="W27" i="36" s="1"/>
  <c r="T27" i="36"/>
  <c r="S27" i="36"/>
  <c r="Y27" i="36" s="1"/>
  <c r="Q27" i="36"/>
  <c r="O27" i="36"/>
  <c r="N27" i="36"/>
  <c r="AG27" i="36" s="1"/>
  <c r="L27" i="36"/>
  <c r="K27" i="36"/>
  <c r="I27" i="36"/>
  <c r="H27" i="36"/>
  <c r="AO26" i="36"/>
  <c r="AD26" i="36"/>
  <c r="AB26" i="36"/>
  <c r="V26" i="36"/>
  <c r="W26" i="36" s="1"/>
  <c r="T26" i="36"/>
  <c r="S26" i="36"/>
  <c r="Y26" i="36" s="1"/>
  <c r="Z26" i="36" s="1"/>
  <c r="O26" i="36"/>
  <c r="Q26" i="36" s="1"/>
  <c r="K26" i="36"/>
  <c r="N26" i="36" s="1"/>
  <c r="AG26" i="36" s="1"/>
  <c r="I26" i="36"/>
  <c r="H26" i="36"/>
  <c r="AO25" i="36"/>
  <c r="AD25" i="36"/>
  <c r="AB25" i="36"/>
  <c r="W25" i="36"/>
  <c r="V25" i="36"/>
  <c r="T25" i="36"/>
  <c r="S25" i="36"/>
  <c r="Q25" i="36"/>
  <c r="O25" i="36"/>
  <c r="K25" i="36"/>
  <c r="N25" i="36" s="1"/>
  <c r="AG25" i="36" s="1"/>
  <c r="I25" i="36"/>
  <c r="H25" i="36"/>
  <c r="AO24" i="36"/>
  <c r="AG24" i="36"/>
  <c r="AD24" i="36"/>
  <c r="AB24" i="36"/>
  <c r="V24" i="36"/>
  <c r="W24" i="36" s="1"/>
  <c r="T24" i="36"/>
  <c r="S24" i="36"/>
  <c r="Y24" i="36" s="1"/>
  <c r="Z24" i="36" s="1"/>
  <c r="Q24" i="36"/>
  <c r="O24" i="36"/>
  <c r="L24" i="36"/>
  <c r="K24" i="36"/>
  <c r="N24" i="36" s="1"/>
  <c r="I24" i="36"/>
  <c r="H24" i="36"/>
  <c r="AO23" i="36"/>
  <c r="AD23" i="36"/>
  <c r="AB23" i="36"/>
  <c r="W23" i="36"/>
  <c r="V23" i="36"/>
  <c r="T23" i="36"/>
  <c r="S23" i="36"/>
  <c r="O23" i="36"/>
  <c r="Q23" i="36" s="1"/>
  <c r="K23" i="36"/>
  <c r="N23" i="36" s="1"/>
  <c r="AG23" i="36" s="1"/>
  <c r="I23" i="36"/>
  <c r="H23" i="36"/>
  <c r="AO22" i="36"/>
  <c r="AD22" i="36"/>
  <c r="AB22" i="36"/>
  <c r="Y22" i="36"/>
  <c r="Z22" i="36" s="1"/>
  <c r="V22" i="36"/>
  <c r="W22" i="36" s="1"/>
  <c r="T22" i="36"/>
  <c r="S22" i="36"/>
  <c r="O22" i="36"/>
  <c r="Q22" i="36" s="1"/>
  <c r="N22" i="36"/>
  <c r="AG22" i="36" s="1"/>
  <c r="L22" i="36"/>
  <c r="K22" i="36"/>
  <c r="I22" i="36"/>
  <c r="H22" i="36"/>
  <c r="AO21" i="36"/>
  <c r="AD21" i="36"/>
  <c r="AB21" i="36"/>
  <c r="W21" i="36"/>
  <c r="V21" i="36"/>
  <c r="T21" i="36"/>
  <c r="S21" i="36"/>
  <c r="Y21" i="36" s="1"/>
  <c r="Z21" i="36" s="1"/>
  <c r="Q21" i="36"/>
  <c r="O21" i="36"/>
  <c r="N21" i="36"/>
  <c r="AG21" i="36" s="1"/>
  <c r="K21" i="36"/>
  <c r="L21" i="36" s="1"/>
  <c r="I21" i="36"/>
  <c r="H21" i="36"/>
  <c r="AO20" i="36"/>
  <c r="AG20" i="36"/>
  <c r="AD20" i="36"/>
  <c r="AB20" i="36"/>
  <c r="Y20" i="36"/>
  <c r="Z20" i="36" s="1"/>
  <c r="V20" i="36"/>
  <c r="T20" i="36"/>
  <c r="S20" i="36"/>
  <c r="W20" i="36" s="1"/>
  <c r="O20" i="36"/>
  <c r="Q20" i="36" s="1"/>
  <c r="N20" i="36"/>
  <c r="L20" i="36"/>
  <c r="K20" i="36"/>
  <c r="I20" i="36"/>
  <c r="H20" i="36"/>
  <c r="AO19" i="36"/>
  <c r="AD19" i="36"/>
  <c r="AB19" i="36"/>
  <c r="V19" i="36"/>
  <c r="W19" i="36" s="1"/>
  <c r="T19" i="36"/>
  <c r="S19" i="36"/>
  <c r="Y19" i="36" s="1"/>
  <c r="Z19" i="36" s="1"/>
  <c r="Q19" i="36"/>
  <c r="O19" i="36"/>
  <c r="N19" i="36"/>
  <c r="AG19" i="36" s="1"/>
  <c r="L19" i="36"/>
  <c r="K19" i="36"/>
  <c r="I19" i="36"/>
  <c r="H19" i="36"/>
  <c r="AO18" i="36"/>
  <c r="AD18" i="36"/>
  <c r="AB18" i="36"/>
  <c r="V18" i="36"/>
  <c r="T18" i="36"/>
  <c r="S18" i="36"/>
  <c r="Y18" i="36" s="1"/>
  <c r="Z18" i="36" s="1"/>
  <c r="O18" i="36"/>
  <c r="Q18" i="36" s="1"/>
  <c r="K18" i="36"/>
  <c r="N18" i="36" s="1"/>
  <c r="AG18" i="36" s="1"/>
  <c r="I18" i="36"/>
  <c r="H18" i="36"/>
  <c r="AO17" i="36"/>
  <c r="AD17" i="36"/>
  <c r="AB17" i="36"/>
  <c r="W17" i="36"/>
  <c r="V17" i="36"/>
  <c r="T17" i="36"/>
  <c r="S17" i="36"/>
  <c r="Q17" i="36"/>
  <c r="O17" i="36"/>
  <c r="K17" i="36"/>
  <c r="N17" i="36" s="1"/>
  <c r="AG17" i="36" s="1"/>
  <c r="I17" i="36"/>
  <c r="H17" i="36"/>
  <c r="AO16" i="36"/>
  <c r="AG16" i="36"/>
  <c r="AD16" i="36"/>
  <c r="AB16" i="36"/>
  <c r="V16" i="36"/>
  <c r="T16" i="36"/>
  <c r="S16" i="36"/>
  <c r="Y16" i="36" s="1"/>
  <c r="Z16" i="36" s="1"/>
  <c r="Q16" i="36"/>
  <c r="O16" i="36"/>
  <c r="L16" i="36"/>
  <c r="K16" i="36"/>
  <c r="N16" i="36" s="1"/>
  <c r="I16" i="36"/>
  <c r="H16" i="36"/>
  <c r="AO15" i="36"/>
  <c r="AD15" i="36"/>
  <c r="AB15" i="36"/>
  <c r="W15" i="36"/>
  <c r="V15" i="36"/>
  <c r="T15" i="36"/>
  <c r="S15" i="36"/>
  <c r="O15" i="36"/>
  <c r="Q15" i="36" s="1"/>
  <c r="K15" i="36"/>
  <c r="I15" i="36"/>
  <c r="H15" i="36"/>
  <c r="AO14" i="36"/>
  <c r="AD14" i="36"/>
  <c r="AD31" i="36" s="1"/>
  <c r="AB14" i="36"/>
  <c r="Y14" i="36"/>
  <c r="Z14" i="36" s="1"/>
  <c r="V14" i="36"/>
  <c r="W14" i="36" s="1"/>
  <c r="T14" i="36"/>
  <c r="S14" i="36"/>
  <c r="O14" i="36"/>
  <c r="Q14" i="36" s="1"/>
  <c r="N14" i="36"/>
  <c r="AG14" i="36" s="1"/>
  <c r="L14" i="36"/>
  <c r="K14" i="36"/>
  <c r="I14" i="36"/>
  <c r="H14" i="36"/>
  <c r="AN12" i="36"/>
  <c r="AM12" i="36"/>
  <c r="AL12" i="36"/>
  <c r="AK12" i="36"/>
  <c r="AJ12" i="36"/>
  <c r="AH12" i="36"/>
  <c r="X12" i="36"/>
  <c r="U12" i="36"/>
  <c r="U33" i="36" s="1"/>
  <c r="R12" i="36"/>
  <c r="S12" i="36" s="1"/>
  <c r="P12" i="36"/>
  <c r="J12" i="36"/>
  <c r="T12" i="36" s="1"/>
  <c r="G12" i="36"/>
  <c r="G33" i="36" s="1"/>
  <c r="F12" i="36"/>
  <c r="E12" i="36"/>
  <c r="D12" i="36"/>
  <c r="AO11" i="36"/>
  <c r="AD11" i="36"/>
  <c r="AB11" i="36"/>
  <c r="Y11" i="36"/>
  <c r="Z11" i="36" s="1"/>
  <c r="V11" i="36"/>
  <c r="W11" i="36" s="1"/>
  <c r="T11" i="36"/>
  <c r="S11" i="36"/>
  <c r="O11" i="36"/>
  <c r="Q11" i="36" s="1"/>
  <c r="N11" i="36"/>
  <c r="AG11" i="36" s="1"/>
  <c r="L11" i="36"/>
  <c r="K11" i="36"/>
  <c r="I11" i="36"/>
  <c r="H11" i="36"/>
  <c r="AO10" i="36"/>
  <c r="AG10" i="36"/>
  <c r="AD10" i="36"/>
  <c r="AB10" i="36"/>
  <c r="W10" i="36"/>
  <c r="V10" i="36"/>
  <c r="T10" i="36"/>
  <c r="S10" i="36"/>
  <c r="Y10" i="36" s="1"/>
  <c r="Z10" i="36" s="1"/>
  <c r="Q10" i="36"/>
  <c r="O10" i="36"/>
  <c r="N10" i="36"/>
  <c r="K10" i="36"/>
  <c r="L10" i="36" s="1"/>
  <c r="I10" i="36"/>
  <c r="H10" i="36"/>
  <c r="AO9" i="36"/>
  <c r="AG9" i="36"/>
  <c r="AD9" i="36"/>
  <c r="AB9" i="36"/>
  <c r="Y9" i="36"/>
  <c r="Z9" i="36" s="1"/>
  <c r="V9" i="36"/>
  <c r="T9" i="36"/>
  <c r="S9" i="36"/>
  <c r="W9" i="36" s="1"/>
  <c r="O9" i="36"/>
  <c r="Q9" i="36" s="1"/>
  <c r="N9" i="36"/>
  <c r="L9" i="36"/>
  <c r="K9" i="36"/>
  <c r="I9" i="36"/>
  <c r="H9" i="36"/>
  <c r="AO8" i="36"/>
  <c r="AD8" i="36"/>
  <c r="AB8" i="36"/>
  <c r="V8" i="36"/>
  <c r="W8" i="36" s="1"/>
  <c r="T8" i="36"/>
  <c r="S8" i="36"/>
  <c r="Y8" i="36" s="1"/>
  <c r="Z8" i="36" s="1"/>
  <c r="Q8" i="36"/>
  <c r="O8" i="36"/>
  <c r="N8" i="36"/>
  <c r="AG8" i="36" s="1"/>
  <c r="L8" i="36"/>
  <c r="K8" i="36"/>
  <c r="I8" i="36"/>
  <c r="H8" i="36"/>
  <c r="AO7" i="36"/>
  <c r="AD7" i="36"/>
  <c r="AB7" i="36"/>
  <c r="V7" i="36"/>
  <c r="W7" i="36" s="1"/>
  <c r="T7" i="36"/>
  <c r="S7" i="36"/>
  <c r="Y7" i="36" s="1"/>
  <c r="Z7" i="36" s="1"/>
  <c r="O7" i="36"/>
  <c r="Q7" i="36" s="1"/>
  <c r="K7" i="36"/>
  <c r="N7" i="36" s="1"/>
  <c r="AG7" i="36" s="1"/>
  <c r="I7" i="36"/>
  <c r="H7" i="36"/>
  <c r="AO6" i="36"/>
  <c r="AD6" i="36"/>
  <c r="AB6" i="36"/>
  <c r="W6" i="36"/>
  <c r="V6" i="36"/>
  <c r="T6" i="36"/>
  <c r="S6" i="36"/>
  <c r="Q6" i="36"/>
  <c r="O6" i="36"/>
  <c r="O12" i="36" s="1"/>
  <c r="K6" i="36"/>
  <c r="N6" i="36" s="1"/>
  <c r="AG6" i="36" s="1"/>
  <c r="I6" i="36"/>
  <c r="H6" i="36"/>
  <c r="AC46" i="35"/>
  <c r="AB46" i="35"/>
  <c r="AA46" i="35"/>
  <c r="Z46" i="35"/>
  <c r="Y46" i="35"/>
  <c r="X46" i="35"/>
  <c r="W46" i="35"/>
  <c r="V46" i="35"/>
  <c r="U46" i="35"/>
  <c r="T46" i="35"/>
  <c r="S46" i="35"/>
  <c r="R46" i="35"/>
  <c r="Q46" i="35"/>
  <c r="P46" i="35"/>
  <c r="O46" i="35"/>
  <c r="N46" i="35"/>
  <c r="M46" i="35"/>
  <c r="L46" i="35"/>
  <c r="K46" i="35"/>
  <c r="J46" i="35"/>
  <c r="I46" i="35"/>
  <c r="H46" i="35"/>
  <c r="G46" i="35"/>
  <c r="F46" i="35"/>
  <c r="E46" i="35"/>
  <c r="D46" i="35"/>
  <c r="AN31" i="35"/>
  <c r="AM31" i="35"/>
  <c r="AL31" i="35"/>
  <c r="AK31" i="35"/>
  <c r="AJ31" i="35"/>
  <c r="AI31" i="35"/>
  <c r="AH31" i="35"/>
  <c r="X31" i="35"/>
  <c r="U31" i="35"/>
  <c r="V31" i="35" s="1"/>
  <c r="R31" i="35"/>
  <c r="M31" i="35"/>
  <c r="J31" i="35"/>
  <c r="T31" i="35" s="1"/>
  <c r="G31" i="35"/>
  <c r="H31" i="35" s="1"/>
  <c r="F31" i="35"/>
  <c r="E31" i="35"/>
  <c r="D31" i="35"/>
  <c r="AO30" i="35"/>
  <c r="AD30" i="35"/>
  <c r="AB30" i="35"/>
  <c r="W30" i="35"/>
  <c r="V30" i="35"/>
  <c r="T30" i="35"/>
  <c r="S30" i="35"/>
  <c r="Q30" i="35"/>
  <c r="O30" i="35"/>
  <c r="K30" i="35"/>
  <c r="I30" i="35"/>
  <c r="H30" i="35"/>
  <c r="AO29" i="35"/>
  <c r="AD29" i="35"/>
  <c r="AB29" i="35"/>
  <c r="Y29" i="35"/>
  <c r="Z29" i="35" s="1"/>
  <c r="V29" i="35"/>
  <c r="W29" i="35" s="1"/>
  <c r="T29" i="35"/>
  <c r="S29" i="35"/>
  <c r="O29" i="35"/>
  <c r="Q29" i="35" s="1"/>
  <c r="N29" i="35"/>
  <c r="AG29" i="35" s="1"/>
  <c r="L29" i="35"/>
  <c r="K29" i="35"/>
  <c r="I29" i="35"/>
  <c r="H29" i="35"/>
  <c r="AO28" i="35"/>
  <c r="AD28" i="35"/>
  <c r="AB28" i="35"/>
  <c r="W28" i="35"/>
  <c r="V28" i="35"/>
  <c r="T28" i="35"/>
  <c r="S28" i="35"/>
  <c r="Q28" i="35"/>
  <c r="O28" i="35"/>
  <c r="N28" i="35"/>
  <c r="AG28" i="35" s="1"/>
  <c r="K28" i="35"/>
  <c r="L28" i="35" s="1"/>
  <c r="I28" i="35"/>
  <c r="H28" i="35"/>
  <c r="AO27" i="35"/>
  <c r="AD27" i="35"/>
  <c r="AB27" i="35"/>
  <c r="V27" i="35"/>
  <c r="T27" i="35"/>
  <c r="S27" i="35"/>
  <c r="Y27" i="35" s="1"/>
  <c r="Z27" i="35" s="1"/>
  <c r="O27" i="35"/>
  <c r="Q27" i="35" s="1"/>
  <c r="L27" i="35"/>
  <c r="K27" i="35"/>
  <c r="N27" i="35" s="1"/>
  <c r="AG27" i="35" s="1"/>
  <c r="I27" i="35"/>
  <c r="H27" i="35"/>
  <c r="AO26" i="35"/>
  <c r="AD26" i="35"/>
  <c r="AB26" i="35"/>
  <c r="V26" i="35"/>
  <c r="T26" i="35"/>
  <c r="S26" i="35"/>
  <c r="Q26" i="35"/>
  <c r="O26" i="35"/>
  <c r="N26" i="35"/>
  <c r="AG26" i="35" s="1"/>
  <c r="K26" i="35"/>
  <c r="L26" i="35" s="1"/>
  <c r="I26" i="35"/>
  <c r="H26" i="35"/>
  <c r="AO25" i="35"/>
  <c r="AG25" i="35"/>
  <c r="AD25" i="35"/>
  <c r="AB25" i="35"/>
  <c r="Y25" i="35"/>
  <c r="Z25" i="35" s="1"/>
  <c r="V25" i="35"/>
  <c r="T25" i="35"/>
  <c r="S25" i="35"/>
  <c r="O25" i="35"/>
  <c r="Q25" i="35" s="1"/>
  <c r="L25" i="35"/>
  <c r="K25" i="35"/>
  <c r="N25" i="35" s="1"/>
  <c r="I25" i="35"/>
  <c r="H25" i="35"/>
  <c r="AO24" i="35"/>
  <c r="AD24" i="35"/>
  <c r="AB24" i="35"/>
  <c r="W24" i="35"/>
  <c r="V24" i="35"/>
  <c r="T24" i="35"/>
  <c r="S24" i="35"/>
  <c r="Y24" i="35" s="1"/>
  <c r="Z24" i="35" s="1"/>
  <c r="Q24" i="35"/>
  <c r="O24" i="35"/>
  <c r="N24" i="35"/>
  <c r="AG24" i="35" s="1"/>
  <c r="K24" i="35"/>
  <c r="L24" i="35" s="1"/>
  <c r="I24" i="35"/>
  <c r="H24" i="35"/>
  <c r="AO23" i="35"/>
  <c r="AD23" i="35"/>
  <c r="AB23" i="35"/>
  <c r="V23" i="35"/>
  <c r="T23" i="35"/>
  <c r="S23" i="35"/>
  <c r="O23" i="35"/>
  <c r="Q23" i="35" s="1"/>
  <c r="L23" i="35"/>
  <c r="K23" i="35"/>
  <c r="N23" i="35" s="1"/>
  <c r="AG23" i="35" s="1"/>
  <c r="I23" i="35"/>
  <c r="H23" i="35"/>
  <c r="AO22" i="35"/>
  <c r="AD22" i="35"/>
  <c r="AB22" i="35"/>
  <c r="Y22" i="35"/>
  <c r="Z22" i="35" s="1"/>
  <c r="V22" i="35"/>
  <c r="W22" i="35" s="1"/>
  <c r="T22" i="35"/>
  <c r="S22" i="35"/>
  <c r="Q22" i="35"/>
  <c r="O22" i="35"/>
  <c r="L22" i="35"/>
  <c r="K22" i="35"/>
  <c r="N22" i="35" s="1"/>
  <c r="AG22" i="35" s="1"/>
  <c r="I22" i="35"/>
  <c r="H22" i="35"/>
  <c r="AO21" i="35"/>
  <c r="AD21" i="35"/>
  <c r="AB21" i="35"/>
  <c r="V21" i="35"/>
  <c r="T21" i="35"/>
  <c r="S21" i="35"/>
  <c r="Q21" i="35"/>
  <c r="O21" i="35"/>
  <c r="N21" i="35"/>
  <c r="AG21" i="35" s="1"/>
  <c r="K21" i="35"/>
  <c r="L21" i="35" s="1"/>
  <c r="I21" i="35"/>
  <c r="H21" i="35"/>
  <c r="AO20" i="35"/>
  <c r="AD20" i="35"/>
  <c r="AB20" i="35"/>
  <c r="Y20" i="35"/>
  <c r="Z20" i="35" s="1"/>
  <c r="V20" i="35"/>
  <c r="T20" i="35"/>
  <c r="S20" i="35"/>
  <c r="W20" i="35" s="1"/>
  <c r="O20" i="35"/>
  <c r="Q20" i="35" s="1"/>
  <c r="N20" i="35"/>
  <c r="AG20" i="35" s="1"/>
  <c r="L20" i="35"/>
  <c r="K20" i="35"/>
  <c r="I20" i="35"/>
  <c r="H20" i="35"/>
  <c r="AO19" i="35"/>
  <c r="AD19" i="35"/>
  <c r="AB19" i="35"/>
  <c r="Z19" i="35"/>
  <c r="Y19" i="35"/>
  <c r="V19" i="35"/>
  <c r="W19" i="35" s="1"/>
  <c r="T19" i="35"/>
  <c r="S19" i="35"/>
  <c r="Q19" i="35"/>
  <c r="O19" i="35"/>
  <c r="N19" i="35"/>
  <c r="AG19" i="35" s="1"/>
  <c r="L19" i="35"/>
  <c r="K19" i="35"/>
  <c r="I19" i="35"/>
  <c r="H19" i="35"/>
  <c r="AO18" i="35"/>
  <c r="AD18" i="35"/>
  <c r="AB18" i="35"/>
  <c r="W18" i="35"/>
  <c r="V18" i="35"/>
  <c r="T18" i="35"/>
  <c r="S18" i="35"/>
  <c r="O18" i="35"/>
  <c r="Q18" i="35" s="1"/>
  <c r="K18" i="35"/>
  <c r="I18" i="35"/>
  <c r="H18" i="35"/>
  <c r="AO17" i="35"/>
  <c r="AD17" i="35"/>
  <c r="AB17" i="35"/>
  <c r="Y17" i="35"/>
  <c r="Z17" i="35" s="1"/>
  <c r="V17" i="35"/>
  <c r="T17" i="35"/>
  <c r="S17" i="35"/>
  <c r="W17" i="35" s="1"/>
  <c r="Q17" i="35"/>
  <c r="O17" i="35"/>
  <c r="L17" i="35"/>
  <c r="K17" i="35"/>
  <c r="N17" i="35" s="1"/>
  <c r="AG17" i="35" s="1"/>
  <c r="I17" i="35"/>
  <c r="H17" i="35"/>
  <c r="AO16" i="35"/>
  <c r="AD16" i="35"/>
  <c r="AB16" i="35"/>
  <c r="Z16" i="35"/>
  <c r="V16" i="35"/>
  <c r="W16" i="35" s="1"/>
  <c r="T16" i="35"/>
  <c r="S16" i="35"/>
  <c r="Y16" i="35" s="1"/>
  <c r="Q16" i="35"/>
  <c r="O16" i="35"/>
  <c r="N16" i="35"/>
  <c r="AG16" i="35" s="1"/>
  <c r="L16" i="35"/>
  <c r="K16" i="35"/>
  <c r="I16" i="35"/>
  <c r="H16" i="35"/>
  <c r="AO15" i="35"/>
  <c r="AD15" i="35"/>
  <c r="AB15" i="35"/>
  <c r="W15" i="35"/>
  <c r="V15" i="35"/>
  <c r="T15" i="35"/>
  <c r="S15" i="35"/>
  <c r="Y15" i="35" s="1"/>
  <c r="Z15" i="35" s="1"/>
  <c r="O15" i="35"/>
  <c r="Q15" i="35" s="1"/>
  <c r="K15" i="35"/>
  <c r="I15" i="35"/>
  <c r="H15" i="35"/>
  <c r="AO14" i="35"/>
  <c r="AD14" i="35"/>
  <c r="AD31" i="35" s="1"/>
  <c r="AB14" i="35"/>
  <c r="Y14" i="35"/>
  <c r="Z14" i="35" s="1"/>
  <c r="V14" i="35"/>
  <c r="W14" i="35" s="1"/>
  <c r="T14" i="35"/>
  <c r="S14" i="35"/>
  <c r="Q14" i="35"/>
  <c r="O14" i="35"/>
  <c r="L14" i="35"/>
  <c r="K14" i="35"/>
  <c r="N14" i="35" s="1"/>
  <c r="AG14" i="35" s="1"/>
  <c r="I14" i="35"/>
  <c r="H14" i="35"/>
  <c r="AN12" i="35"/>
  <c r="AM12" i="35"/>
  <c r="AL12" i="35"/>
  <c r="AK12" i="35"/>
  <c r="AJ12" i="35"/>
  <c r="AH12" i="35"/>
  <c r="X12" i="35"/>
  <c r="U12" i="35"/>
  <c r="U33" i="35" s="1"/>
  <c r="R12" i="35"/>
  <c r="R33" i="35" s="1"/>
  <c r="P12" i="35"/>
  <c r="J12" i="35"/>
  <c r="G12" i="35"/>
  <c r="G33" i="35" s="1"/>
  <c r="F12" i="35"/>
  <c r="E12" i="35"/>
  <c r="D12" i="35"/>
  <c r="AO11" i="35"/>
  <c r="AD11" i="35"/>
  <c r="AB11" i="35"/>
  <c r="Y11" i="35"/>
  <c r="Z11" i="35" s="1"/>
  <c r="V11" i="35"/>
  <c r="W11" i="35" s="1"/>
  <c r="T11" i="35"/>
  <c r="S11" i="35"/>
  <c r="Q11" i="35"/>
  <c r="O11" i="35"/>
  <c r="L11" i="35"/>
  <c r="K11" i="35"/>
  <c r="N11" i="35" s="1"/>
  <c r="AG11" i="35" s="1"/>
  <c r="I11" i="35"/>
  <c r="H11" i="35"/>
  <c r="AO10" i="35"/>
  <c r="AG10" i="35"/>
  <c r="AD10" i="35"/>
  <c r="AB10" i="35"/>
  <c r="V10" i="35"/>
  <c r="T10" i="35"/>
  <c r="S10" i="35"/>
  <c r="Q10" i="35"/>
  <c r="O10" i="35"/>
  <c r="N10" i="35"/>
  <c r="K10" i="35"/>
  <c r="L10" i="35" s="1"/>
  <c r="I10" i="35"/>
  <c r="H10" i="35"/>
  <c r="AO9" i="35"/>
  <c r="AD9" i="35"/>
  <c r="AB9" i="35"/>
  <c r="Y9" i="35"/>
  <c r="Z9" i="35" s="1"/>
  <c r="V9" i="35"/>
  <c r="T9" i="35"/>
  <c r="S9" i="35"/>
  <c r="W9" i="35" s="1"/>
  <c r="O9" i="35"/>
  <c r="Q9" i="35" s="1"/>
  <c r="N9" i="35"/>
  <c r="AG9" i="35" s="1"/>
  <c r="L9" i="35"/>
  <c r="K9" i="35"/>
  <c r="I9" i="35"/>
  <c r="H9" i="35"/>
  <c r="AO8" i="35"/>
  <c r="AD8" i="35"/>
  <c r="AB8" i="35"/>
  <c r="Z8" i="35"/>
  <c r="Y8" i="35"/>
  <c r="V8" i="35"/>
  <c r="W8" i="35" s="1"/>
  <c r="T8" i="35"/>
  <c r="S8" i="35"/>
  <c r="Q8" i="35"/>
  <c r="O8" i="35"/>
  <c r="N8" i="35"/>
  <c r="AG8" i="35" s="1"/>
  <c r="L8" i="35"/>
  <c r="K8" i="35"/>
  <c r="I8" i="35"/>
  <c r="H8" i="35"/>
  <c r="AO7" i="35"/>
  <c r="AD7" i="35"/>
  <c r="AB7" i="35"/>
  <c r="V7" i="35"/>
  <c r="T7" i="35"/>
  <c r="S7" i="35"/>
  <c r="O7" i="35"/>
  <c r="Q7" i="35" s="1"/>
  <c r="K7" i="35"/>
  <c r="I7" i="35"/>
  <c r="H7" i="35"/>
  <c r="AO6" i="35"/>
  <c r="AD6" i="35"/>
  <c r="AD12" i="35" s="1"/>
  <c r="AB6" i="35"/>
  <c r="Y6" i="35"/>
  <c r="Z6" i="35" s="1"/>
  <c r="V6" i="35"/>
  <c r="T6" i="35"/>
  <c r="S6" i="35"/>
  <c r="W6" i="35" s="1"/>
  <c r="Q6" i="35"/>
  <c r="O6" i="35"/>
  <c r="L6" i="35"/>
  <c r="K6" i="35"/>
  <c r="N6" i="35" s="1"/>
  <c r="AG6" i="35" s="1"/>
  <c r="I6" i="35"/>
  <c r="H6" i="35"/>
  <c r="AC47" i="34"/>
  <c r="AB47" i="34"/>
  <c r="AA47" i="34"/>
  <c r="Z47" i="34"/>
  <c r="Y47" i="34"/>
  <c r="X47" i="34"/>
  <c r="W47" i="34"/>
  <c r="V47" i="34"/>
  <c r="U47" i="34"/>
  <c r="T47" i="34"/>
  <c r="S47" i="34"/>
  <c r="R47" i="34"/>
  <c r="Q47" i="34"/>
  <c r="P47" i="34"/>
  <c r="O47" i="34"/>
  <c r="N47" i="34"/>
  <c r="M47" i="34"/>
  <c r="L47" i="34"/>
  <c r="K47" i="34"/>
  <c r="J47" i="34"/>
  <c r="I47" i="34"/>
  <c r="H47" i="34"/>
  <c r="G47" i="34"/>
  <c r="F47" i="34"/>
  <c r="E47" i="34"/>
  <c r="D47" i="34"/>
  <c r="J33" i="34"/>
  <c r="F33" i="34"/>
  <c r="D33" i="34" s="1"/>
  <c r="AN31" i="34"/>
  <c r="AM31" i="34"/>
  <c r="AL31" i="34"/>
  <c r="AK31" i="34"/>
  <c r="AJ31" i="34"/>
  <c r="AI31" i="34"/>
  <c r="AH31" i="34"/>
  <c r="U31" i="34"/>
  <c r="V31" i="34" s="1"/>
  <c r="R31" i="34"/>
  <c r="M31" i="34"/>
  <c r="J31" i="34"/>
  <c r="H31" i="34"/>
  <c r="G31" i="34"/>
  <c r="F31" i="34"/>
  <c r="E31" i="34"/>
  <c r="P31" i="34" s="1"/>
  <c r="D31" i="34"/>
  <c r="K31" i="34" s="1"/>
  <c r="N31" i="34" s="1"/>
  <c r="AO30" i="34"/>
  <c r="AD30" i="34"/>
  <c r="AB30" i="34"/>
  <c r="W30" i="34"/>
  <c r="V30" i="34"/>
  <c r="T30" i="34"/>
  <c r="S30" i="34"/>
  <c r="Y30" i="34" s="1"/>
  <c r="Z30" i="34" s="1"/>
  <c r="O30" i="34"/>
  <c r="Q30" i="34" s="1"/>
  <c r="K30" i="34"/>
  <c r="I30" i="34"/>
  <c r="H30" i="34"/>
  <c r="AO29" i="34"/>
  <c r="AD29" i="34"/>
  <c r="AB29" i="34"/>
  <c r="Y29" i="34"/>
  <c r="Z29" i="34" s="1"/>
  <c r="V29" i="34"/>
  <c r="W29" i="34" s="1"/>
  <c r="T29" i="34"/>
  <c r="S29" i="34"/>
  <c r="Q29" i="34"/>
  <c r="O29" i="34"/>
  <c r="L29" i="34"/>
  <c r="K29" i="34"/>
  <c r="N29" i="34" s="1"/>
  <c r="AG29" i="34" s="1"/>
  <c r="I29" i="34"/>
  <c r="H29" i="34"/>
  <c r="AO28" i="34"/>
  <c r="AD28" i="34"/>
  <c r="AB28" i="34"/>
  <c r="W28" i="34"/>
  <c r="V28" i="34"/>
  <c r="T28" i="34"/>
  <c r="S28" i="34"/>
  <c r="Q28" i="34"/>
  <c r="O28" i="34"/>
  <c r="K28" i="34"/>
  <c r="L28" i="34" s="1"/>
  <c r="I28" i="34"/>
  <c r="H28" i="34"/>
  <c r="AO27" i="34"/>
  <c r="AD27" i="34"/>
  <c r="AB27" i="34"/>
  <c r="Y27" i="34"/>
  <c r="Z27" i="34" s="1"/>
  <c r="V27" i="34"/>
  <c r="T27" i="34"/>
  <c r="S27" i="34"/>
  <c r="W27" i="34" s="1"/>
  <c r="O27" i="34"/>
  <c r="Q27" i="34" s="1"/>
  <c r="N27" i="34"/>
  <c r="AG27" i="34" s="1"/>
  <c r="L27" i="34"/>
  <c r="K27" i="34"/>
  <c r="I27" i="34"/>
  <c r="H27" i="34"/>
  <c r="AO26" i="34"/>
  <c r="AD26" i="34"/>
  <c r="AB26" i="34"/>
  <c r="Z26" i="34"/>
  <c r="Y26" i="34"/>
  <c r="V26" i="34"/>
  <c r="W26" i="34" s="1"/>
  <c r="T26" i="34"/>
  <c r="S26" i="34"/>
  <c r="Q26" i="34"/>
  <c r="O26" i="34"/>
  <c r="N26" i="34"/>
  <c r="AG26" i="34" s="1"/>
  <c r="L26" i="34"/>
  <c r="K26" i="34"/>
  <c r="I26" i="34"/>
  <c r="H26" i="34"/>
  <c r="AO25" i="34"/>
  <c r="AD25" i="34"/>
  <c r="AB25" i="34"/>
  <c r="W25" i="34"/>
  <c r="V25" i="34"/>
  <c r="T25" i="34"/>
  <c r="S25" i="34"/>
  <c r="O25" i="34"/>
  <c r="Q25" i="34" s="1"/>
  <c r="K25" i="34"/>
  <c r="I25" i="34"/>
  <c r="H25" i="34"/>
  <c r="AO24" i="34"/>
  <c r="AD24" i="34"/>
  <c r="AB24" i="34"/>
  <c r="Y24" i="34"/>
  <c r="Z24" i="34" s="1"/>
  <c r="V24" i="34"/>
  <c r="T24" i="34"/>
  <c r="S24" i="34"/>
  <c r="W24" i="34" s="1"/>
  <c r="Q24" i="34"/>
  <c r="O24" i="34"/>
  <c r="L24" i="34"/>
  <c r="K24" i="34"/>
  <c r="N24" i="34" s="1"/>
  <c r="AG24" i="34" s="1"/>
  <c r="I24" i="34"/>
  <c r="H24" i="34"/>
  <c r="AO23" i="34"/>
  <c r="AD23" i="34"/>
  <c r="AB23" i="34"/>
  <c r="V23" i="34"/>
  <c r="W23" i="34" s="1"/>
  <c r="T23" i="34"/>
  <c r="S23" i="34"/>
  <c r="Y23" i="34" s="1"/>
  <c r="Z23" i="34" s="1"/>
  <c r="Q23" i="34"/>
  <c r="O23" i="34"/>
  <c r="N23" i="34"/>
  <c r="AG23" i="34" s="1"/>
  <c r="L23" i="34"/>
  <c r="K23" i="34"/>
  <c r="I23" i="34"/>
  <c r="H23" i="34"/>
  <c r="AO22" i="34"/>
  <c r="AD22" i="34"/>
  <c r="AB22" i="34"/>
  <c r="W22" i="34"/>
  <c r="V22" i="34"/>
  <c r="T22" i="34"/>
  <c r="S22" i="34"/>
  <c r="Y22" i="34" s="1"/>
  <c r="Z22" i="34" s="1"/>
  <c r="O22" i="34"/>
  <c r="Q22" i="34" s="1"/>
  <c r="K22" i="34"/>
  <c r="I22" i="34"/>
  <c r="H22" i="34"/>
  <c r="AO21" i="34"/>
  <c r="AD21" i="34"/>
  <c r="AB21" i="34"/>
  <c r="Y21" i="34"/>
  <c r="Z21" i="34" s="1"/>
  <c r="V21" i="34"/>
  <c r="W21" i="34" s="1"/>
  <c r="T21" i="34"/>
  <c r="S21" i="34"/>
  <c r="Q21" i="34"/>
  <c r="O21" i="34"/>
  <c r="L21" i="34"/>
  <c r="K21" i="34"/>
  <c r="N21" i="34" s="1"/>
  <c r="AG21" i="34" s="1"/>
  <c r="I21" i="34"/>
  <c r="H21" i="34"/>
  <c r="AO20" i="34"/>
  <c r="AD20" i="34"/>
  <c r="AB20" i="34"/>
  <c r="V20" i="34"/>
  <c r="T20" i="34"/>
  <c r="S20" i="34"/>
  <c r="Q20" i="34"/>
  <c r="O20" i="34"/>
  <c r="K20" i="34"/>
  <c r="I20" i="34"/>
  <c r="H20" i="34"/>
  <c r="AO19" i="34"/>
  <c r="AD19" i="34"/>
  <c r="AB19" i="34"/>
  <c r="Y19" i="34"/>
  <c r="Z19" i="34" s="1"/>
  <c r="V19" i="34"/>
  <c r="T19" i="34"/>
  <c r="S19" i="34"/>
  <c r="W19" i="34" s="1"/>
  <c r="O19" i="34"/>
  <c r="Q19" i="34" s="1"/>
  <c r="N19" i="34"/>
  <c r="AG19" i="34" s="1"/>
  <c r="L19" i="34"/>
  <c r="K19" i="34"/>
  <c r="I19" i="34"/>
  <c r="H19" i="34"/>
  <c r="AO18" i="34"/>
  <c r="AD18" i="34"/>
  <c r="AB18" i="34"/>
  <c r="Z18" i="34"/>
  <c r="Y18" i="34"/>
  <c r="V18" i="34"/>
  <c r="W18" i="34" s="1"/>
  <c r="T18" i="34"/>
  <c r="S18" i="34"/>
  <c r="Q18" i="34"/>
  <c r="O18" i="34"/>
  <c r="N18" i="34"/>
  <c r="AG18" i="34" s="1"/>
  <c r="L18" i="34"/>
  <c r="K18" i="34"/>
  <c r="I18" i="34"/>
  <c r="H18" i="34"/>
  <c r="AO17" i="34"/>
  <c r="AD17" i="34"/>
  <c r="AB17" i="34"/>
  <c r="V17" i="34"/>
  <c r="T17" i="34"/>
  <c r="S17" i="34"/>
  <c r="O17" i="34"/>
  <c r="Q17" i="34" s="1"/>
  <c r="K17" i="34"/>
  <c r="I17" i="34"/>
  <c r="H17" i="34"/>
  <c r="AO16" i="34"/>
  <c r="AD16" i="34"/>
  <c r="AB16" i="34"/>
  <c r="Y16" i="34"/>
  <c r="Z16" i="34" s="1"/>
  <c r="V16" i="34"/>
  <c r="T16" i="34"/>
  <c r="S16" i="34"/>
  <c r="W16" i="34" s="1"/>
  <c r="Q16" i="34"/>
  <c r="O16" i="34"/>
  <c r="L16" i="34"/>
  <c r="K16" i="34"/>
  <c r="N16" i="34" s="1"/>
  <c r="AG16" i="34" s="1"/>
  <c r="I16" i="34"/>
  <c r="H16" i="34"/>
  <c r="AO15" i="34"/>
  <c r="AD15" i="34"/>
  <c r="AB15" i="34"/>
  <c r="V15" i="34"/>
  <c r="T15" i="34"/>
  <c r="S15" i="34"/>
  <c r="Y15" i="34" s="1"/>
  <c r="Z15" i="34" s="1"/>
  <c r="Q15" i="34"/>
  <c r="O15" i="34"/>
  <c r="N15" i="34"/>
  <c r="AG15" i="34" s="1"/>
  <c r="L15" i="34"/>
  <c r="K15" i="34"/>
  <c r="I15" i="34"/>
  <c r="H15" i="34"/>
  <c r="AO14" i="34"/>
  <c r="AD14" i="34"/>
  <c r="AD31" i="34" s="1"/>
  <c r="AB14" i="34"/>
  <c r="W14" i="34"/>
  <c r="V14" i="34"/>
  <c r="T14" i="34"/>
  <c r="S14" i="34"/>
  <c r="O14" i="34"/>
  <c r="Q14" i="34" s="1"/>
  <c r="K14" i="34"/>
  <c r="I14" i="34"/>
  <c r="H14" i="34"/>
  <c r="AN12" i="34"/>
  <c r="AM12" i="34"/>
  <c r="AL12" i="34"/>
  <c r="AK12" i="34"/>
  <c r="AJ12" i="34"/>
  <c r="AI12" i="34"/>
  <c r="AH12" i="34"/>
  <c r="U12" i="34"/>
  <c r="R12" i="34"/>
  <c r="M12" i="34"/>
  <c r="J12" i="34"/>
  <c r="T12" i="34" s="1"/>
  <c r="H12" i="34"/>
  <c r="G12" i="34"/>
  <c r="G33" i="34" s="1"/>
  <c r="H33" i="34" s="1"/>
  <c r="F12" i="34"/>
  <c r="E12" i="34"/>
  <c r="D12" i="34"/>
  <c r="AO11" i="34"/>
  <c r="AD11" i="34"/>
  <c r="AB11" i="34"/>
  <c r="W11" i="34"/>
  <c r="V11" i="34"/>
  <c r="T11" i="34"/>
  <c r="S11" i="34"/>
  <c r="O11" i="34"/>
  <c r="Q11" i="34" s="1"/>
  <c r="K11" i="34"/>
  <c r="I11" i="34"/>
  <c r="H11" i="34"/>
  <c r="AO10" i="34"/>
  <c r="AG10" i="34"/>
  <c r="AD10" i="34"/>
  <c r="AB10" i="34"/>
  <c r="Y10" i="34"/>
  <c r="Z10" i="34" s="1"/>
  <c r="V10" i="34"/>
  <c r="W10" i="34" s="1"/>
  <c r="T10" i="34"/>
  <c r="S10" i="34"/>
  <c r="Q10" i="34"/>
  <c r="O10" i="34"/>
  <c r="L10" i="34"/>
  <c r="K10" i="34"/>
  <c r="N10" i="34" s="1"/>
  <c r="I10" i="34"/>
  <c r="H10" i="34"/>
  <c r="AO9" i="34"/>
  <c r="AG9" i="34"/>
  <c r="AD9" i="34"/>
  <c r="AB9" i="34"/>
  <c r="V9" i="34"/>
  <c r="T9" i="34"/>
  <c r="S9" i="34"/>
  <c r="Y9" i="34" s="1"/>
  <c r="Z9" i="34" s="1"/>
  <c r="Q9" i="34"/>
  <c r="O9" i="34"/>
  <c r="N9" i="34"/>
  <c r="K9" i="34"/>
  <c r="L9" i="34" s="1"/>
  <c r="I9" i="34"/>
  <c r="H9" i="34"/>
  <c r="AO8" i="34"/>
  <c r="AG8" i="34"/>
  <c r="AD8" i="34"/>
  <c r="AB8" i="34"/>
  <c r="Y8" i="34"/>
  <c r="Z8" i="34" s="1"/>
  <c r="V8" i="34"/>
  <c r="T8" i="34"/>
  <c r="S8" i="34"/>
  <c r="W8" i="34" s="1"/>
  <c r="O8" i="34"/>
  <c r="Q8" i="34" s="1"/>
  <c r="N8" i="34"/>
  <c r="L8" i="34"/>
  <c r="K8" i="34"/>
  <c r="I8" i="34"/>
  <c r="H8" i="34"/>
  <c r="AO7" i="34"/>
  <c r="AG7" i="34"/>
  <c r="AD7" i="34"/>
  <c r="AB7" i="34"/>
  <c r="Z7" i="34"/>
  <c r="Y7" i="34"/>
  <c r="V7" i="34"/>
  <c r="W7" i="34" s="1"/>
  <c r="T7" i="34"/>
  <c r="S7" i="34"/>
  <c r="Q7" i="34"/>
  <c r="O7" i="34"/>
  <c r="N7" i="34"/>
  <c r="L7" i="34"/>
  <c r="K7" i="34"/>
  <c r="I7" i="34"/>
  <c r="H7" i="34"/>
  <c r="AO6" i="34"/>
  <c r="AG6" i="34"/>
  <c r="AD6" i="34"/>
  <c r="AD12" i="34" s="1"/>
  <c r="AB6" i="34"/>
  <c r="W6" i="34"/>
  <c r="V6" i="34"/>
  <c r="T6" i="34"/>
  <c r="S6" i="34"/>
  <c r="O6" i="34"/>
  <c r="Q6" i="34" s="1"/>
  <c r="K6" i="34"/>
  <c r="I6" i="34"/>
  <c r="H6" i="34"/>
  <c r="AC48" i="33"/>
  <c r="AB48" i="33"/>
  <c r="AA48" i="33"/>
  <c r="Z48" i="33"/>
  <c r="Y48" i="33"/>
  <c r="X48" i="33"/>
  <c r="W48" i="33"/>
  <c r="V48" i="33"/>
  <c r="U48" i="33"/>
  <c r="T48" i="33"/>
  <c r="S48" i="33"/>
  <c r="R48" i="33"/>
  <c r="Q48" i="33"/>
  <c r="P48" i="33"/>
  <c r="O48" i="33"/>
  <c r="N48" i="33"/>
  <c r="M48" i="33"/>
  <c r="L48" i="33"/>
  <c r="K48" i="33"/>
  <c r="J48" i="33"/>
  <c r="I48" i="33"/>
  <c r="H48" i="33"/>
  <c r="G48" i="33"/>
  <c r="F48" i="33"/>
  <c r="E48" i="33"/>
  <c r="D48" i="33"/>
  <c r="U33" i="33"/>
  <c r="R33" i="33"/>
  <c r="E33" i="33"/>
  <c r="AN31" i="33"/>
  <c r="AM31" i="33"/>
  <c r="AL31" i="33"/>
  <c r="AK31" i="33"/>
  <c r="AJ31" i="33"/>
  <c r="AH31" i="33"/>
  <c r="AI31" i="33" s="1"/>
  <c r="Y31" i="33"/>
  <c r="Z31" i="33" s="1"/>
  <c r="X31" i="33"/>
  <c r="V31" i="33"/>
  <c r="W31" i="33" s="1"/>
  <c r="U31" i="33"/>
  <c r="T31" i="33"/>
  <c r="R31" i="33"/>
  <c r="P31" i="33"/>
  <c r="N31" i="33"/>
  <c r="M31" i="33"/>
  <c r="K31" i="33"/>
  <c r="J31" i="33"/>
  <c r="G31" i="33"/>
  <c r="H31" i="33" s="1"/>
  <c r="F31" i="33"/>
  <c r="E31" i="33"/>
  <c r="D31" i="33"/>
  <c r="S31" i="33" s="1"/>
  <c r="AO30" i="33"/>
  <c r="AG30" i="33"/>
  <c r="AD30" i="33"/>
  <c r="AB30" i="33"/>
  <c r="Z30" i="33"/>
  <c r="V30" i="33"/>
  <c r="W30" i="33" s="1"/>
  <c r="T30" i="33"/>
  <c r="S30" i="33"/>
  <c r="Y30" i="33" s="1"/>
  <c r="Q30" i="33"/>
  <c r="O30" i="33"/>
  <c r="N30" i="33"/>
  <c r="L30" i="33"/>
  <c r="K30" i="33"/>
  <c r="I30" i="33"/>
  <c r="H30" i="33"/>
  <c r="AO29" i="33"/>
  <c r="AD29" i="33"/>
  <c r="AB29" i="33"/>
  <c r="W29" i="33"/>
  <c r="V29" i="33"/>
  <c r="T29" i="33"/>
  <c r="S29" i="33"/>
  <c r="Y29" i="33" s="1"/>
  <c r="Z29" i="33" s="1"/>
  <c r="O29" i="33"/>
  <c r="Q29" i="33" s="1"/>
  <c r="Q31" i="33" s="1"/>
  <c r="K29" i="33"/>
  <c r="I29" i="33"/>
  <c r="H29" i="33"/>
  <c r="AO28" i="33"/>
  <c r="AD28" i="33"/>
  <c r="AB28" i="33"/>
  <c r="Y28" i="33"/>
  <c r="Z28" i="33" s="1"/>
  <c r="V28" i="33"/>
  <c r="W28" i="33" s="1"/>
  <c r="T28" i="33"/>
  <c r="S28" i="33"/>
  <c r="Q28" i="33"/>
  <c r="O28" i="33"/>
  <c r="L28" i="33"/>
  <c r="K28" i="33"/>
  <c r="N28" i="33" s="1"/>
  <c r="AG28" i="33" s="1"/>
  <c r="I28" i="33"/>
  <c r="H28" i="33"/>
  <c r="AO27" i="33"/>
  <c r="AD27" i="33"/>
  <c r="AB27" i="33"/>
  <c r="W27" i="33"/>
  <c r="V27" i="33"/>
  <c r="T27" i="33"/>
  <c r="S27" i="33"/>
  <c r="Q27" i="33"/>
  <c r="O27" i="33"/>
  <c r="K27" i="33"/>
  <c r="L27" i="33" s="1"/>
  <c r="I27" i="33"/>
  <c r="H27" i="33"/>
  <c r="AO26" i="33"/>
  <c r="AD26" i="33"/>
  <c r="AB26" i="33"/>
  <c r="Y26" i="33"/>
  <c r="Z26" i="33" s="1"/>
  <c r="V26" i="33"/>
  <c r="T26" i="33"/>
  <c r="S26" i="33"/>
  <c r="W26" i="33" s="1"/>
  <c r="O26" i="33"/>
  <c r="Q26" i="33" s="1"/>
  <c r="N26" i="33"/>
  <c r="AG26" i="33" s="1"/>
  <c r="L26" i="33"/>
  <c r="K26" i="33"/>
  <c r="I26" i="33"/>
  <c r="H26" i="33"/>
  <c r="AO25" i="33"/>
  <c r="AD25" i="33"/>
  <c r="AB25" i="33"/>
  <c r="Z25" i="33"/>
  <c r="Y25" i="33"/>
  <c r="V25" i="33"/>
  <c r="W25" i="33" s="1"/>
  <c r="T25" i="33"/>
  <c r="S25" i="33"/>
  <c r="Q25" i="33"/>
  <c r="O25" i="33"/>
  <c r="N25" i="33"/>
  <c r="AG25" i="33" s="1"/>
  <c r="L25" i="33"/>
  <c r="K25" i="33"/>
  <c r="I25" i="33"/>
  <c r="H25" i="33"/>
  <c r="AO24" i="33"/>
  <c r="AD24" i="33"/>
  <c r="AB24" i="33"/>
  <c r="W24" i="33"/>
  <c r="V24" i="33"/>
  <c r="T24" i="33"/>
  <c r="S24" i="33"/>
  <c r="O24" i="33"/>
  <c r="Q24" i="33" s="1"/>
  <c r="K24" i="33"/>
  <c r="I24" i="33"/>
  <c r="H24" i="33"/>
  <c r="AO23" i="33"/>
  <c r="AD23" i="33"/>
  <c r="AB23" i="33"/>
  <c r="Y23" i="33"/>
  <c r="Z23" i="33" s="1"/>
  <c r="V23" i="33"/>
  <c r="T23" i="33"/>
  <c r="S23" i="33"/>
  <c r="W23" i="33" s="1"/>
  <c r="Q23" i="33"/>
  <c r="O23" i="33"/>
  <c r="L23" i="33"/>
  <c r="K23" i="33"/>
  <c r="N23" i="33" s="1"/>
  <c r="AG23" i="33" s="1"/>
  <c r="I23" i="33"/>
  <c r="H23" i="33"/>
  <c r="AO22" i="33"/>
  <c r="AD22" i="33"/>
  <c r="AB22" i="33"/>
  <c r="V22" i="33"/>
  <c r="W22" i="33" s="1"/>
  <c r="T22" i="33"/>
  <c r="S22" i="33"/>
  <c r="Y22" i="33" s="1"/>
  <c r="Z22" i="33" s="1"/>
  <c r="Q22" i="33"/>
  <c r="O22" i="33"/>
  <c r="N22" i="33"/>
  <c r="AG22" i="33" s="1"/>
  <c r="L22" i="33"/>
  <c r="K22" i="33"/>
  <c r="I22" i="33"/>
  <c r="H22" i="33"/>
  <c r="AO21" i="33"/>
  <c r="AD21" i="33"/>
  <c r="AB21" i="33"/>
  <c r="W21" i="33"/>
  <c r="V21" i="33"/>
  <c r="T21" i="33"/>
  <c r="S21" i="33"/>
  <c r="Y21" i="33" s="1"/>
  <c r="Z21" i="33" s="1"/>
  <c r="O21" i="33"/>
  <c r="Q21" i="33" s="1"/>
  <c r="K21" i="33"/>
  <c r="I21" i="33"/>
  <c r="H21" i="33"/>
  <c r="AO20" i="33"/>
  <c r="AD20" i="33"/>
  <c r="AB20" i="33"/>
  <c r="Y20" i="33"/>
  <c r="Z20" i="33" s="1"/>
  <c r="V20" i="33"/>
  <c r="W20" i="33" s="1"/>
  <c r="T20" i="33"/>
  <c r="S20" i="33"/>
  <c r="Q20" i="33"/>
  <c r="O20" i="33"/>
  <c r="L20" i="33"/>
  <c r="K20" i="33"/>
  <c r="N20" i="33" s="1"/>
  <c r="AG20" i="33" s="1"/>
  <c r="I20" i="33"/>
  <c r="H20" i="33"/>
  <c r="AO19" i="33"/>
  <c r="AD19" i="33"/>
  <c r="AB19" i="33"/>
  <c r="V19" i="33"/>
  <c r="T19" i="33"/>
  <c r="S19" i="33"/>
  <c r="Q19" i="33"/>
  <c r="O19" i="33"/>
  <c r="K19" i="33"/>
  <c r="I19" i="33"/>
  <c r="H19" i="33"/>
  <c r="AO18" i="33"/>
  <c r="AD18" i="33"/>
  <c r="AB18" i="33"/>
  <c r="Y18" i="33"/>
  <c r="Z18" i="33" s="1"/>
  <c r="V18" i="33"/>
  <c r="T18" i="33"/>
  <c r="S18" i="33"/>
  <c r="W18" i="33" s="1"/>
  <c r="O18" i="33"/>
  <c r="Q18" i="33" s="1"/>
  <c r="N18" i="33"/>
  <c r="AG18" i="33" s="1"/>
  <c r="L18" i="33"/>
  <c r="K18" i="33"/>
  <c r="I18" i="33"/>
  <c r="H18" i="33"/>
  <c r="AO17" i="33"/>
  <c r="AD17" i="33"/>
  <c r="AB17" i="33"/>
  <c r="Z17" i="33"/>
  <c r="Y17" i="33"/>
  <c r="V17" i="33"/>
  <c r="W17" i="33" s="1"/>
  <c r="T17" i="33"/>
  <c r="S17" i="33"/>
  <c r="Q17" i="33"/>
  <c r="O17" i="33"/>
  <c r="N17" i="33"/>
  <c r="AG17" i="33" s="1"/>
  <c r="L17" i="33"/>
  <c r="K17" i="33"/>
  <c r="I17" i="33"/>
  <c r="H17" i="33"/>
  <c r="AO16" i="33"/>
  <c r="AD16" i="33"/>
  <c r="AB16" i="33"/>
  <c r="V16" i="33"/>
  <c r="T16" i="33"/>
  <c r="S16" i="33"/>
  <c r="O16" i="33"/>
  <c r="Q16" i="33" s="1"/>
  <c r="K16" i="33"/>
  <c r="I16" i="33"/>
  <c r="H16" i="33"/>
  <c r="AO15" i="33"/>
  <c r="AD15" i="33"/>
  <c r="AD31" i="33" s="1"/>
  <c r="AB15" i="33"/>
  <c r="Y15" i="33"/>
  <c r="Z15" i="33" s="1"/>
  <c r="V15" i="33"/>
  <c r="T15" i="33"/>
  <c r="S15" i="33"/>
  <c r="W15" i="33" s="1"/>
  <c r="Q15" i="33"/>
  <c r="O15" i="33"/>
  <c r="L15" i="33"/>
  <c r="K15" i="33"/>
  <c r="N15" i="33" s="1"/>
  <c r="AG15" i="33" s="1"/>
  <c r="I15" i="33"/>
  <c r="H15" i="33"/>
  <c r="AO14" i="33"/>
  <c r="AD14" i="33"/>
  <c r="AB14" i="33"/>
  <c r="V14" i="33"/>
  <c r="T14" i="33"/>
  <c r="S14" i="33"/>
  <c r="Y14" i="33" s="1"/>
  <c r="Z14" i="33" s="1"/>
  <c r="Q14" i="33"/>
  <c r="O14" i="33"/>
  <c r="N14" i="33"/>
  <c r="AG14" i="33" s="1"/>
  <c r="L14" i="33"/>
  <c r="K14" i="33"/>
  <c r="I14" i="33"/>
  <c r="H14" i="33"/>
  <c r="AN12" i="33"/>
  <c r="AM12" i="33"/>
  <c r="AL12" i="33"/>
  <c r="AK12" i="33"/>
  <c r="AJ12" i="33"/>
  <c r="AH12" i="33"/>
  <c r="X12" i="33"/>
  <c r="V12" i="33"/>
  <c r="W12" i="33" s="1"/>
  <c r="U12" i="33"/>
  <c r="T12" i="33"/>
  <c r="R12" i="33"/>
  <c r="P12" i="33"/>
  <c r="M12" i="33"/>
  <c r="K12" i="33"/>
  <c r="J12" i="33"/>
  <c r="J33" i="33" s="1"/>
  <c r="G12" i="33"/>
  <c r="F12" i="33"/>
  <c r="E12" i="33"/>
  <c r="D12" i="33"/>
  <c r="S12" i="33" s="1"/>
  <c r="AO11" i="33"/>
  <c r="AD11" i="33"/>
  <c r="AB11" i="33"/>
  <c r="Z11" i="33"/>
  <c r="V11" i="33"/>
  <c r="T11" i="33"/>
  <c r="S11" i="33"/>
  <c r="Y11" i="33" s="1"/>
  <c r="Q11" i="33"/>
  <c r="O11" i="33"/>
  <c r="N11" i="33"/>
  <c r="AG11" i="33" s="1"/>
  <c r="L11" i="33"/>
  <c r="K11" i="33"/>
  <c r="I11" i="33"/>
  <c r="H11" i="33"/>
  <c r="AO10" i="33"/>
  <c r="AD10" i="33"/>
  <c r="AB10" i="33"/>
  <c r="W10" i="33"/>
  <c r="V10" i="33"/>
  <c r="T10" i="33"/>
  <c r="S10" i="33"/>
  <c r="O10" i="33"/>
  <c r="Q10" i="33" s="1"/>
  <c r="K10" i="33"/>
  <c r="I10" i="33"/>
  <c r="H10" i="33"/>
  <c r="AO9" i="33"/>
  <c r="AD9" i="33"/>
  <c r="AB9" i="33"/>
  <c r="V9" i="33"/>
  <c r="W9" i="33" s="1"/>
  <c r="T9" i="33"/>
  <c r="S9" i="33"/>
  <c r="Q9" i="33"/>
  <c r="O9" i="33"/>
  <c r="L9" i="33"/>
  <c r="K9" i="33"/>
  <c r="N9" i="33" s="1"/>
  <c r="AG9" i="33" s="1"/>
  <c r="I9" i="33"/>
  <c r="H9" i="33"/>
  <c r="AO8" i="33"/>
  <c r="AG8" i="33"/>
  <c r="AD8" i="33"/>
  <c r="AB8" i="33"/>
  <c r="V8" i="33"/>
  <c r="T8" i="33"/>
  <c r="S8" i="33"/>
  <c r="Y8" i="33" s="1"/>
  <c r="Z8" i="33" s="1"/>
  <c r="Q8" i="33"/>
  <c r="O8" i="33"/>
  <c r="N8" i="33"/>
  <c r="L8" i="33"/>
  <c r="K8" i="33"/>
  <c r="I8" i="33"/>
  <c r="H8" i="33"/>
  <c r="AO7" i="33"/>
  <c r="AG7" i="33"/>
  <c r="AD7" i="33"/>
  <c r="AB7" i="33"/>
  <c r="V7" i="33"/>
  <c r="T7" i="33"/>
  <c r="S7" i="33"/>
  <c r="W7" i="33" s="1"/>
  <c r="O7" i="33"/>
  <c r="Q7" i="33" s="1"/>
  <c r="N7" i="33"/>
  <c r="L7" i="33"/>
  <c r="K7" i="33"/>
  <c r="I7" i="33"/>
  <c r="H7" i="33"/>
  <c r="AO6" i="33"/>
  <c r="AG6" i="33"/>
  <c r="AD6" i="33"/>
  <c r="AD12" i="33" s="1"/>
  <c r="AB6" i="33"/>
  <c r="Z6" i="33"/>
  <c r="Y6" i="33"/>
  <c r="V6" i="33"/>
  <c r="W6" i="33" s="1"/>
  <c r="T6" i="33"/>
  <c r="S6" i="33"/>
  <c r="O6" i="33"/>
  <c r="Q6" i="33" s="1"/>
  <c r="N6" i="33"/>
  <c r="L6" i="33"/>
  <c r="K6" i="33"/>
  <c r="I6" i="33"/>
  <c r="H6" i="33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F33" i="32"/>
  <c r="AN31" i="32"/>
  <c r="AM31" i="32"/>
  <c r="AL31" i="32"/>
  <c r="AK31" i="32"/>
  <c r="AJ31" i="32"/>
  <c r="AI31" i="32"/>
  <c r="AH31" i="32"/>
  <c r="U31" i="32"/>
  <c r="V31" i="32" s="1"/>
  <c r="W31" i="32" s="1"/>
  <c r="T31" i="32"/>
  <c r="R31" i="32"/>
  <c r="S31" i="32" s="1"/>
  <c r="M31" i="32"/>
  <c r="J31" i="32"/>
  <c r="K31" i="32" s="1"/>
  <c r="N31" i="32" s="1"/>
  <c r="G31" i="32"/>
  <c r="H31" i="32" s="1"/>
  <c r="F31" i="32"/>
  <c r="E31" i="32"/>
  <c r="P31" i="32" s="1"/>
  <c r="D31" i="32"/>
  <c r="AO30" i="32"/>
  <c r="AG30" i="32"/>
  <c r="AD30" i="32"/>
  <c r="AB30" i="32"/>
  <c r="V30" i="32"/>
  <c r="W30" i="32" s="1"/>
  <c r="T30" i="32"/>
  <c r="S30" i="32"/>
  <c r="Y30" i="32" s="1"/>
  <c r="Z30" i="32" s="1"/>
  <c r="Q30" i="32"/>
  <c r="O30" i="32"/>
  <c r="N30" i="32"/>
  <c r="L30" i="32"/>
  <c r="K30" i="32"/>
  <c r="I30" i="32"/>
  <c r="H30" i="32"/>
  <c r="AO29" i="32"/>
  <c r="AD29" i="32"/>
  <c r="AB29" i="32"/>
  <c r="V29" i="32"/>
  <c r="T29" i="32"/>
  <c r="S29" i="32"/>
  <c r="O29" i="32"/>
  <c r="Q29" i="32" s="1"/>
  <c r="K29" i="32"/>
  <c r="N29" i="32" s="1"/>
  <c r="AG29" i="32" s="1"/>
  <c r="I29" i="32"/>
  <c r="H29" i="32"/>
  <c r="AO28" i="32"/>
  <c r="AD28" i="32"/>
  <c r="AB28" i="32"/>
  <c r="Y28" i="32"/>
  <c r="Z28" i="32" s="1"/>
  <c r="V28" i="32"/>
  <c r="W28" i="32" s="1"/>
  <c r="T28" i="32"/>
  <c r="S28" i="32"/>
  <c r="Q28" i="32"/>
  <c r="O28" i="32"/>
  <c r="L28" i="32"/>
  <c r="K28" i="32"/>
  <c r="N28" i="32" s="1"/>
  <c r="AG28" i="32" s="1"/>
  <c r="I28" i="32"/>
  <c r="H28" i="32"/>
  <c r="AO27" i="32"/>
  <c r="AD27" i="32"/>
  <c r="AB27" i="32"/>
  <c r="V27" i="32"/>
  <c r="W27" i="32" s="1"/>
  <c r="T27" i="32"/>
  <c r="S27" i="32"/>
  <c r="Y27" i="32" s="1"/>
  <c r="Z27" i="32" s="1"/>
  <c r="Q27" i="32"/>
  <c r="O27" i="32"/>
  <c r="K27" i="32"/>
  <c r="N27" i="32" s="1"/>
  <c r="AG27" i="32" s="1"/>
  <c r="I27" i="32"/>
  <c r="H27" i="32"/>
  <c r="AO26" i="32"/>
  <c r="AD26" i="32"/>
  <c r="AB26" i="32"/>
  <c r="W26" i="32"/>
  <c r="V26" i="32"/>
  <c r="T26" i="32"/>
  <c r="S26" i="32"/>
  <c r="O26" i="32"/>
  <c r="Q26" i="32" s="1"/>
  <c r="K26" i="32"/>
  <c r="I26" i="32"/>
  <c r="H26" i="32"/>
  <c r="AO25" i="32"/>
  <c r="AD25" i="32"/>
  <c r="AB25" i="32"/>
  <c r="Y25" i="32"/>
  <c r="Z25" i="32" s="1"/>
  <c r="V25" i="32"/>
  <c r="W25" i="32" s="1"/>
  <c r="T25" i="32"/>
  <c r="S25" i="32"/>
  <c r="Q25" i="32"/>
  <c r="O25" i="32"/>
  <c r="N25" i="32"/>
  <c r="AG25" i="32" s="1"/>
  <c r="L25" i="32"/>
  <c r="K25" i="32"/>
  <c r="I25" i="32"/>
  <c r="H25" i="32"/>
  <c r="AO24" i="32"/>
  <c r="AD24" i="32"/>
  <c r="AB24" i="32"/>
  <c r="Z24" i="32"/>
  <c r="V24" i="32"/>
  <c r="T24" i="32"/>
  <c r="S24" i="32"/>
  <c r="Y24" i="32" s="1"/>
  <c r="O24" i="32"/>
  <c r="Q24" i="32" s="1"/>
  <c r="N24" i="32"/>
  <c r="AG24" i="32" s="1"/>
  <c r="K24" i="32"/>
  <c r="L24" i="32" s="1"/>
  <c r="I24" i="32"/>
  <c r="H24" i="32"/>
  <c r="AO23" i="32"/>
  <c r="AD23" i="32"/>
  <c r="AB23" i="32"/>
  <c r="Y23" i="32"/>
  <c r="Z23" i="32" s="1"/>
  <c r="V23" i="32"/>
  <c r="T23" i="32"/>
  <c r="S23" i="32"/>
  <c r="W23" i="32" s="1"/>
  <c r="O23" i="32"/>
  <c r="Q23" i="32" s="1"/>
  <c r="L23" i="32"/>
  <c r="K23" i="32"/>
  <c r="N23" i="32" s="1"/>
  <c r="AG23" i="32" s="1"/>
  <c r="I23" i="32"/>
  <c r="H23" i="32"/>
  <c r="AO22" i="32"/>
  <c r="AG22" i="32"/>
  <c r="AD22" i="32"/>
  <c r="AB22" i="32"/>
  <c r="V22" i="32"/>
  <c r="W22" i="32" s="1"/>
  <c r="T22" i="32"/>
  <c r="S22" i="32"/>
  <c r="Y22" i="32" s="1"/>
  <c r="Z22" i="32" s="1"/>
  <c r="Q22" i="32"/>
  <c r="O22" i="32"/>
  <c r="N22" i="32"/>
  <c r="L22" i="32"/>
  <c r="K22" i="32"/>
  <c r="I22" i="32"/>
  <c r="H22" i="32"/>
  <c r="AO21" i="32"/>
  <c r="AD21" i="32"/>
  <c r="AB21" i="32"/>
  <c r="V21" i="32"/>
  <c r="T21" i="32"/>
  <c r="S21" i="32"/>
  <c r="O21" i="32"/>
  <c r="Q21" i="32" s="1"/>
  <c r="K21" i="32"/>
  <c r="N21" i="32" s="1"/>
  <c r="AG21" i="32" s="1"/>
  <c r="I21" i="32"/>
  <c r="H21" i="32"/>
  <c r="AO20" i="32"/>
  <c r="AD20" i="32"/>
  <c r="AB20" i="32"/>
  <c r="Y20" i="32"/>
  <c r="Z20" i="32" s="1"/>
  <c r="V20" i="32"/>
  <c r="W20" i="32" s="1"/>
  <c r="T20" i="32"/>
  <c r="S20" i="32"/>
  <c r="Q20" i="32"/>
  <c r="O20" i="32"/>
  <c r="L20" i="32"/>
  <c r="K20" i="32"/>
  <c r="N20" i="32" s="1"/>
  <c r="AG20" i="32" s="1"/>
  <c r="I20" i="32"/>
  <c r="H20" i="32"/>
  <c r="AO19" i="32"/>
  <c r="AD19" i="32"/>
  <c r="AB19" i="32"/>
  <c r="V19" i="32"/>
  <c r="W19" i="32" s="1"/>
  <c r="T19" i="32"/>
  <c r="S19" i="32"/>
  <c r="Y19" i="32" s="1"/>
  <c r="Z19" i="32" s="1"/>
  <c r="Q19" i="32"/>
  <c r="O19" i="32"/>
  <c r="K19" i="32"/>
  <c r="N19" i="32" s="1"/>
  <c r="AG19" i="32" s="1"/>
  <c r="I19" i="32"/>
  <c r="H19" i="32"/>
  <c r="AO18" i="32"/>
  <c r="AD18" i="32"/>
  <c r="AB18" i="32"/>
  <c r="W18" i="32"/>
  <c r="V18" i="32"/>
  <c r="T18" i="32"/>
  <c r="S18" i="32"/>
  <c r="O18" i="32"/>
  <c r="Q18" i="32" s="1"/>
  <c r="K18" i="32"/>
  <c r="I18" i="32"/>
  <c r="H18" i="32"/>
  <c r="AO17" i="32"/>
  <c r="AD17" i="32"/>
  <c r="AB17" i="32"/>
  <c r="Y17" i="32"/>
  <c r="Z17" i="32" s="1"/>
  <c r="V17" i="32"/>
  <c r="W17" i="32" s="1"/>
  <c r="T17" i="32"/>
  <c r="S17" i="32"/>
  <c r="Q17" i="32"/>
  <c r="O17" i="32"/>
  <c r="N17" i="32"/>
  <c r="AG17" i="32" s="1"/>
  <c r="L17" i="32"/>
  <c r="K17" i="32"/>
  <c r="I17" i="32"/>
  <c r="H17" i="32"/>
  <c r="AO16" i="32"/>
  <c r="AD16" i="32"/>
  <c r="AB16" i="32"/>
  <c r="Z16" i="32"/>
  <c r="V16" i="32"/>
  <c r="T16" i="32"/>
  <c r="S16" i="32"/>
  <c r="Y16" i="32" s="1"/>
  <c r="O16" i="32"/>
  <c r="Q16" i="32" s="1"/>
  <c r="N16" i="32"/>
  <c r="AG16" i="32" s="1"/>
  <c r="K16" i="32"/>
  <c r="L16" i="32" s="1"/>
  <c r="I16" i="32"/>
  <c r="H16" i="32"/>
  <c r="AO15" i="32"/>
  <c r="AD15" i="32"/>
  <c r="AB15" i="32"/>
  <c r="Y15" i="32"/>
  <c r="Z15" i="32" s="1"/>
  <c r="V15" i="32"/>
  <c r="T15" i="32"/>
  <c r="S15" i="32"/>
  <c r="W15" i="32" s="1"/>
  <c r="O15" i="32"/>
  <c r="L15" i="32"/>
  <c r="K15" i="32"/>
  <c r="N15" i="32" s="1"/>
  <c r="AG15" i="32" s="1"/>
  <c r="I15" i="32"/>
  <c r="H15" i="32"/>
  <c r="AO14" i="32"/>
  <c r="AG14" i="32"/>
  <c r="AD14" i="32"/>
  <c r="AD31" i="32" s="1"/>
  <c r="AB14" i="32"/>
  <c r="V14" i="32"/>
  <c r="W14" i="32" s="1"/>
  <c r="T14" i="32"/>
  <c r="S14" i="32"/>
  <c r="Y14" i="32" s="1"/>
  <c r="Z14" i="32" s="1"/>
  <c r="Q14" i="32"/>
  <c r="O14" i="32"/>
  <c r="N14" i="32"/>
  <c r="L14" i="32"/>
  <c r="K14" i="32"/>
  <c r="I14" i="32"/>
  <c r="H14" i="32"/>
  <c r="AN12" i="32"/>
  <c r="AM12" i="32"/>
  <c r="AL12" i="32"/>
  <c r="AK12" i="32"/>
  <c r="AJ12" i="32"/>
  <c r="AH12" i="32"/>
  <c r="AH33" i="32" s="1"/>
  <c r="AB12" i="32"/>
  <c r="X12" i="32"/>
  <c r="U12" i="32"/>
  <c r="U33" i="32" s="1"/>
  <c r="S12" i="32"/>
  <c r="R12" i="32"/>
  <c r="P12" i="32"/>
  <c r="J12" i="32"/>
  <c r="G12" i="32"/>
  <c r="H12" i="32" s="1"/>
  <c r="F12" i="32"/>
  <c r="D33" i="32" s="1"/>
  <c r="E12" i="32"/>
  <c r="D12" i="32"/>
  <c r="V12" i="32" s="1"/>
  <c r="AO11" i="32"/>
  <c r="AG11" i="32"/>
  <c r="AD11" i="32"/>
  <c r="AD12" i="32" s="1"/>
  <c r="AB11" i="32"/>
  <c r="V11" i="32"/>
  <c r="W11" i="32" s="1"/>
  <c r="T11" i="32"/>
  <c r="S11" i="32"/>
  <c r="Y11" i="32" s="1"/>
  <c r="Z11" i="32" s="1"/>
  <c r="Q11" i="32"/>
  <c r="O11" i="32"/>
  <c r="N11" i="32"/>
  <c r="L11" i="32"/>
  <c r="K11" i="32"/>
  <c r="I11" i="32"/>
  <c r="H11" i="32"/>
  <c r="AO10" i="32"/>
  <c r="AG10" i="32"/>
  <c r="AD10" i="32"/>
  <c r="AB10" i="32"/>
  <c r="V10" i="32"/>
  <c r="T10" i="32"/>
  <c r="S10" i="32"/>
  <c r="O10" i="32"/>
  <c r="Q10" i="32" s="1"/>
  <c r="K10" i="32"/>
  <c r="N10" i="32" s="1"/>
  <c r="I10" i="32"/>
  <c r="H10" i="32"/>
  <c r="AO9" i="32"/>
  <c r="AD9" i="32"/>
  <c r="AB9" i="32"/>
  <c r="Y9" i="32"/>
  <c r="Z9" i="32" s="1"/>
  <c r="V9" i="32"/>
  <c r="W9" i="32" s="1"/>
  <c r="T9" i="32"/>
  <c r="S9" i="32"/>
  <c r="Q9" i="32"/>
  <c r="O9" i="32"/>
  <c r="L9" i="32"/>
  <c r="K9" i="32"/>
  <c r="N9" i="32" s="1"/>
  <c r="AG9" i="32" s="1"/>
  <c r="I9" i="32"/>
  <c r="H9" i="32"/>
  <c r="AO8" i="32"/>
  <c r="AG8" i="32"/>
  <c r="AD8" i="32"/>
  <c r="AB8" i="32"/>
  <c r="V8" i="32"/>
  <c r="W8" i="32" s="1"/>
  <c r="T8" i="32"/>
  <c r="S8" i="32"/>
  <c r="Y8" i="32" s="1"/>
  <c r="Z8" i="32" s="1"/>
  <c r="Q8" i="32"/>
  <c r="O8" i="32"/>
  <c r="K8" i="32"/>
  <c r="N8" i="32" s="1"/>
  <c r="I8" i="32"/>
  <c r="H8" i="32"/>
  <c r="AO7" i="32"/>
  <c r="AG7" i="32"/>
  <c r="AD7" i="32"/>
  <c r="AB7" i="32"/>
  <c r="W7" i="32"/>
  <c r="V7" i="32"/>
  <c r="T7" i="32"/>
  <c r="S7" i="32"/>
  <c r="O7" i="32"/>
  <c r="Q7" i="32" s="1"/>
  <c r="K7" i="32"/>
  <c r="I7" i="32"/>
  <c r="H7" i="32"/>
  <c r="AO6" i="32"/>
  <c r="AG6" i="32"/>
  <c r="AD6" i="32"/>
  <c r="AB6" i="32"/>
  <c r="Y6" i="32"/>
  <c r="Z6" i="32" s="1"/>
  <c r="V6" i="32"/>
  <c r="W6" i="32" s="1"/>
  <c r="T6" i="32"/>
  <c r="S6" i="32"/>
  <c r="Q6" i="32"/>
  <c r="O6" i="32"/>
  <c r="N6" i="32"/>
  <c r="L6" i="32"/>
  <c r="K6" i="32"/>
  <c r="I6" i="32"/>
  <c r="H6" i="32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J33" i="31"/>
  <c r="AN31" i="31"/>
  <c r="AM31" i="31"/>
  <c r="AL31" i="31"/>
  <c r="AK31" i="31"/>
  <c r="AJ31" i="31"/>
  <c r="AI31" i="31"/>
  <c r="AH31" i="31"/>
  <c r="U31" i="31"/>
  <c r="V31" i="31" s="1"/>
  <c r="R31" i="31"/>
  <c r="P31" i="31"/>
  <c r="J31" i="31"/>
  <c r="H31" i="31"/>
  <c r="G31" i="31"/>
  <c r="F31" i="31"/>
  <c r="E31" i="31"/>
  <c r="D31" i="31"/>
  <c r="AO30" i="31"/>
  <c r="AD30" i="31"/>
  <c r="AB30" i="31"/>
  <c r="Y30" i="31"/>
  <c r="Z30" i="31" s="1"/>
  <c r="W30" i="31"/>
  <c r="V30" i="31"/>
  <c r="T30" i="31"/>
  <c r="S30" i="31"/>
  <c r="O30" i="31"/>
  <c r="Q30" i="31" s="1"/>
  <c r="L30" i="31"/>
  <c r="K30" i="31"/>
  <c r="N30" i="31" s="1"/>
  <c r="AG30" i="31" s="1"/>
  <c r="I30" i="31"/>
  <c r="H30" i="31"/>
  <c r="AO29" i="31"/>
  <c r="AD29" i="31"/>
  <c r="AB29" i="31"/>
  <c r="V29" i="31"/>
  <c r="W29" i="31" s="1"/>
  <c r="T29" i="31"/>
  <c r="S29" i="31"/>
  <c r="Y29" i="31" s="1"/>
  <c r="Z29" i="31" s="1"/>
  <c r="Q29" i="31"/>
  <c r="O29" i="31"/>
  <c r="N29" i="31"/>
  <c r="AG29" i="31" s="1"/>
  <c r="L29" i="31"/>
  <c r="K29" i="31"/>
  <c r="I29" i="31"/>
  <c r="H29" i="31"/>
  <c r="AO28" i="31"/>
  <c r="AD28" i="31"/>
  <c r="AB28" i="31"/>
  <c r="V28" i="31"/>
  <c r="T28" i="31"/>
  <c r="S28" i="31"/>
  <c r="O28" i="31"/>
  <c r="Q28" i="31" s="1"/>
  <c r="K28" i="31"/>
  <c r="N28" i="31" s="1"/>
  <c r="AG28" i="31" s="1"/>
  <c r="I28" i="31"/>
  <c r="H28" i="31"/>
  <c r="AO27" i="31"/>
  <c r="AD27" i="31"/>
  <c r="AB27" i="31"/>
  <c r="Y27" i="31"/>
  <c r="Z27" i="31" s="1"/>
  <c r="V27" i="31"/>
  <c r="W27" i="31" s="1"/>
  <c r="T27" i="31"/>
  <c r="S27" i="31"/>
  <c r="Q27" i="31"/>
  <c r="O27" i="31"/>
  <c r="L27" i="31"/>
  <c r="K27" i="31"/>
  <c r="N27" i="31" s="1"/>
  <c r="AG27" i="31" s="1"/>
  <c r="I27" i="31"/>
  <c r="H27" i="31"/>
  <c r="AO26" i="31"/>
  <c r="AD26" i="31"/>
  <c r="AB26" i="31"/>
  <c r="V26" i="31"/>
  <c r="W26" i="31" s="1"/>
  <c r="T26" i="31"/>
  <c r="S26" i="31"/>
  <c r="Y26" i="31" s="1"/>
  <c r="Z26" i="31" s="1"/>
  <c r="Q26" i="31"/>
  <c r="O26" i="31"/>
  <c r="K26" i="31"/>
  <c r="N26" i="31" s="1"/>
  <c r="AG26" i="31" s="1"/>
  <c r="I26" i="31"/>
  <c r="H26" i="31"/>
  <c r="AO25" i="31"/>
  <c r="AD25" i="31"/>
  <c r="AB25" i="31"/>
  <c r="W25" i="31"/>
  <c r="V25" i="31"/>
  <c r="T25" i="31"/>
  <c r="S25" i="31"/>
  <c r="O25" i="31"/>
  <c r="Q25" i="31" s="1"/>
  <c r="K25" i="31"/>
  <c r="I25" i="31"/>
  <c r="H25" i="31"/>
  <c r="AO24" i="31"/>
  <c r="AD24" i="31"/>
  <c r="AB24" i="31"/>
  <c r="Y24" i="31"/>
  <c r="Z24" i="31" s="1"/>
  <c r="V24" i="31"/>
  <c r="W24" i="31" s="1"/>
  <c r="T24" i="31"/>
  <c r="S24" i="31"/>
  <c r="Q24" i="31"/>
  <c r="O24" i="31"/>
  <c r="N24" i="31"/>
  <c r="AG24" i="31" s="1"/>
  <c r="L24" i="31"/>
  <c r="K24" i="31"/>
  <c r="I24" i="31"/>
  <c r="H24" i="31"/>
  <c r="AO23" i="31"/>
  <c r="AD23" i="31"/>
  <c r="AB23" i="31"/>
  <c r="W23" i="31"/>
  <c r="V23" i="31"/>
  <c r="T23" i="31"/>
  <c r="S23" i="31"/>
  <c r="Y23" i="31" s="1"/>
  <c r="Z23" i="31" s="1"/>
  <c r="O23" i="31"/>
  <c r="Q23" i="31" s="1"/>
  <c r="N23" i="31"/>
  <c r="AG23" i="31" s="1"/>
  <c r="K23" i="31"/>
  <c r="L23" i="31" s="1"/>
  <c r="I23" i="31"/>
  <c r="H23" i="31"/>
  <c r="AO22" i="31"/>
  <c r="AD22" i="31"/>
  <c r="AB22" i="31"/>
  <c r="Y22" i="31"/>
  <c r="Z22" i="31" s="1"/>
  <c r="W22" i="31"/>
  <c r="V22" i="31"/>
  <c r="T22" i="31"/>
  <c r="S22" i="31"/>
  <c r="O22" i="31"/>
  <c r="Q22" i="31" s="1"/>
  <c r="L22" i="31"/>
  <c r="K22" i="31"/>
  <c r="N22" i="31" s="1"/>
  <c r="AG22" i="31" s="1"/>
  <c r="I22" i="31"/>
  <c r="H22" i="31"/>
  <c r="AO21" i="31"/>
  <c r="AD21" i="31"/>
  <c r="AB21" i="31"/>
  <c r="V21" i="31"/>
  <c r="W21" i="31" s="1"/>
  <c r="T21" i="31"/>
  <c r="S21" i="31"/>
  <c r="Y21" i="31" s="1"/>
  <c r="Z21" i="31" s="1"/>
  <c r="Q21" i="31"/>
  <c r="O21" i="31"/>
  <c r="N21" i="31"/>
  <c r="AG21" i="31" s="1"/>
  <c r="L21" i="31"/>
  <c r="K21" i="31"/>
  <c r="I21" i="31"/>
  <c r="H21" i="31"/>
  <c r="AO20" i="31"/>
  <c r="AG20" i="31"/>
  <c r="AD20" i="31"/>
  <c r="AB20" i="31"/>
  <c r="V20" i="31"/>
  <c r="T20" i="31"/>
  <c r="S20" i="31"/>
  <c r="O20" i="31"/>
  <c r="Q20" i="31" s="1"/>
  <c r="K20" i="31"/>
  <c r="N20" i="31" s="1"/>
  <c r="I20" i="31"/>
  <c r="H20" i="31"/>
  <c r="AO19" i="31"/>
  <c r="AD19" i="31"/>
  <c r="AB19" i="31"/>
  <c r="Y19" i="31"/>
  <c r="Z19" i="31" s="1"/>
  <c r="V19" i="31"/>
  <c r="W19" i="31" s="1"/>
  <c r="T19" i="31"/>
  <c r="S19" i="31"/>
  <c r="Q19" i="31"/>
  <c r="O19" i="31"/>
  <c r="L19" i="31"/>
  <c r="K19" i="31"/>
  <c r="N19" i="31" s="1"/>
  <c r="AG19" i="31" s="1"/>
  <c r="I19" i="31"/>
  <c r="H19" i="31"/>
  <c r="AO18" i="31"/>
  <c r="AD18" i="31"/>
  <c r="AB18" i="31"/>
  <c r="V18" i="31"/>
  <c r="W18" i="31" s="1"/>
  <c r="T18" i="31"/>
  <c r="S18" i="31"/>
  <c r="Y18" i="31" s="1"/>
  <c r="Z18" i="31" s="1"/>
  <c r="Q18" i="31"/>
  <c r="O18" i="31"/>
  <c r="K18" i="31"/>
  <c r="N18" i="31" s="1"/>
  <c r="AG18" i="31" s="1"/>
  <c r="I18" i="31"/>
  <c r="H18" i="31"/>
  <c r="AO17" i="31"/>
  <c r="AD17" i="31"/>
  <c r="AB17" i="31"/>
  <c r="W17" i="31"/>
  <c r="V17" i="31"/>
  <c r="T17" i="31"/>
  <c r="S17" i="31"/>
  <c r="O17" i="31"/>
  <c r="Q17" i="31" s="1"/>
  <c r="K17" i="31"/>
  <c r="I17" i="31"/>
  <c r="H17" i="31"/>
  <c r="AO16" i="31"/>
  <c r="AD16" i="31"/>
  <c r="AB16" i="31"/>
  <c r="Y16" i="31"/>
  <c r="Z16" i="31" s="1"/>
  <c r="V16" i="31"/>
  <c r="W16" i="31" s="1"/>
  <c r="T16" i="31"/>
  <c r="S16" i="31"/>
  <c r="Q16" i="31"/>
  <c r="O16" i="31"/>
  <c r="N16" i="31"/>
  <c r="AG16" i="31" s="1"/>
  <c r="L16" i="31"/>
  <c r="K16" i="31"/>
  <c r="I16" i="31"/>
  <c r="H16" i="31"/>
  <c r="AO15" i="31"/>
  <c r="AD15" i="31"/>
  <c r="AB15" i="31"/>
  <c r="W15" i="31"/>
  <c r="V15" i="31"/>
  <c r="T15" i="31"/>
  <c r="S15" i="31"/>
  <c r="Y15" i="31" s="1"/>
  <c r="Z15" i="31" s="1"/>
  <c r="O15" i="31"/>
  <c r="Q15" i="31" s="1"/>
  <c r="N15" i="31"/>
  <c r="AG15" i="31" s="1"/>
  <c r="K15" i="31"/>
  <c r="L15" i="31" s="1"/>
  <c r="I15" i="31"/>
  <c r="H15" i="31"/>
  <c r="AO14" i="31"/>
  <c r="AD14" i="31"/>
  <c r="AB14" i="31"/>
  <c r="Y14" i="31"/>
  <c r="Z14" i="31" s="1"/>
  <c r="W14" i="31"/>
  <c r="V14" i="31"/>
  <c r="T14" i="31"/>
  <c r="S14" i="31"/>
  <c r="O14" i="31"/>
  <c r="Q14" i="31" s="1"/>
  <c r="L14" i="31"/>
  <c r="K14" i="31"/>
  <c r="N14" i="31" s="1"/>
  <c r="AG14" i="31" s="1"/>
  <c r="I14" i="31"/>
  <c r="H14" i="31"/>
  <c r="AN12" i="31"/>
  <c r="AM12" i="31"/>
  <c r="AL12" i="31"/>
  <c r="AK12" i="31"/>
  <c r="AJ12" i="31"/>
  <c r="AI12" i="31"/>
  <c r="AH12" i="31"/>
  <c r="U12" i="31"/>
  <c r="V12" i="31" s="1"/>
  <c r="R12" i="31"/>
  <c r="P12" i="31"/>
  <c r="J12" i="31"/>
  <c r="T12" i="31" s="1"/>
  <c r="H12" i="31"/>
  <c r="G12" i="31"/>
  <c r="G33" i="31" s="1"/>
  <c r="F12" i="31"/>
  <c r="E12" i="31"/>
  <c r="D12" i="31"/>
  <c r="AO11" i="31"/>
  <c r="AD11" i="31"/>
  <c r="AB11" i="31"/>
  <c r="Y11" i="31"/>
  <c r="Z11" i="31" s="1"/>
  <c r="W11" i="31"/>
  <c r="V11" i="31"/>
  <c r="T11" i="31"/>
  <c r="S11" i="31"/>
  <c r="O11" i="31"/>
  <c r="Q11" i="31" s="1"/>
  <c r="L11" i="31"/>
  <c r="K11" i="31"/>
  <c r="N11" i="31" s="1"/>
  <c r="AG11" i="31" s="1"/>
  <c r="I11" i="31"/>
  <c r="H11" i="31"/>
  <c r="AO10" i="31"/>
  <c r="AD10" i="31"/>
  <c r="AB10" i="31"/>
  <c r="V10" i="31"/>
  <c r="W10" i="31" s="1"/>
  <c r="T10" i="31"/>
  <c r="S10" i="31"/>
  <c r="Y10" i="31" s="1"/>
  <c r="Z10" i="31" s="1"/>
  <c r="Q10" i="31"/>
  <c r="O10" i="31"/>
  <c r="N10" i="31"/>
  <c r="AG10" i="31" s="1"/>
  <c r="L10" i="31"/>
  <c r="K10" i="31"/>
  <c r="I10" i="31"/>
  <c r="H10" i="31"/>
  <c r="AO9" i="31"/>
  <c r="AG9" i="31"/>
  <c r="AD9" i="31"/>
  <c r="AB9" i="31"/>
  <c r="V9" i="31"/>
  <c r="T9" i="31"/>
  <c r="S9" i="31"/>
  <c r="O9" i="31"/>
  <c r="Q9" i="31" s="1"/>
  <c r="N9" i="31"/>
  <c r="K9" i="31"/>
  <c r="L9" i="31" s="1"/>
  <c r="I9" i="31"/>
  <c r="H9" i="31"/>
  <c r="AO8" i="31"/>
  <c r="AD8" i="31"/>
  <c r="AB8" i="31"/>
  <c r="Y8" i="31"/>
  <c r="Z8" i="31" s="1"/>
  <c r="V8" i="31"/>
  <c r="W8" i="31" s="1"/>
  <c r="T8" i="31"/>
  <c r="S8" i="31"/>
  <c r="Q8" i="31"/>
  <c r="O8" i="31"/>
  <c r="N8" i="31"/>
  <c r="AG8" i="31" s="1"/>
  <c r="L8" i="31"/>
  <c r="K8" i="31"/>
  <c r="I8" i="31"/>
  <c r="H8" i="31"/>
  <c r="AO7" i="31"/>
  <c r="AD7" i="31"/>
  <c r="AB7" i="31"/>
  <c r="V7" i="31"/>
  <c r="T7" i="31"/>
  <c r="S7" i="31"/>
  <c r="Y7" i="31" s="1"/>
  <c r="Z7" i="31" s="1"/>
  <c r="Q7" i="31"/>
  <c r="O7" i="31"/>
  <c r="K7" i="31"/>
  <c r="N7" i="31" s="1"/>
  <c r="AG7" i="31" s="1"/>
  <c r="I7" i="31"/>
  <c r="H7" i="31"/>
  <c r="AO6" i="31"/>
  <c r="AD6" i="31"/>
  <c r="AD12" i="31" s="1"/>
  <c r="AB6" i="31"/>
  <c r="W6" i="31"/>
  <c r="V6" i="31"/>
  <c r="T6" i="31"/>
  <c r="S6" i="31"/>
  <c r="O6" i="31"/>
  <c r="Q6" i="31" s="1"/>
  <c r="K6" i="31"/>
  <c r="N6" i="31" s="1"/>
  <c r="AG6" i="31" s="1"/>
  <c r="I6" i="31"/>
  <c r="H6" i="31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U33" i="30"/>
  <c r="J33" i="30"/>
  <c r="F33" i="30"/>
  <c r="AN31" i="30"/>
  <c r="AM31" i="30"/>
  <c r="AL31" i="30"/>
  <c r="AK31" i="30"/>
  <c r="AJ31" i="30"/>
  <c r="AH31" i="30"/>
  <c r="AI31" i="30" s="1"/>
  <c r="X31" i="30"/>
  <c r="U31" i="30"/>
  <c r="R31" i="30"/>
  <c r="P31" i="30"/>
  <c r="J31" i="30"/>
  <c r="G31" i="30"/>
  <c r="F31" i="30"/>
  <c r="AB31" i="30" s="1"/>
  <c r="E31" i="30"/>
  <c r="D31" i="30"/>
  <c r="S31" i="30" s="1"/>
  <c r="AO30" i="30"/>
  <c r="AD30" i="30"/>
  <c r="AB30" i="30"/>
  <c r="Y30" i="30"/>
  <c r="Z30" i="30" s="1"/>
  <c r="V30" i="30"/>
  <c r="W30" i="30" s="1"/>
  <c r="T30" i="30"/>
  <c r="S30" i="30"/>
  <c r="Q30" i="30"/>
  <c r="O30" i="30"/>
  <c r="N30" i="30"/>
  <c r="AG30" i="30" s="1"/>
  <c r="L30" i="30"/>
  <c r="K30" i="30"/>
  <c r="I30" i="30"/>
  <c r="H30" i="30"/>
  <c r="AO29" i="30"/>
  <c r="AD29" i="30"/>
  <c r="AB29" i="30"/>
  <c r="V29" i="30"/>
  <c r="W29" i="30" s="1"/>
  <c r="T29" i="30"/>
  <c r="S29" i="30"/>
  <c r="Y29" i="30" s="1"/>
  <c r="Z29" i="30" s="1"/>
  <c r="O29" i="30"/>
  <c r="Q29" i="30" s="1"/>
  <c r="N29" i="30"/>
  <c r="AG29" i="30" s="1"/>
  <c r="K29" i="30"/>
  <c r="L29" i="30" s="1"/>
  <c r="I29" i="30"/>
  <c r="H29" i="30"/>
  <c r="AO28" i="30"/>
  <c r="AD28" i="30"/>
  <c r="AB28" i="30"/>
  <c r="W28" i="30"/>
  <c r="V28" i="30"/>
  <c r="T28" i="30"/>
  <c r="S28" i="30"/>
  <c r="Q28" i="30"/>
  <c r="O28" i="30"/>
  <c r="N28" i="30"/>
  <c r="AG28" i="30" s="1"/>
  <c r="K28" i="30"/>
  <c r="Y28" i="30" s="1"/>
  <c r="Z28" i="30" s="1"/>
  <c r="I28" i="30"/>
  <c r="H28" i="30"/>
  <c r="AO27" i="30"/>
  <c r="AG27" i="30"/>
  <c r="AD27" i="30"/>
  <c r="AB27" i="30"/>
  <c r="V27" i="30"/>
  <c r="W27" i="30" s="1"/>
  <c r="T27" i="30"/>
  <c r="S27" i="30"/>
  <c r="Y27" i="30" s="1"/>
  <c r="Z27" i="30" s="1"/>
  <c r="O27" i="30"/>
  <c r="Q27" i="30" s="1"/>
  <c r="N27" i="30"/>
  <c r="L27" i="30"/>
  <c r="K27" i="30"/>
  <c r="I27" i="30"/>
  <c r="H27" i="30"/>
  <c r="AO26" i="30"/>
  <c r="AG26" i="30"/>
  <c r="AD26" i="30"/>
  <c r="AB26" i="30"/>
  <c r="V26" i="30"/>
  <c r="W26" i="30" s="1"/>
  <c r="T26" i="30"/>
  <c r="S26" i="30"/>
  <c r="Y26" i="30" s="1"/>
  <c r="Z26" i="30" s="1"/>
  <c r="Q26" i="30"/>
  <c r="O26" i="30"/>
  <c r="N26" i="30"/>
  <c r="K26" i="30"/>
  <c r="L26" i="30" s="1"/>
  <c r="I26" i="30"/>
  <c r="H26" i="30"/>
  <c r="AO25" i="30"/>
  <c r="AG25" i="30"/>
  <c r="AD25" i="30"/>
  <c r="AB25" i="30"/>
  <c r="V25" i="30"/>
  <c r="W25" i="30" s="1"/>
  <c r="T25" i="30"/>
  <c r="S25" i="30"/>
  <c r="Y25" i="30" s="1"/>
  <c r="Z25" i="30" s="1"/>
  <c r="O25" i="30"/>
  <c r="Q25" i="30" s="1"/>
  <c r="K25" i="30"/>
  <c r="N25" i="30" s="1"/>
  <c r="I25" i="30"/>
  <c r="H25" i="30"/>
  <c r="AO24" i="30"/>
  <c r="AD24" i="30"/>
  <c r="AB24" i="30"/>
  <c r="W24" i="30"/>
  <c r="V24" i="30"/>
  <c r="T24" i="30"/>
  <c r="S24" i="30"/>
  <c r="Q24" i="30"/>
  <c r="O24" i="30"/>
  <c r="K24" i="30"/>
  <c r="N24" i="30" s="1"/>
  <c r="AG24" i="30" s="1"/>
  <c r="I24" i="30"/>
  <c r="H24" i="30"/>
  <c r="AO23" i="30"/>
  <c r="AD23" i="30"/>
  <c r="AB23" i="30"/>
  <c r="Y23" i="30"/>
  <c r="Z23" i="30" s="1"/>
  <c r="V23" i="30"/>
  <c r="W23" i="30" s="1"/>
  <c r="T23" i="30"/>
  <c r="S23" i="30"/>
  <c r="O23" i="30"/>
  <c r="Q23" i="30" s="1"/>
  <c r="L23" i="30"/>
  <c r="K23" i="30"/>
  <c r="N23" i="30" s="1"/>
  <c r="AG23" i="30" s="1"/>
  <c r="I23" i="30"/>
  <c r="H23" i="30"/>
  <c r="AO22" i="30"/>
  <c r="AD22" i="30"/>
  <c r="AB22" i="30"/>
  <c r="W22" i="30"/>
  <c r="V22" i="30"/>
  <c r="T22" i="30"/>
  <c r="S22" i="30"/>
  <c r="O22" i="30"/>
  <c r="Q22" i="30" s="1"/>
  <c r="K22" i="30"/>
  <c r="I22" i="30"/>
  <c r="H22" i="30"/>
  <c r="AO21" i="30"/>
  <c r="AD21" i="30"/>
  <c r="AB21" i="30"/>
  <c r="Y21" i="30"/>
  <c r="Z21" i="30" s="1"/>
  <c r="V21" i="30"/>
  <c r="W21" i="30" s="1"/>
  <c r="T21" i="30"/>
  <c r="S21" i="30"/>
  <c r="O21" i="30"/>
  <c r="Q21" i="30" s="1"/>
  <c r="N21" i="30"/>
  <c r="AG21" i="30" s="1"/>
  <c r="L21" i="30"/>
  <c r="K21" i="30"/>
  <c r="I21" i="30"/>
  <c r="H21" i="30"/>
  <c r="AO20" i="30"/>
  <c r="AD20" i="30"/>
  <c r="AB20" i="30"/>
  <c r="V20" i="30"/>
  <c r="T20" i="30"/>
  <c r="S20" i="30"/>
  <c r="Y20" i="30" s="1"/>
  <c r="Z20" i="30" s="1"/>
  <c r="Q20" i="30"/>
  <c r="O20" i="30"/>
  <c r="N20" i="30"/>
  <c r="AG20" i="30" s="1"/>
  <c r="K20" i="30"/>
  <c r="L20" i="30" s="1"/>
  <c r="I20" i="30"/>
  <c r="H20" i="30"/>
  <c r="AO19" i="30"/>
  <c r="AG19" i="30"/>
  <c r="AD19" i="30"/>
  <c r="AB19" i="30"/>
  <c r="V19" i="30"/>
  <c r="W19" i="30" s="1"/>
  <c r="T19" i="30"/>
  <c r="S19" i="30"/>
  <c r="Y19" i="30" s="1"/>
  <c r="Z19" i="30" s="1"/>
  <c r="O19" i="30"/>
  <c r="Q19" i="30" s="1"/>
  <c r="N19" i="30"/>
  <c r="L19" i="30"/>
  <c r="K19" i="30"/>
  <c r="I19" i="30"/>
  <c r="H19" i="30"/>
  <c r="AO18" i="30"/>
  <c r="AG18" i="30"/>
  <c r="AD18" i="30"/>
  <c r="AB18" i="30"/>
  <c r="V18" i="30"/>
  <c r="W18" i="30" s="1"/>
  <c r="T18" i="30"/>
  <c r="S18" i="30"/>
  <c r="Y18" i="30" s="1"/>
  <c r="Z18" i="30" s="1"/>
  <c r="Q18" i="30"/>
  <c r="O18" i="30"/>
  <c r="N18" i="30"/>
  <c r="K18" i="30"/>
  <c r="L18" i="30" s="1"/>
  <c r="I18" i="30"/>
  <c r="H18" i="30"/>
  <c r="AO17" i="30"/>
  <c r="AG17" i="30"/>
  <c r="AD17" i="30"/>
  <c r="AB17" i="30"/>
  <c r="V17" i="30"/>
  <c r="T17" i="30"/>
  <c r="S17" i="30"/>
  <c r="Y17" i="30" s="1"/>
  <c r="Z17" i="30" s="1"/>
  <c r="O17" i="30"/>
  <c r="Q17" i="30" s="1"/>
  <c r="K17" i="30"/>
  <c r="N17" i="30" s="1"/>
  <c r="I17" i="30"/>
  <c r="H17" i="30"/>
  <c r="AO16" i="30"/>
  <c r="AD16" i="30"/>
  <c r="AB16" i="30"/>
  <c r="W16" i="30"/>
  <c r="V16" i="30"/>
  <c r="T16" i="30"/>
  <c r="S16" i="30"/>
  <c r="Q16" i="30"/>
  <c r="O16" i="30"/>
  <c r="K16" i="30"/>
  <c r="N16" i="30" s="1"/>
  <c r="AG16" i="30" s="1"/>
  <c r="I16" i="30"/>
  <c r="H16" i="30"/>
  <c r="AO15" i="30"/>
  <c r="AD15" i="30"/>
  <c r="AB15" i="30"/>
  <c r="Y15" i="30"/>
  <c r="Z15" i="30" s="1"/>
  <c r="V15" i="30"/>
  <c r="W15" i="30" s="1"/>
  <c r="T15" i="30"/>
  <c r="S15" i="30"/>
  <c r="O15" i="30"/>
  <c r="Q15" i="30" s="1"/>
  <c r="L15" i="30"/>
  <c r="K15" i="30"/>
  <c r="N15" i="30" s="1"/>
  <c r="AG15" i="30" s="1"/>
  <c r="I15" i="30"/>
  <c r="H15" i="30"/>
  <c r="AO14" i="30"/>
  <c r="AD14" i="30"/>
  <c r="AB14" i="30"/>
  <c r="W14" i="30"/>
  <c r="V14" i="30"/>
  <c r="T14" i="30"/>
  <c r="S14" i="30"/>
  <c r="O14" i="30"/>
  <c r="K14" i="30"/>
  <c r="I14" i="30"/>
  <c r="H14" i="30"/>
  <c r="AN12" i="30"/>
  <c r="AM12" i="30"/>
  <c r="AL12" i="30"/>
  <c r="AK12" i="30"/>
  <c r="AJ12" i="30"/>
  <c r="AI12" i="30"/>
  <c r="AH12" i="30"/>
  <c r="AH33" i="30" s="1"/>
  <c r="U12" i="30"/>
  <c r="V12" i="30" s="1"/>
  <c r="R12" i="30"/>
  <c r="R33" i="30" s="1"/>
  <c r="J12" i="30"/>
  <c r="T12" i="30" s="1"/>
  <c r="G12" i="30"/>
  <c r="G33" i="30" s="1"/>
  <c r="H33" i="30" s="1"/>
  <c r="F12" i="30"/>
  <c r="M12" i="30" s="1"/>
  <c r="E12" i="30"/>
  <c r="D12" i="30"/>
  <c r="AO11" i="30"/>
  <c r="AD11" i="30"/>
  <c r="AB11" i="30"/>
  <c r="W11" i="30"/>
  <c r="V11" i="30"/>
  <c r="T11" i="30"/>
  <c r="S11" i="30"/>
  <c r="O11" i="30"/>
  <c r="Q11" i="30" s="1"/>
  <c r="K11" i="30"/>
  <c r="I11" i="30"/>
  <c r="H11" i="30"/>
  <c r="AO10" i="30"/>
  <c r="AD10" i="30"/>
  <c r="AB10" i="30"/>
  <c r="Y10" i="30"/>
  <c r="Z10" i="30" s="1"/>
  <c r="V10" i="30"/>
  <c r="W10" i="30" s="1"/>
  <c r="T10" i="30"/>
  <c r="S10" i="30"/>
  <c r="O10" i="30"/>
  <c r="Q10" i="30" s="1"/>
  <c r="N10" i="30"/>
  <c r="AG10" i="30" s="1"/>
  <c r="L10" i="30"/>
  <c r="K10" i="30"/>
  <c r="I10" i="30"/>
  <c r="H10" i="30"/>
  <c r="AO9" i="30"/>
  <c r="AD9" i="30"/>
  <c r="AB9" i="30"/>
  <c r="Z9" i="30"/>
  <c r="V9" i="30"/>
  <c r="T9" i="30"/>
  <c r="S9" i="30"/>
  <c r="Y9" i="30" s="1"/>
  <c r="Q9" i="30"/>
  <c r="O9" i="30"/>
  <c r="N9" i="30"/>
  <c r="AG9" i="30" s="1"/>
  <c r="K9" i="30"/>
  <c r="L9" i="30" s="1"/>
  <c r="I9" i="30"/>
  <c r="H9" i="30"/>
  <c r="AO8" i="30"/>
  <c r="AG8" i="30"/>
  <c r="AD8" i="30"/>
  <c r="AB8" i="30"/>
  <c r="V8" i="30"/>
  <c r="W8" i="30" s="1"/>
  <c r="T8" i="30"/>
  <c r="S8" i="30"/>
  <c r="Y8" i="30" s="1"/>
  <c r="Z8" i="30" s="1"/>
  <c r="O8" i="30"/>
  <c r="Q8" i="30" s="1"/>
  <c r="N8" i="30"/>
  <c r="L8" i="30"/>
  <c r="K8" i="30"/>
  <c r="I8" i="30"/>
  <c r="H8" i="30"/>
  <c r="AO7" i="30"/>
  <c r="AG7" i="30"/>
  <c r="AD7" i="30"/>
  <c r="AB7" i="30"/>
  <c r="V7" i="30"/>
  <c r="W7" i="30" s="1"/>
  <c r="T7" i="30"/>
  <c r="S7" i="30"/>
  <c r="Y7" i="30" s="1"/>
  <c r="Z7" i="30" s="1"/>
  <c r="Q7" i="30"/>
  <c r="O7" i="30"/>
  <c r="N7" i="30"/>
  <c r="K7" i="30"/>
  <c r="L7" i="30" s="1"/>
  <c r="I7" i="30"/>
  <c r="H7" i="30"/>
  <c r="AO6" i="30"/>
  <c r="AG6" i="30"/>
  <c r="AD6" i="30"/>
  <c r="AD12" i="30" s="1"/>
  <c r="AB6" i="30"/>
  <c r="V6" i="30"/>
  <c r="T6" i="30"/>
  <c r="S6" i="30"/>
  <c r="Y6" i="30" s="1"/>
  <c r="Z6" i="30" s="1"/>
  <c r="O6" i="30"/>
  <c r="Q6" i="30" s="1"/>
  <c r="K6" i="30"/>
  <c r="N6" i="30" s="1"/>
  <c r="I6" i="30"/>
  <c r="H6" i="30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E31" i="29"/>
  <c r="AN29" i="29"/>
  <c r="AM29" i="29"/>
  <c r="AL29" i="29"/>
  <c r="AK29" i="29"/>
  <c r="AJ29" i="29"/>
  <c r="AI29" i="29"/>
  <c r="AH29" i="29"/>
  <c r="X29" i="29"/>
  <c r="U29" i="29"/>
  <c r="V29" i="29" s="1"/>
  <c r="W29" i="29" s="1"/>
  <c r="R29" i="29"/>
  <c r="M29" i="29"/>
  <c r="J29" i="29"/>
  <c r="T29" i="29" s="1"/>
  <c r="G29" i="29"/>
  <c r="H29" i="29" s="1"/>
  <c r="F29" i="29"/>
  <c r="AB29" i="29" s="1"/>
  <c r="E29" i="29"/>
  <c r="P29" i="29" s="1"/>
  <c r="D29" i="29"/>
  <c r="S29" i="29" s="1"/>
  <c r="AO28" i="29"/>
  <c r="AD28" i="29"/>
  <c r="AB28" i="29"/>
  <c r="W28" i="29"/>
  <c r="V28" i="29"/>
  <c r="T28" i="29"/>
  <c r="S28" i="29"/>
  <c r="Q28" i="29"/>
  <c r="O28" i="29"/>
  <c r="K28" i="29"/>
  <c r="N28" i="29" s="1"/>
  <c r="AG28" i="29" s="1"/>
  <c r="I28" i="29"/>
  <c r="H28" i="29"/>
  <c r="AO27" i="29"/>
  <c r="AD27" i="29"/>
  <c r="AB27" i="29"/>
  <c r="Y27" i="29"/>
  <c r="Z27" i="29" s="1"/>
  <c r="V27" i="29"/>
  <c r="W27" i="29" s="1"/>
  <c r="T27" i="29"/>
  <c r="S27" i="29"/>
  <c r="O27" i="29"/>
  <c r="Q27" i="29" s="1"/>
  <c r="N27" i="29"/>
  <c r="AG27" i="29" s="1"/>
  <c r="L27" i="29"/>
  <c r="K27" i="29"/>
  <c r="I27" i="29"/>
  <c r="H27" i="29"/>
  <c r="AO26" i="29"/>
  <c r="AD26" i="29"/>
  <c r="AB26" i="29"/>
  <c r="W26" i="29"/>
  <c r="V26" i="29"/>
  <c r="T26" i="29"/>
  <c r="S26" i="29"/>
  <c r="O26" i="29"/>
  <c r="Q26" i="29" s="1"/>
  <c r="K26" i="29"/>
  <c r="I26" i="29"/>
  <c r="H26" i="29"/>
  <c r="AO25" i="29"/>
  <c r="AD25" i="29"/>
  <c r="AB25" i="29"/>
  <c r="Y25" i="29"/>
  <c r="Z25" i="29" s="1"/>
  <c r="V25" i="29"/>
  <c r="W25" i="29" s="1"/>
  <c r="T25" i="29"/>
  <c r="S25" i="29"/>
  <c r="O25" i="29"/>
  <c r="Q25" i="29" s="1"/>
  <c r="N25" i="29"/>
  <c r="AG25" i="29" s="1"/>
  <c r="L25" i="29"/>
  <c r="K25" i="29"/>
  <c r="I25" i="29"/>
  <c r="H25" i="29"/>
  <c r="AO24" i="29"/>
  <c r="AD24" i="29"/>
  <c r="AB24" i="29"/>
  <c r="Z24" i="29"/>
  <c r="V24" i="29"/>
  <c r="T24" i="29"/>
  <c r="S24" i="29"/>
  <c r="Y24" i="29" s="1"/>
  <c r="Q24" i="29"/>
  <c r="O24" i="29"/>
  <c r="N24" i="29"/>
  <c r="AG24" i="29" s="1"/>
  <c r="K24" i="29"/>
  <c r="L24" i="29" s="1"/>
  <c r="I24" i="29"/>
  <c r="H24" i="29"/>
  <c r="AO23" i="29"/>
  <c r="AG23" i="29"/>
  <c r="AD23" i="29"/>
  <c r="AB23" i="29"/>
  <c r="V23" i="29"/>
  <c r="W23" i="29" s="1"/>
  <c r="T23" i="29"/>
  <c r="S23" i="29"/>
  <c r="Y23" i="29" s="1"/>
  <c r="Z23" i="29" s="1"/>
  <c r="O23" i="29"/>
  <c r="Q23" i="29" s="1"/>
  <c r="N23" i="29"/>
  <c r="L23" i="29"/>
  <c r="K23" i="29"/>
  <c r="I23" i="29"/>
  <c r="H23" i="29"/>
  <c r="AO22" i="29"/>
  <c r="AD22" i="29"/>
  <c r="AB22" i="29"/>
  <c r="V22" i="29"/>
  <c r="W22" i="29" s="1"/>
  <c r="T22" i="29"/>
  <c r="S22" i="29"/>
  <c r="Y22" i="29" s="1"/>
  <c r="Z22" i="29" s="1"/>
  <c r="Q22" i="29"/>
  <c r="O22" i="29"/>
  <c r="N22" i="29"/>
  <c r="AG22" i="29" s="1"/>
  <c r="K22" i="29"/>
  <c r="L22" i="29" s="1"/>
  <c r="I22" i="29"/>
  <c r="H22" i="29"/>
  <c r="AO21" i="29"/>
  <c r="AG21" i="29"/>
  <c r="AD21" i="29"/>
  <c r="AB21" i="29"/>
  <c r="V21" i="29"/>
  <c r="T21" i="29"/>
  <c r="S21" i="29"/>
  <c r="Y21" i="29" s="1"/>
  <c r="Z21" i="29" s="1"/>
  <c r="O21" i="29"/>
  <c r="Q21" i="29" s="1"/>
  <c r="K21" i="29"/>
  <c r="N21" i="29" s="1"/>
  <c r="I21" i="29"/>
  <c r="H21" i="29"/>
  <c r="AO20" i="29"/>
  <c r="AD20" i="29"/>
  <c r="AB20" i="29"/>
  <c r="W20" i="29"/>
  <c r="V20" i="29"/>
  <c r="T20" i="29"/>
  <c r="S20" i="29"/>
  <c r="Q20" i="29"/>
  <c r="O20" i="29"/>
  <c r="K20" i="29"/>
  <c r="N20" i="29" s="1"/>
  <c r="AG20" i="29" s="1"/>
  <c r="I20" i="29"/>
  <c r="H20" i="29"/>
  <c r="AO19" i="29"/>
  <c r="AD19" i="29"/>
  <c r="AB19" i="29"/>
  <c r="Y19" i="29"/>
  <c r="Z19" i="29" s="1"/>
  <c r="V19" i="29"/>
  <c r="W19" i="29" s="1"/>
  <c r="T19" i="29"/>
  <c r="S19" i="29"/>
  <c r="O19" i="29"/>
  <c r="Q19" i="29" s="1"/>
  <c r="N19" i="29"/>
  <c r="AG19" i="29" s="1"/>
  <c r="L19" i="29"/>
  <c r="K19" i="29"/>
  <c r="I19" i="29"/>
  <c r="H19" i="29"/>
  <c r="AO18" i="29"/>
  <c r="AD18" i="29"/>
  <c r="AB18" i="29"/>
  <c r="W18" i="29"/>
  <c r="V18" i="29"/>
  <c r="T18" i="29"/>
  <c r="S18" i="29"/>
  <c r="O18" i="29"/>
  <c r="Q18" i="29" s="1"/>
  <c r="K18" i="29"/>
  <c r="I18" i="29"/>
  <c r="H18" i="29"/>
  <c r="AO17" i="29"/>
  <c r="AD17" i="29"/>
  <c r="AB17" i="29"/>
  <c r="Y17" i="29"/>
  <c r="Z17" i="29" s="1"/>
  <c r="V17" i="29"/>
  <c r="W17" i="29" s="1"/>
  <c r="T17" i="29"/>
  <c r="S17" i="29"/>
  <c r="O17" i="29"/>
  <c r="Q17" i="29" s="1"/>
  <c r="N17" i="29"/>
  <c r="AG17" i="29" s="1"/>
  <c r="L17" i="29"/>
  <c r="K17" i="29"/>
  <c r="I17" i="29"/>
  <c r="H17" i="29"/>
  <c r="AO16" i="29"/>
  <c r="AD16" i="29"/>
  <c r="AB16" i="29"/>
  <c r="V16" i="29"/>
  <c r="T16" i="29"/>
  <c r="S16" i="29"/>
  <c r="Y16" i="29" s="1"/>
  <c r="Z16" i="29" s="1"/>
  <c r="Q16" i="29"/>
  <c r="O16" i="29"/>
  <c r="N16" i="29"/>
  <c r="AG16" i="29" s="1"/>
  <c r="K16" i="29"/>
  <c r="L16" i="29" s="1"/>
  <c r="I16" i="29"/>
  <c r="H16" i="29"/>
  <c r="AO15" i="29"/>
  <c r="AG15" i="29"/>
  <c r="AD15" i="29"/>
  <c r="AB15" i="29"/>
  <c r="V15" i="29"/>
  <c r="W15" i="29" s="1"/>
  <c r="T15" i="29"/>
  <c r="S15" i="29"/>
  <c r="Y15" i="29" s="1"/>
  <c r="Z15" i="29" s="1"/>
  <c r="O15" i="29"/>
  <c r="Q15" i="29" s="1"/>
  <c r="N15" i="29"/>
  <c r="L15" i="29"/>
  <c r="K15" i="29"/>
  <c r="I15" i="29"/>
  <c r="H15" i="29"/>
  <c r="AO14" i="29"/>
  <c r="AD14" i="29"/>
  <c r="AB14" i="29"/>
  <c r="V14" i="29"/>
  <c r="W14" i="29" s="1"/>
  <c r="T14" i="29"/>
  <c r="S14" i="29"/>
  <c r="Y14" i="29" s="1"/>
  <c r="Z14" i="29" s="1"/>
  <c r="Q14" i="29"/>
  <c r="O14" i="29"/>
  <c r="N14" i="29"/>
  <c r="AG14" i="29" s="1"/>
  <c r="K14" i="29"/>
  <c r="L14" i="29" s="1"/>
  <c r="I14" i="29"/>
  <c r="H14" i="29"/>
  <c r="AN12" i="29"/>
  <c r="AM12" i="29"/>
  <c r="AL12" i="29"/>
  <c r="AK12" i="29"/>
  <c r="AJ12" i="29"/>
  <c r="AH12" i="29"/>
  <c r="AB12" i="29"/>
  <c r="U12" i="29"/>
  <c r="U31" i="29" s="1"/>
  <c r="S12" i="29"/>
  <c r="R12" i="29"/>
  <c r="X12" i="29" s="1"/>
  <c r="M12" i="29"/>
  <c r="J12" i="29"/>
  <c r="G12" i="29"/>
  <c r="H12" i="29" s="1"/>
  <c r="F12" i="29"/>
  <c r="E12" i="29"/>
  <c r="P12" i="29" s="1"/>
  <c r="D12" i="29"/>
  <c r="AO11" i="29"/>
  <c r="AD11" i="29"/>
  <c r="AB11" i="29"/>
  <c r="V11" i="29"/>
  <c r="W11" i="29" s="1"/>
  <c r="T11" i="29"/>
  <c r="S11" i="29"/>
  <c r="Y11" i="29" s="1"/>
  <c r="Z11" i="29" s="1"/>
  <c r="Q11" i="29"/>
  <c r="O11" i="29"/>
  <c r="N11" i="29"/>
  <c r="AG11" i="29" s="1"/>
  <c r="K11" i="29"/>
  <c r="L11" i="29" s="1"/>
  <c r="I11" i="29"/>
  <c r="H11" i="29"/>
  <c r="AO10" i="29"/>
  <c r="AD10" i="29"/>
  <c r="AB10" i="29"/>
  <c r="V10" i="29"/>
  <c r="W10" i="29" s="1"/>
  <c r="T10" i="29"/>
  <c r="S10" i="29"/>
  <c r="Y10" i="29" s="1"/>
  <c r="Z10" i="29" s="1"/>
  <c r="O10" i="29"/>
  <c r="Q10" i="29" s="1"/>
  <c r="K10" i="29"/>
  <c r="N10" i="29" s="1"/>
  <c r="AG10" i="29" s="1"/>
  <c r="I10" i="29"/>
  <c r="H10" i="29"/>
  <c r="AO9" i="29"/>
  <c r="AD9" i="29"/>
  <c r="AB9" i="29"/>
  <c r="W9" i="29"/>
  <c r="V9" i="29"/>
  <c r="T9" i="29"/>
  <c r="S9" i="29"/>
  <c r="Q9" i="29"/>
  <c r="O9" i="29"/>
  <c r="K9" i="29"/>
  <c r="N9" i="29" s="1"/>
  <c r="AG9" i="29" s="1"/>
  <c r="I9" i="29"/>
  <c r="H9" i="29"/>
  <c r="AO8" i="29"/>
  <c r="AD8" i="29"/>
  <c r="AB8" i="29"/>
  <c r="Y8" i="29"/>
  <c r="Z8" i="29" s="1"/>
  <c r="V8" i="29"/>
  <c r="W8" i="29" s="1"/>
  <c r="T8" i="29"/>
  <c r="S8" i="29"/>
  <c r="O8" i="29"/>
  <c r="Q8" i="29" s="1"/>
  <c r="L8" i="29"/>
  <c r="K8" i="29"/>
  <c r="N8" i="29" s="1"/>
  <c r="AG8" i="29" s="1"/>
  <c r="I8" i="29"/>
  <c r="H8" i="29"/>
  <c r="AO7" i="29"/>
  <c r="AD7" i="29"/>
  <c r="AB7" i="29"/>
  <c r="W7" i="29"/>
  <c r="V7" i="29"/>
  <c r="T7" i="29"/>
  <c r="S7" i="29"/>
  <c r="O7" i="29"/>
  <c r="Q7" i="29" s="1"/>
  <c r="K7" i="29"/>
  <c r="I7" i="29"/>
  <c r="H7" i="29"/>
  <c r="AO6" i="29"/>
  <c r="AD6" i="29"/>
  <c r="AD12" i="29" s="1"/>
  <c r="AB6" i="29"/>
  <c r="Y6" i="29"/>
  <c r="Z6" i="29" s="1"/>
  <c r="V6" i="29"/>
  <c r="W6" i="29" s="1"/>
  <c r="T6" i="29"/>
  <c r="S6" i="29"/>
  <c r="O6" i="29"/>
  <c r="Q6" i="29" s="1"/>
  <c r="N6" i="29"/>
  <c r="AG6" i="29" s="1"/>
  <c r="L6" i="29"/>
  <c r="K6" i="29"/>
  <c r="I6" i="29"/>
  <c r="H6" i="29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J31" i="28"/>
  <c r="AN29" i="28"/>
  <c r="AM29" i="28"/>
  <c r="AL29" i="28"/>
  <c r="AK29" i="28"/>
  <c r="AJ29" i="28"/>
  <c r="AI29" i="28"/>
  <c r="AH29" i="28"/>
  <c r="U29" i="28"/>
  <c r="V29" i="28" s="1"/>
  <c r="R29" i="28"/>
  <c r="K29" i="28"/>
  <c r="J29" i="28"/>
  <c r="H29" i="28"/>
  <c r="G29" i="28"/>
  <c r="F29" i="28"/>
  <c r="E29" i="28"/>
  <c r="P29" i="28" s="1"/>
  <c r="D29" i="28"/>
  <c r="AO28" i="28"/>
  <c r="AD28" i="28"/>
  <c r="AB28" i="28"/>
  <c r="V28" i="28"/>
  <c r="T28" i="28"/>
  <c r="S28" i="28"/>
  <c r="Y28" i="28" s="1"/>
  <c r="Z28" i="28" s="1"/>
  <c r="O28" i="28"/>
  <c r="Q28" i="28" s="1"/>
  <c r="K28" i="28"/>
  <c r="N28" i="28" s="1"/>
  <c r="AG28" i="28" s="1"/>
  <c r="I28" i="28"/>
  <c r="H28" i="28"/>
  <c r="AO27" i="28"/>
  <c r="AG27" i="28"/>
  <c r="AD27" i="28"/>
  <c r="AB27" i="28"/>
  <c r="V27" i="28"/>
  <c r="W27" i="28" s="1"/>
  <c r="T27" i="28"/>
  <c r="S27" i="28"/>
  <c r="Y27" i="28" s="1"/>
  <c r="Z27" i="28" s="1"/>
  <c r="Q27" i="28"/>
  <c r="O27" i="28"/>
  <c r="N27" i="28"/>
  <c r="L27" i="28"/>
  <c r="K27" i="28"/>
  <c r="I27" i="28"/>
  <c r="H27" i="28"/>
  <c r="AO26" i="28"/>
  <c r="AG26" i="28"/>
  <c r="AD26" i="28"/>
  <c r="AB26" i="28"/>
  <c r="V26" i="28"/>
  <c r="T26" i="28"/>
  <c r="S26" i="28"/>
  <c r="Y26" i="28" s="1"/>
  <c r="Z26" i="28" s="1"/>
  <c r="O26" i="28"/>
  <c r="Q26" i="28" s="1"/>
  <c r="N26" i="28"/>
  <c r="K26" i="28"/>
  <c r="L26" i="28" s="1"/>
  <c r="I26" i="28"/>
  <c r="H26" i="28"/>
  <c r="AO25" i="28"/>
  <c r="AD25" i="28"/>
  <c r="AB25" i="28"/>
  <c r="W25" i="28"/>
  <c r="V25" i="28"/>
  <c r="T25" i="28"/>
  <c r="S25" i="28"/>
  <c r="Y25" i="28" s="1"/>
  <c r="Z25" i="28" s="1"/>
  <c r="O25" i="28"/>
  <c r="Q25" i="28" s="1"/>
  <c r="K25" i="28"/>
  <c r="N25" i="28" s="1"/>
  <c r="AG25" i="28" s="1"/>
  <c r="I25" i="28"/>
  <c r="H25" i="28"/>
  <c r="AO24" i="28"/>
  <c r="AD24" i="28"/>
  <c r="AB24" i="28"/>
  <c r="Y24" i="28"/>
  <c r="Z24" i="28" s="1"/>
  <c r="V24" i="28"/>
  <c r="W24" i="28" s="1"/>
  <c r="T24" i="28"/>
  <c r="S24" i="28"/>
  <c r="Q24" i="28"/>
  <c r="O24" i="28"/>
  <c r="L24" i="28"/>
  <c r="K24" i="28"/>
  <c r="N24" i="28" s="1"/>
  <c r="AG24" i="28" s="1"/>
  <c r="I24" i="28"/>
  <c r="H24" i="28"/>
  <c r="AO23" i="28"/>
  <c r="AD23" i="28"/>
  <c r="AB23" i="28"/>
  <c r="W23" i="28"/>
  <c r="V23" i="28"/>
  <c r="T23" i="28"/>
  <c r="S23" i="28"/>
  <c r="Y23" i="28" s="1"/>
  <c r="Z23" i="28" s="1"/>
  <c r="O23" i="28"/>
  <c r="Q23" i="28" s="1"/>
  <c r="K23" i="28"/>
  <c r="I23" i="28"/>
  <c r="H23" i="28"/>
  <c r="AO22" i="28"/>
  <c r="AD22" i="28"/>
  <c r="AB22" i="28"/>
  <c r="Y22" i="28"/>
  <c r="Z22" i="28" s="1"/>
  <c r="W22" i="28"/>
  <c r="V22" i="28"/>
  <c r="T22" i="28"/>
  <c r="S22" i="28"/>
  <c r="O22" i="28"/>
  <c r="Q22" i="28" s="1"/>
  <c r="L22" i="28"/>
  <c r="K22" i="28"/>
  <c r="N22" i="28" s="1"/>
  <c r="AG22" i="28" s="1"/>
  <c r="I22" i="28"/>
  <c r="H22" i="28"/>
  <c r="AO21" i="28"/>
  <c r="AD21" i="28"/>
  <c r="AB21" i="28"/>
  <c r="Z21" i="28"/>
  <c r="V21" i="28"/>
  <c r="W21" i="28" s="1"/>
  <c r="T21" i="28"/>
  <c r="S21" i="28"/>
  <c r="Q21" i="28"/>
  <c r="O21" i="28"/>
  <c r="N21" i="28"/>
  <c r="AG21" i="28" s="1"/>
  <c r="K21" i="28"/>
  <c r="Y21" i="28" s="1"/>
  <c r="I21" i="28"/>
  <c r="H21" i="28"/>
  <c r="AO20" i="28"/>
  <c r="AD20" i="28"/>
  <c r="AB20" i="28"/>
  <c r="V20" i="28"/>
  <c r="T20" i="28"/>
  <c r="S20" i="28"/>
  <c r="Y20" i="28" s="1"/>
  <c r="Z20" i="28" s="1"/>
  <c r="O20" i="28"/>
  <c r="Q20" i="28" s="1"/>
  <c r="K20" i="28"/>
  <c r="N20" i="28" s="1"/>
  <c r="AG20" i="28" s="1"/>
  <c r="I20" i="28"/>
  <c r="H20" i="28"/>
  <c r="AO19" i="28"/>
  <c r="AD19" i="28"/>
  <c r="AD29" i="28" s="1"/>
  <c r="AB19" i="28"/>
  <c r="Y19" i="28"/>
  <c r="Z19" i="28" s="1"/>
  <c r="V19" i="28"/>
  <c r="W19" i="28" s="1"/>
  <c r="T19" i="28"/>
  <c r="S19" i="28"/>
  <c r="Q19" i="28"/>
  <c r="O19" i="28"/>
  <c r="N19" i="28"/>
  <c r="AG19" i="28" s="1"/>
  <c r="L19" i="28"/>
  <c r="K19" i="28"/>
  <c r="I19" i="28"/>
  <c r="H19" i="28"/>
  <c r="AO18" i="28"/>
  <c r="AG18" i="28"/>
  <c r="AD18" i="28"/>
  <c r="AB18" i="28"/>
  <c r="V18" i="28"/>
  <c r="T18" i="28"/>
  <c r="S18" i="28"/>
  <c r="Y18" i="28" s="1"/>
  <c r="Z18" i="28" s="1"/>
  <c r="O18" i="28"/>
  <c r="Q18" i="28" s="1"/>
  <c r="N18" i="28"/>
  <c r="K18" i="28"/>
  <c r="L18" i="28" s="1"/>
  <c r="I18" i="28"/>
  <c r="H18" i="28"/>
  <c r="AO17" i="28"/>
  <c r="AD17" i="28"/>
  <c r="AB17" i="28"/>
  <c r="W17" i="28"/>
  <c r="V17" i="28"/>
  <c r="T17" i="28"/>
  <c r="S17" i="28"/>
  <c r="Y17" i="28" s="1"/>
  <c r="Z17" i="28" s="1"/>
  <c r="O17" i="28"/>
  <c r="Q17" i="28" s="1"/>
  <c r="K17" i="28"/>
  <c r="N17" i="28" s="1"/>
  <c r="AG17" i="28" s="1"/>
  <c r="I17" i="28"/>
  <c r="H17" i="28"/>
  <c r="AO16" i="28"/>
  <c r="AD16" i="28"/>
  <c r="AB16" i="28"/>
  <c r="Y16" i="28"/>
  <c r="Z16" i="28" s="1"/>
  <c r="V16" i="28"/>
  <c r="W16" i="28" s="1"/>
  <c r="T16" i="28"/>
  <c r="S16" i="28"/>
  <c r="Q16" i="28"/>
  <c r="O16" i="28"/>
  <c r="L16" i="28"/>
  <c r="K16" i="28"/>
  <c r="N16" i="28" s="1"/>
  <c r="AG16" i="28" s="1"/>
  <c r="I16" i="28"/>
  <c r="H16" i="28"/>
  <c r="AO15" i="28"/>
  <c r="AD15" i="28"/>
  <c r="AB15" i="28"/>
  <c r="W15" i="28"/>
  <c r="V15" i="28"/>
  <c r="T15" i="28"/>
  <c r="S15" i="28"/>
  <c r="Y15" i="28" s="1"/>
  <c r="Z15" i="28" s="1"/>
  <c r="O15" i="28"/>
  <c r="Q15" i="28" s="1"/>
  <c r="K15" i="28"/>
  <c r="I15" i="28"/>
  <c r="H15" i="28"/>
  <c r="AO14" i="28"/>
  <c r="AD14" i="28"/>
  <c r="AB14" i="28"/>
  <c r="Y14" i="28"/>
  <c r="Z14" i="28" s="1"/>
  <c r="V14" i="28"/>
  <c r="W14" i="28" s="1"/>
  <c r="T14" i="28"/>
  <c r="S14" i="28"/>
  <c r="O14" i="28"/>
  <c r="O29" i="28" s="1"/>
  <c r="L14" i="28"/>
  <c r="K14" i="28"/>
  <c r="N14" i="28" s="1"/>
  <c r="AG14" i="28" s="1"/>
  <c r="I14" i="28"/>
  <c r="H14" i="28"/>
  <c r="AN12" i="28"/>
  <c r="AM12" i="28"/>
  <c r="AL12" i="28"/>
  <c r="AK12" i="28"/>
  <c r="AJ12" i="28"/>
  <c r="AH12" i="28"/>
  <c r="AI12" i="28" s="1"/>
  <c r="X12" i="28"/>
  <c r="U12" i="28"/>
  <c r="V12" i="28" s="1"/>
  <c r="R12" i="28"/>
  <c r="R31" i="28" s="1"/>
  <c r="P12" i="28"/>
  <c r="J12" i="28"/>
  <c r="T12" i="28" s="1"/>
  <c r="G12" i="28"/>
  <c r="G31" i="28" s="1"/>
  <c r="F12" i="28"/>
  <c r="E12" i="28"/>
  <c r="D12" i="28"/>
  <c r="AO11" i="28"/>
  <c r="AD11" i="28"/>
  <c r="AB11" i="28"/>
  <c r="Y11" i="28"/>
  <c r="Z11" i="28" s="1"/>
  <c r="W11" i="28"/>
  <c r="V11" i="28"/>
  <c r="T11" i="28"/>
  <c r="S11" i="28"/>
  <c r="O11" i="28"/>
  <c r="Q11" i="28" s="1"/>
  <c r="L11" i="28"/>
  <c r="K11" i="28"/>
  <c r="N11" i="28" s="1"/>
  <c r="AG11" i="28" s="1"/>
  <c r="I11" i="28"/>
  <c r="H11" i="28"/>
  <c r="AO10" i="28"/>
  <c r="AD10" i="28"/>
  <c r="AB10" i="28"/>
  <c r="Z10" i="28"/>
  <c r="Y10" i="28"/>
  <c r="V10" i="28"/>
  <c r="W10" i="28" s="1"/>
  <c r="T10" i="28"/>
  <c r="S10" i="28"/>
  <c r="Q10" i="28"/>
  <c r="O10" i="28"/>
  <c r="N10" i="28"/>
  <c r="AG10" i="28" s="1"/>
  <c r="L10" i="28"/>
  <c r="K10" i="28"/>
  <c r="I10" i="28"/>
  <c r="H10" i="28"/>
  <c r="AO9" i="28"/>
  <c r="AD9" i="28"/>
  <c r="AB9" i="28"/>
  <c r="V9" i="28"/>
  <c r="T9" i="28"/>
  <c r="S9" i="28"/>
  <c r="Y9" i="28" s="1"/>
  <c r="Z9" i="28" s="1"/>
  <c r="O9" i="28"/>
  <c r="Q9" i="28" s="1"/>
  <c r="K9" i="28"/>
  <c r="N9" i="28" s="1"/>
  <c r="AG9" i="28" s="1"/>
  <c r="I9" i="28"/>
  <c r="H9" i="28"/>
  <c r="AO8" i="28"/>
  <c r="AD8" i="28"/>
  <c r="AB8" i="28"/>
  <c r="Y8" i="28"/>
  <c r="Z8" i="28" s="1"/>
  <c r="V8" i="28"/>
  <c r="W8" i="28" s="1"/>
  <c r="T8" i="28"/>
  <c r="S8" i="28"/>
  <c r="Q8" i="28"/>
  <c r="O8" i="28"/>
  <c r="N8" i="28"/>
  <c r="AG8" i="28" s="1"/>
  <c r="L8" i="28"/>
  <c r="K8" i="28"/>
  <c r="I8" i="28"/>
  <c r="H8" i="28"/>
  <c r="AO7" i="28"/>
  <c r="AG7" i="28"/>
  <c r="AD7" i="28"/>
  <c r="AB7" i="28"/>
  <c r="V7" i="28"/>
  <c r="W7" i="28" s="1"/>
  <c r="T7" i="28"/>
  <c r="S7" i="28"/>
  <c r="Y7" i="28" s="1"/>
  <c r="Z7" i="28" s="1"/>
  <c r="Q7" i="28"/>
  <c r="O7" i="28"/>
  <c r="N7" i="28"/>
  <c r="K7" i="28"/>
  <c r="L7" i="28" s="1"/>
  <c r="I7" i="28"/>
  <c r="H7" i="28"/>
  <c r="AO6" i="28"/>
  <c r="AD6" i="28"/>
  <c r="AD12" i="28" s="1"/>
  <c r="AB6" i="28"/>
  <c r="AB12" i="28" s="1"/>
  <c r="W6" i="28"/>
  <c r="V6" i="28"/>
  <c r="T6" i="28"/>
  <c r="S6" i="28"/>
  <c r="Y6" i="28" s="1"/>
  <c r="Z6" i="28" s="1"/>
  <c r="O6" i="28"/>
  <c r="O12" i="28" s="1"/>
  <c r="K6" i="28"/>
  <c r="N6" i="28" s="1"/>
  <c r="AG6" i="28" s="1"/>
  <c r="I6" i="28"/>
  <c r="H6" i="28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F31" i="27"/>
  <c r="AN29" i="27"/>
  <c r="AM29" i="27"/>
  <c r="AL29" i="27"/>
  <c r="AK29" i="27"/>
  <c r="AJ29" i="27"/>
  <c r="AI29" i="27"/>
  <c r="AH29" i="27"/>
  <c r="X29" i="27"/>
  <c r="U29" i="27"/>
  <c r="V29" i="27" s="1"/>
  <c r="R29" i="27"/>
  <c r="O29" i="27"/>
  <c r="J29" i="27"/>
  <c r="T29" i="27" s="1"/>
  <c r="G29" i="27"/>
  <c r="H29" i="27" s="1"/>
  <c r="F29" i="27"/>
  <c r="M29" i="27" s="1"/>
  <c r="E29" i="27"/>
  <c r="D29" i="27"/>
  <c r="AO28" i="27"/>
  <c r="AD28" i="27"/>
  <c r="AB28" i="27"/>
  <c r="W28" i="27"/>
  <c r="V28" i="27"/>
  <c r="T28" i="27"/>
  <c r="S28" i="27"/>
  <c r="Q28" i="27"/>
  <c r="O28" i="27"/>
  <c r="K28" i="27"/>
  <c r="I28" i="27"/>
  <c r="H28" i="27"/>
  <c r="AO27" i="27"/>
  <c r="AD27" i="27"/>
  <c r="AB27" i="27"/>
  <c r="Y27" i="27"/>
  <c r="Z27" i="27" s="1"/>
  <c r="V27" i="27"/>
  <c r="W27" i="27" s="1"/>
  <c r="T27" i="27"/>
  <c r="S27" i="27"/>
  <c r="O27" i="27"/>
  <c r="Q27" i="27" s="1"/>
  <c r="N27" i="27"/>
  <c r="AG27" i="27" s="1"/>
  <c r="L27" i="27"/>
  <c r="K27" i="27"/>
  <c r="I27" i="27"/>
  <c r="H27" i="27"/>
  <c r="AO26" i="27"/>
  <c r="AD26" i="27"/>
  <c r="AB26" i="27"/>
  <c r="W26" i="27"/>
  <c r="V26" i="27"/>
  <c r="T26" i="27"/>
  <c r="S26" i="27"/>
  <c r="Q26" i="27"/>
  <c r="O26" i="27"/>
  <c r="N26" i="27"/>
  <c r="AG26" i="27" s="1"/>
  <c r="K26" i="27"/>
  <c r="Y26" i="27" s="1"/>
  <c r="Z26" i="27" s="1"/>
  <c r="I26" i="27"/>
  <c r="H26" i="27"/>
  <c r="AO25" i="27"/>
  <c r="AD25" i="27"/>
  <c r="AB25" i="27"/>
  <c r="V25" i="27"/>
  <c r="W25" i="27" s="1"/>
  <c r="T25" i="27"/>
  <c r="S25" i="27"/>
  <c r="Y25" i="27" s="1"/>
  <c r="Z25" i="27" s="1"/>
  <c r="O25" i="27"/>
  <c r="Q25" i="27" s="1"/>
  <c r="L25" i="27"/>
  <c r="K25" i="27"/>
  <c r="N25" i="27" s="1"/>
  <c r="AG25" i="27" s="1"/>
  <c r="I25" i="27"/>
  <c r="H25" i="27"/>
  <c r="AO24" i="27"/>
  <c r="AD24" i="27"/>
  <c r="AB24" i="27"/>
  <c r="V24" i="27"/>
  <c r="T24" i="27"/>
  <c r="S24" i="27"/>
  <c r="Y24" i="27" s="1"/>
  <c r="Z24" i="27" s="1"/>
  <c r="Q24" i="27"/>
  <c r="O24" i="27"/>
  <c r="K24" i="27"/>
  <c r="N24" i="27" s="1"/>
  <c r="AG24" i="27" s="1"/>
  <c r="I24" i="27"/>
  <c r="H24" i="27"/>
  <c r="AO23" i="27"/>
  <c r="AG23" i="27"/>
  <c r="AD23" i="27"/>
  <c r="AB23" i="27"/>
  <c r="V23" i="27"/>
  <c r="W23" i="27" s="1"/>
  <c r="T23" i="27"/>
  <c r="S23" i="27"/>
  <c r="Y23" i="27" s="1"/>
  <c r="Z23" i="27" s="1"/>
  <c r="O23" i="27"/>
  <c r="Q23" i="27" s="1"/>
  <c r="N23" i="27"/>
  <c r="L23" i="27"/>
  <c r="K23" i="27"/>
  <c r="I23" i="27"/>
  <c r="H23" i="27"/>
  <c r="AO22" i="27"/>
  <c r="AD22" i="27"/>
  <c r="AB22" i="27"/>
  <c r="W22" i="27"/>
  <c r="V22" i="27"/>
  <c r="T22" i="27"/>
  <c r="S22" i="27"/>
  <c r="Y22" i="27" s="1"/>
  <c r="Z22" i="27" s="1"/>
  <c r="Q22" i="27"/>
  <c r="O22" i="27"/>
  <c r="K22" i="27"/>
  <c r="N22" i="27" s="1"/>
  <c r="AG22" i="27" s="1"/>
  <c r="I22" i="27"/>
  <c r="H22" i="27"/>
  <c r="AO21" i="27"/>
  <c r="AD21" i="27"/>
  <c r="AB21" i="27"/>
  <c r="Y21" i="27"/>
  <c r="Z21" i="27" s="1"/>
  <c r="V21" i="27"/>
  <c r="W21" i="27" s="1"/>
  <c r="T21" i="27"/>
  <c r="S21" i="27"/>
  <c r="O21" i="27"/>
  <c r="Q21" i="27" s="1"/>
  <c r="L21" i="27"/>
  <c r="K21" i="27"/>
  <c r="N21" i="27" s="1"/>
  <c r="AG21" i="27" s="1"/>
  <c r="I21" i="27"/>
  <c r="H21" i="27"/>
  <c r="AO20" i="27"/>
  <c r="AD20" i="27"/>
  <c r="AB20" i="27"/>
  <c r="W20" i="27"/>
  <c r="V20" i="27"/>
  <c r="T20" i="27"/>
  <c r="S20" i="27"/>
  <c r="Q20" i="27"/>
  <c r="O20" i="27"/>
  <c r="K20" i="27"/>
  <c r="I20" i="27"/>
  <c r="H20" i="27"/>
  <c r="AO19" i="27"/>
  <c r="AD19" i="27"/>
  <c r="AB19" i="27"/>
  <c r="Y19" i="27"/>
  <c r="Z19" i="27" s="1"/>
  <c r="V19" i="27"/>
  <c r="W19" i="27" s="1"/>
  <c r="T19" i="27"/>
  <c r="S19" i="27"/>
  <c r="O19" i="27"/>
  <c r="Q19" i="27" s="1"/>
  <c r="N19" i="27"/>
  <c r="AG19" i="27" s="1"/>
  <c r="L19" i="27"/>
  <c r="K19" i="27"/>
  <c r="I19" i="27"/>
  <c r="H19" i="27"/>
  <c r="AO18" i="27"/>
  <c r="AD18" i="27"/>
  <c r="AB18" i="27"/>
  <c r="W18" i="27"/>
  <c r="V18" i="27"/>
  <c r="T18" i="27"/>
  <c r="S18" i="27"/>
  <c r="Y18" i="27" s="1"/>
  <c r="Z18" i="27" s="1"/>
  <c r="Q18" i="27"/>
  <c r="O18" i="27"/>
  <c r="N18" i="27"/>
  <c r="AG18" i="27" s="1"/>
  <c r="K18" i="27"/>
  <c r="L18" i="27" s="1"/>
  <c r="I18" i="27"/>
  <c r="H18" i="27"/>
  <c r="AO17" i="27"/>
  <c r="AD17" i="27"/>
  <c r="AB17" i="27"/>
  <c r="V17" i="27"/>
  <c r="W17" i="27" s="1"/>
  <c r="T17" i="27"/>
  <c r="S17" i="27"/>
  <c r="Y17" i="27" s="1"/>
  <c r="Z17" i="27" s="1"/>
  <c r="O17" i="27"/>
  <c r="Q17" i="27" s="1"/>
  <c r="L17" i="27"/>
  <c r="K17" i="27"/>
  <c r="N17" i="27" s="1"/>
  <c r="AG17" i="27" s="1"/>
  <c r="I17" i="27"/>
  <c r="H17" i="27"/>
  <c r="AO16" i="27"/>
  <c r="AD16" i="27"/>
  <c r="AB16" i="27"/>
  <c r="V16" i="27"/>
  <c r="T16" i="27"/>
  <c r="S16" i="27"/>
  <c r="Y16" i="27" s="1"/>
  <c r="Z16" i="27" s="1"/>
  <c r="Q16" i="27"/>
  <c r="O16" i="27"/>
  <c r="N16" i="27"/>
  <c r="AG16" i="27" s="1"/>
  <c r="K16" i="27"/>
  <c r="L16" i="27" s="1"/>
  <c r="I16" i="27"/>
  <c r="H16" i="27"/>
  <c r="AO15" i="27"/>
  <c r="AG15" i="27"/>
  <c r="AD15" i="27"/>
  <c r="AB15" i="27"/>
  <c r="V15" i="27"/>
  <c r="T15" i="27"/>
  <c r="S15" i="27"/>
  <c r="Y15" i="27" s="1"/>
  <c r="Z15" i="27" s="1"/>
  <c r="O15" i="27"/>
  <c r="Q15" i="27" s="1"/>
  <c r="N15" i="27"/>
  <c r="L15" i="27"/>
  <c r="K15" i="27"/>
  <c r="I15" i="27"/>
  <c r="H15" i="27"/>
  <c r="AO14" i="27"/>
  <c r="AD14" i="27"/>
  <c r="AD29" i="27" s="1"/>
  <c r="AB14" i="27"/>
  <c r="W14" i="27"/>
  <c r="V14" i="27"/>
  <c r="T14" i="27"/>
  <c r="S14" i="27"/>
  <c r="Y14" i="27" s="1"/>
  <c r="Z14" i="27" s="1"/>
  <c r="Q14" i="27"/>
  <c r="O14" i="27"/>
  <c r="K14" i="27"/>
  <c r="N14" i="27" s="1"/>
  <c r="AG14" i="27" s="1"/>
  <c r="I14" i="27"/>
  <c r="H14" i="27"/>
  <c r="AN12" i="27"/>
  <c r="AM12" i="27"/>
  <c r="AL12" i="27"/>
  <c r="AK12" i="27"/>
  <c r="AJ12" i="27"/>
  <c r="AI12" i="27"/>
  <c r="AH12" i="27"/>
  <c r="X12" i="27"/>
  <c r="U12" i="27"/>
  <c r="R12" i="27"/>
  <c r="R31" i="27" s="1"/>
  <c r="M12" i="27"/>
  <c r="J12" i="27"/>
  <c r="T12" i="27" s="1"/>
  <c r="G12" i="27"/>
  <c r="H12" i="27" s="1"/>
  <c r="F12" i="27"/>
  <c r="E12" i="27"/>
  <c r="D12" i="27"/>
  <c r="S12" i="27" s="1"/>
  <c r="AO11" i="27"/>
  <c r="AD11" i="27"/>
  <c r="AB11" i="27"/>
  <c r="W11" i="27"/>
  <c r="V11" i="27"/>
  <c r="T11" i="27"/>
  <c r="S11" i="27"/>
  <c r="Q11" i="27"/>
  <c r="O11" i="27"/>
  <c r="K11" i="27"/>
  <c r="N11" i="27" s="1"/>
  <c r="AG11" i="27" s="1"/>
  <c r="I11" i="27"/>
  <c r="H11" i="27"/>
  <c r="AO10" i="27"/>
  <c r="AD10" i="27"/>
  <c r="AB10" i="27"/>
  <c r="Y10" i="27"/>
  <c r="Z10" i="27" s="1"/>
  <c r="V10" i="27"/>
  <c r="W10" i="27" s="1"/>
  <c r="T10" i="27"/>
  <c r="S10" i="27"/>
  <c r="O10" i="27"/>
  <c r="Q10" i="27" s="1"/>
  <c r="L10" i="27"/>
  <c r="K10" i="27"/>
  <c r="N10" i="27" s="1"/>
  <c r="AG10" i="27" s="1"/>
  <c r="I10" i="27"/>
  <c r="H10" i="27"/>
  <c r="AO9" i="27"/>
  <c r="AD9" i="27"/>
  <c r="AB9" i="27"/>
  <c r="W9" i="27"/>
  <c r="V9" i="27"/>
  <c r="T9" i="27"/>
  <c r="S9" i="27"/>
  <c r="O9" i="27"/>
  <c r="Q9" i="27" s="1"/>
  <c r="K9" i="27"/>
  <c r="I9" i="27"/>
  <c r="H9" i="27"/>
  <c r="AO8" i="27"/>
  <c r="AD8" i="27"/>
  <c r="AB8" i="27"/>
  <c r="Y8" i="27"/>
  <c r="Z8" i="27" s="1"/>
  <c r="V8" i="27"/>
  <c r="W8" i="27" s="1"/>
  <c r="T8" i="27"/>
  <c r="S8" i="27"/>
  <c r="O8" i="27"/>
  <c r="Q8" i="27" s="1"/>
  <c r="N8" i="27"/>
  <c r="AG8" i="27" s="1"/>
  <c r="L8" i="27"/>
  <c r="K8" i="27"/>
  <c r="I8" i="27"/>
  <c r="H8" i="27"/>
  <c r="AO7" i="27"/>
  <c r="AD7" i="27"/>
  <c r="AB7" i="27"/>
  <c r="Z7" i="27"/>
  <c r="W7" i="27"/>
  <c r="V7" i="27"/>
  <c r="T7" i="27"/>
  <c r="S7" i="27"/>
  <c r="Y7" i="27" s="1"/>
  <c r="Q7" i="27"/>
  <c r="O7" i="27"/>
  <c r="N7" i="27"/>
  <c r="AG7" i="27" s="1"/>
  <c r="K7" i="27"/>
  <c r="L7" i="27" s="1"/>
  <c r="I7" i="27"/>
  <c r="H7" i="27"/>
  <c r="AO6" i="27"/>
  <c r="AD6" i="27"/>
  <c r="AD12" i="27" s="1"/>
  <c r="AB6" i="27"/>
  <c r="V6" i="27"/>
  <c r="W6" i="27" s="1"/>
  <c r="T6" i="27"/>
  <c r="S6" i="27"/>
  <c r="Y6" i="27" s="1"/>
  <c r="Z6" i="27" s="1"/>
  <c r="O6" i="27"/>
  <c r="Q6" i="27" s="1"/>
  <c r="Q12" i="27" s="1"/>
  <c r="L6" i="27"/>
  <c r="K6" i="27"/>
  <c r="N6" i="27" s="1"/>
  <c r="AG6" i="27" s="1"/>
  <c r="I6" i="27"/>
  <c r="H6" i="27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U31" i="26"/>
  <c r="AN29" i="26"/>
  <c r="AM29" i="26"/>
  <c r="AL29" i="26"/>
  <c r="AK29" i="26"/>
  <c r="AJ29" i="26"/>
  <c r="AI29" i="26"/>
  <c r="AH29" i="26"/>
  <c r="AB29" i="26"/>
  <c r="X29" i="26"/>
  <c r="U29" i="26"/>
  <c r="V29" i="26" s="1"/>
  <c r="S29" i="26"/>
  <c r="R29" i="26"/>
  <c r="M29" i="26"/>
  <c r="J29" i="26"/>
  <c r="G29" i="26"/>
  <c r="H29" i="26" s="1"/>
  <c r="F29" i="26"/>
  <c r="E29" i="26"/>
  <c r="P29" i="26" s="1"/>
  <c r="D29" i="26"/>
  <c r="AO28" i="26"/>
  <c r="AD28" i="26"/>
  <c r="AB28" i="26"/>
  <c r="W28" i="26"/>
  <c r="V28" i="26"/>
  <c r="T28" i="26"/>
  <c r="S28" i="26"/>
  <c r="Q28" i="26"/>
  <c r="O28" i="26"/>
  <c r="K28" i="26"/>
  <c r="N28" i="26" s="1"/>
  <c r="AG28" i="26" s="1"/>
  <c r="I28" i="26"/>
  <c r="H28" i="26"/>
  <c r="AO27" i="26"/>
  <c r="AG27" i="26"/>
  <c r="AD27" i="26"/>
  <c r="AB27" i="26"/>
  <c r="V27" i="26"/>
  <c r="W27" i="26" s="1"/>
  <c r="T27" i="26"/>
  <c r="S27" i="26"/>
  <c r="Y27" i="26" s="1"/>
  <c r="Z27" i="26" s="1"/>
  <c r="O27" i="26"/>
  <c r="Q27" i="26" s="1"/>
  <c r="N27" i="26"/>
  <c r="L27" i="26"/>
  <c r="K27" i="26"/>
  <c r="I27" i="26"/>
  <c r="H27" i="26"/>
  <c r="AO26" i="26"/>
  <c r="AD26" i="26"/>
  <c r="AB26" i="26"/>
  <c r="W26" i="26"/>
  <c r="V26" i="26"/>
  <c r="T26" i="26"/>
  <c r="S26" i="26"/>
  <c r="O26" i="26"/>
  <c r="Q26" i="26" s="1"/>
  <c r="K26" i="26"/>
  <c r="N26" i="26" s="1"/>
  <c r="AG26" i="26" s="1"/>
  <c r="I26" i="26"/>
  <c r="H26" i="26"/>
  <c r="AO25" i="26"/>
  <c r="AD25" i="26"/>
  <c r="AB25" i="26"/>
  <c r="Y25" i="26"/>
  <c r="Z25" i="26" s="1"/>
  <c r="V25" i="26"/>
  <c r="W25" i="26" s="1"/>
  <c r="T25" i="26"/>
  <c r="S25" i="26"/>
  <c r="O25" i="26"/>
  <c r="Q25" i="26" s="1"/>
  <c r="L25" i="26"/>
  <c r="K25" i="26"/>
  <c r="N25" i="26" s="1"/>
  <c r="AG25" i="26" s="1"/>
  <c r="I25" i="26"/>
  <c r="H25" i="26"/>
  <c r="AO24" i="26"/>
  <c r="AD24" i="26"/>
  <c r="AB24" i="26"/>
  <c r="W24" i="26"/>
  <c r="V24" i="26"/>
  <c r="T24" i="26"/>
  <c r="S24" i="26"/>
  <c r="Y24" i="26" s="1"/>
  <c r="Z24" i="26" s="1"/>
  <c r="Q24" i="26"/>
  <c r="O24" i="26"/>
  <c r="K24" i="26"/>
  <c r="I24" i="26"/>
  <c r="H24" i="26"/>
  <c r="AO23" i="26"/>
  <c r="AG23" i="26"/>
  <c r="AD23" i="26"/>
  <c r="AB23" i="26"/>
  <c r="Y23" i="26"/>
  <c r="Z23" i="26" s="1"/>
  <c r="V23" i="26"/>
  <c r="W23" i="26" s="1"/>
  <c r="T23" i="26"/>
  <c r="S23" i="26"/>
  <c r="O23" i="26"/>
  <c r="Q23" i="26" s="1"/>
  <c r="N23" i="26"/>
  <c r="L23" i="26"/>
  <c r="K23" i="26"/>
  <c r="I23" i="26"/>
  <c r="H23" i="26"/>
  <c r="AO22" i="26"/>
  <c r="AD22" i="26"/>
  <c r="AB22" i="26"/>
  <c r="V22" i="26"/>
  <c r="W22" i="26" s="1"/>
  <c r="T22" i="26"/>
  <c r="S22" i="26"/>
  <c r="Y22" i="26" s="1"/>
  <c r="Z22" i="26" s="1"/>
  <c r="Q22" i="26"/>
  <c r="O22" i="26"/>
  <c r="N22" i="26"/>
  <c r="AG22" i="26" s="1"/>
  <c r="K22" i="26"/>
  <c r="L22" i="26" s="1"/>
  <c r="I22" i="26"/>
  <c r="H22" i="26"/>
  <c r="AO21" i="26"/>
  <c r="AD21" i="26"/>
  <c r="AB21" i="26"/>
  <c r="V21" i="26"/>
  <c r="W21" i="26" s="1"/>
  <c r="T21" i="26"/>
  <c r="S21" i="26"/>
  <c r="Y21" i="26" s="1"/>
  <c r="Z21" i="26" s="1"/>
  <c r="O21" i="26"/>
  <c r="Q21" i="26" s="1"/>
  <c r="K21" i="26"/>
  <c r="N21" i="26" s="1"/>
  <c r="AG21" i="26" s="1"/>
  <c r="I21" i="26"/>
  <c r="H21" i="26"/>
  <c r="AO20" i="26"/>
  <c r="AD20" i="26"/>
  <c r="AB20" i="26"/>
  <c r="W20" i="26"/>
  <c r="V20" i="26"/>
  <c r="T20" i="26"/>
  <c r="S20" i="26"/>
  <c r="Q20" i="26"/>
  <c r="O20" i="26"/>
  <c r="K20" i="26"/>
  <c r="N20" i="26" s="1"/>
  <c r="AG20" i="26" s="1"/>
  <c r="I20" i="26"/>
  <c r="H20" i="26"/>
  <c r="AO19" i="26"/>
  <c r="AG19" i="26"/>
  <c r="AD19" i="26"/>
  <c r="AB19" i="26"/>
  <c r="V19" i="26"/>
  <c r="T19" i="26"/>
  <c r="S19" i="26"/>
  <c r="Y19" i="26" s="1"/>
  <c r="Z19" i="26" s="1"/>
  <c r="O19" i="26"/>
  <c r="Q19" i="26" s="1"/>
  <c r="N19" i="26"/>
  <c r="L19" i="26"/>
  <c r="K19" i="26"/>
  <c r="I19" i="26"/>
  <c r="H19" i="26"/>
  <c r="AO18" i="26"/>
  <c r="AD18" i="26"/>
  <c r="AB18" i="26"/>
  <c r="W18" i="26"/>
  <c r="V18" i="26"/>
  <c r="T18" i="26"/>
  <c r="S18" i="26"/>
  <c r="Y18" i="26" s="1"/>
  <c r="Z18" i="26" s="1"/>
  <c r="O18" i="26"/>
  <c r="Q18" i="26" s="1"/>
  <c r="K18" i="26"/>
  <c r="N18" i="26" s="1"/>
  <c r="AG18" i="26" s="1"/>
  <c r="I18" i="26"/>
  <c r="H18" i="26"/>
  <c r="AO17" i="26"/>
  <c r="AD17" i="26"/>
  <c r="AB17" i="26"/>
  <c r="Y17" i="26"/>
  <c r="Z17" i="26" s="1"/>
  <c r="V17" i="26"/>
  <c r="W17" i="26" s="1"/>
  <c r="T17" i="26"/>
  <c r="S17" i="26"/>
  <c r="O17" i="26"/>
  <c r="Q17" i="26" s="1"/>
  <c r="L17" i="26"/>
  <c r="K17" i="26"/>
  <c r="N17" i="26" s="1"/>
  <c r="AG17" i="26" s="1"/>
  <c r="I17" i="26"/>
  <c r="H17" i="26"/>
  <c r="AO16" i="26"/>
  <c r="AD16" i="26"/>
  <c r="AB16" i="26"/>
  <c r="W16" i="26"/>
  <c r="V16" i="26"/>
  <c r="T16" i="26"/>
  <c r="S16" i="26"/>
  <c r="Y16" i="26" s="1"/>
  <c r="Z16" i="26" s="1"/>
  <c r="Q16" i="26"/>
  <c r="O16" i="26"/>
  <c r="K16" i="26"/>
  <c r="I16" i="26"/>
  <c r="H16" i="26"/>
  <c r="AO15" i="26"/>
  <c r="AG15" i="26"/>
  <c r="AD15" i="26"/>
  <c r="AB15" i="26"/>
  <c r="Y15" i="26"/>
  <c r="Z15" i="26" s="1"/>
  <c r="V15" i="26"/>
  <c r="W15" i="26" s="1"/>
  <c r="T15" i="26"/>
  <c r="S15" i="26"/>
  <c r="O15" i="26"/>
  <c r="Q15" i="26" s="1"/>
  <c r="N15" i="26"/>
  <c r="L15" i="26"/>
  <c r="K15" i="26"/>
  <c r="I15" i="26"/>
  <c r="H15" i="26"/>
  <c r="AO14" i="26"/>
  <c r="AD14" i="26"/>
  <c r="AD29" i="26" s="1"/>
  <c r="AB14" i="26"/>
  <c r="Z14" i="26"/>
  <c r="V14" i="26"/>
  <c r="W14" i="26" s="1"/>
  <c r="T14" i="26"/>
  <c r="S14" i="26"/>
  <c r="Y14" i="26" s="1"/>
  <c r="Q14" i="26"/>
  <c r="O14" i="26"/>
  <c r="N14" i="26"/>
  <c r="AG14" i="26" s="1"/>
  <c r="K14" i="26"/>
  <c r="L14" i="26" s="1"/>
  <c r="I14" i="26"/>
  <c r="H14" i="26"/>
  <c r="AN12" i="26"/>
  <c r="AM12" i="26"/>
  <c r="AL12" i="26"/>
  <c r="AK12" i="26"/>
  <c r="AJ12" i="26"/>
  <c r="AH12" i="26"/>
  <c r="AH31" i="26" s="1"/>
  <c r="X12" i="26"/>
  <c r="U12" i="26"/>
  <c r="V12" i="26" s="1"/>
  <c r="W12" i="26" s="1"/>
  <c r="S12" i="26"/>
  <c r="R12" i="26"/>
  <c r="R31" i="26" s="1"/>
  <c r="Q12" i="26"/>
  <c r="M12" i="26"/>
  <c r="J12" i="26"/>
  <c r="G12" i="26"/>
  <c r="F12" i="26"/>
  <c r="E12" i="26"/>
  <c r="P12" i="26" s="1"/>
  <c r="D12" i="26"/>
  <c r="AO11" i="26"/>
  <c r="AD11" i="26"/>
  <c r="AB11" i="26"/>
  <c r="W11" i="26"/>
  <c r="V11" i="26"/>
  <c r="T11" i="26"/>
  <c r="S11" i="26"/>
  <c r="Q11" i="26"/>
  <c r="O11" i="26"/>
  <c r="N11" i="26"/>
  <c r="AG11" i="26" s="1"/>
  <c r="K11" i="26"/>
  <c r="Y11" i="26" s="1"/>
  <c r="Z11" i="26" s="1"/>
  <c r="I11" i="26"/>
  <c r="H11" i="26"/>
  <c r="AO10" i="26"/>
  <c r="AD10" i="26"/>
  <c r="AB10" i="26"/>
  <c r="AB12" i="26" s="1"/>
  <c r="V10" i="26"/>
  <c r="W10" i="26" s="1"/>
  <c r="T10" i="26"/>
  <c r="S10" i="26"/>
  <c r="Y10" i="26" s="1"/>
  <c r="Z10" i="26" s="1"/>
  <c r="O10" i="26"/>
  <c r="Q10" i="26" s="1"/>
  <c r="L10" i="26"/>
  <c r="K10" i="26"/>
  <c r="N10" i="26" s="1"/>
  <c r="AG10" i="26" s="1"/>
  <c r="I10" i="26"/>
  <c r="H10" i="26"/>
  <c r="AO9" i="26"/>
  <c r="AD9" i="26"/>
  <c r="AB9" i="26"/>
  <c r="W9" i="26"/>
  <c r="V9" i="26"/>
  <c r="T9" i="26"/>
  <c r="S9" i="26"/>
  <c r="Q9" i="26"/>
  <c r="O9" i="26"/>
  <c r="K9" i="26"/>
  <c r="N9" i="26" s="1"/>
  <c r="AG9" i="26" s="1"/>
  <c r="I9" i="26"/>
  <c r="H9" i="26"/>
  <c r="AO8" i="26"/>
  <c r="AG8" i="26"/>
  <c r="AD8" i="26"/>
  <c r="AB8" i="26"/>
  <c r="V8" i="26"/>
  <c r="W8" i="26" s="1"/>
  <c r="T8" i="26"/>
  <c r="S8" i="26"/>
  <c r="Y8" i="26" s="1"/>
  <c r="Z8" i="26" s="1"/>
  <c r="O8" i="26"/>
  <c r="Q8" i="26" s="1"/>
  <c r="N8" i="26"/>
  <c r="L8" i="26"/>
  <c r="K8" i="26"/>
  <c r="I8" i="26"/>
  <c r="H8" i="26"/>
  <c r="AO7" i="26"/>
  <c r="AD7" i="26"/>
  <c r="AB7" i="26"/>
  <c r="W7" i="26"/>
  <c r="V7" i="26"/>
  <c r="T7" i="26"/>
  <c r="S7" i="26"/>
  <c r="Y7" i="26" s="1"/>
  <c r="Z7" i="26" s="1"/>
  <c r="Q7" i="26"/>
  <c r="O7" i="26"/>
  <c r="K7" i="26"/>
  <c r="N7" i="26" s="1"/>
  <c r="AG7" i="26" s="1"/>
  <c r="I7" i="26"/>
  <c r="H7" i="26"/>
  <c r="AO6" i="26"/>
  <c r="AD6" i="26"/>
  <c r="AB6" i="26"/>
  <c r="Y6" i="26"/>
  <c r="Z6" i="26" s="1"/>
  <c r="V6" i="26"/>
  <c r="W6" i="26" s="1"/>
  <c r="T6" i="26"/>
  <c r="S6" i="26"/>
  <c r="O6" i="26"/>
  <c r="Q6" i="26" s="1"/>
  <c r="L6" i="26"/>
  <c r="K6" i="26"/>
  <c r="N6" i="26" s="1"/>
  <c r="AG6" i="26" s="1"/>
  <c r="I6" i="26"/>
  <c r="H6" i="26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R32" i="25"/>
  <c r="AN30" i="25"/>
  <c r="AM30" i="25"/>
  <c r="AL30" i="25"/>
  <c r="AK30" i="25"/>
  <c r="AJ30" i="25"/>
  <c r="AI30" i="25"/>
  <c r="AH30" i="25"/>
  <c r="X30" i="25"/>
  <c r="U30" i="25"/>
  <c r="V30" i="25" s="1"/>
  <c r="W30" i="25" s="1"/>
  <c r="S30" i="25"/>
  <c r="R30" i="25"/>
  <c r="J30" i="25"/>
  <c r="T30" i="25" s="1"/>
  <c r="G30" i="25"/>
  <c r="H30" i="25" s="1"/>
  <c r="F30" i="25"/>
  <c r="M30" i="25" s="1"/>
  <c r="E30" i="25"/>
  <c r="P30" i="25" s="1"/>
  <c r="D30" i="25"/>
  <c r="AO29" i="25"/>
  <c r="AD29" i="25"/>
  <c r="AB29" i="25"/>
  <c r="W29" i="25"/>
  <c r="V29" i="25"/>
  <c r="T29" i="25"/>
  <c r="S29" i="25"/>
  <c r="Q29" i="25"/>
  <c r="O29" i="25"/>
  <c r="N29" i="25"/>
  <c r="AG29" i="25" s="1"/>
  <c r="K29" i="25"/>
  <c r="Y29" i="25" s="1"/>
  <c r="Z29" i="25" s="1"/>
  <c r="I29" i="25"/>
  <c r="H29" i="25"/>
  <c r="AO28" i="25"/>
  <c r="AG28" i="25"/>
  <c r="AD28" i="25"/>
  <c r="AB28" i="25"/>
  <c r="V28" i="25"/>
  <c r="W28" i="25" s="1"/>
  <c r="T28" i="25"/>
  <c r="S28" i="25"/>
  <c r="Y28" i="25" s="1"/>
  <c r="Z28" i="25" s="1"/>
  <c r="O28" i="25"/>
  <c r="Q28" i="25" s="1"/>
  <c r="N28" i="25"/>
  <c r="L28" i="25"/>
  <c r="K28" i="25"/>
  <c r="I28" i="25"/>
  <c r="H28" i="25"/>
  <c r="AO27" i="25"/>
  <c r="AD27" i="25"/>
  <c r="AB27" i="25"/>
  <c r="W27" i="25"/>
  <c r="V27" i="25"/>
  <c r="T27" i="25"/>
  <c r="S27" i="25"/>
  <c r="Q27" i="25"/>
  <c r="O27" i="25"/>
  <c r="N27" i="25"/>
  <c r="AG27" i="25" s="1"/>
  <c r="K27" i="25"/>
  <c r="Y27" i="25" s="1"/>
  <c r="Z27" i="25" s="1"/>
  <c r="I27" i="25"/>
  <c r="H27" i="25"/>
  <c r="AO26" i="25"/>
  <c r="AD26" i="25"/>
  <c r="AB26" i="25"/>
  <c r="V26" i="25"/>
  <c r="W26" i="25" s="1"/>
  <c r="T26" i="25"/>
  <c r="S26" i="25"/>
  <c r="Y26" i="25" s="1"/>
  <c r="Z26" i="25" s="1"/>
  <c r="O26" i="25"/>
  <c r="Q26" i="25" s="1"/>
  <c r="L26" i="25"/>
  <c r="K26" i="25"/>
  <c r="N26" i="25" s="1"/>
  <c r="AG26" i="25" s="1"/>
  <c r="I26" i="25"/>
  <c r="H26" i="25"/>
  <c r="AO25" i="25"/>
  <c r="AD25" i="25"/>
  <c r="AB25" i="25"/>
  <c r="W25" i="25"/>
  <c r="V25" i="25"/>
  <c r="T25" i="25"/>
  <c r="S25" i="25"/>
  <c r="Y25" i="25" s="1"/>
  <c r="Z25" i="25" s="1"/>
  <c r="Q25" i="25"/>
  <c r="O25" i="25"/>
  <c r="K25" i="25"/>
  <c r="N25" i="25" s="1"/>
  <c r="AG25" i="25" s="1"/>
  <c r="I25" i="25"/>
  <c r="H25" i="25"/>
  <c r="AO24" i="25"/>
  <c r="AD24" i="25"/>
  <c r="AB24" i="25"/>
  <c r="Y24" i="25"/>
  <c r="Z24" i="25" s="1"/>
  <c r="V24" i="25"/>
  <c r="W24" i="25" s="1"/>
  <c r="T24" i="25"/>
  <c r="S24" i="25"/>
  <c r="O24" i="25"/>
  <c r="Q24" i="25" s="1"/>
  <c r="L24" i="25"/>
  <c r="K24" i="25"/>
  <c r="N24" i="25" s="1"/>
  <c r="AG24" i="25" s="1"/>
  <c r="I24" i="25"/>
  <c r="H24" i="25"/>
  <c r="AO23" i="25"/>
  <c r="AD23" i="25"/>
  <c r="AB23" i="25"/>
  <c r="W23" i="25"/>
  <c r="V23" i="25"/>
  <c r="T23" i="25"/>
  <c r="S23" i="25"/>
  <c r="Y23" i="25" s="1"/>
  <c r="Z23" i="25" s="1"/>
  <c r="Q23" i="25"/>
  <c r="O23" i="25"/>
  <c r="K23" i="25"/>
  <c r="I23" i="25"/>
  <c r="H23" i="25"/>
  <c r="AO22" i="25"/>
  <c r="AD22" i="25"/>
  <c r="AB22" i="25"/>
  <c r="Y22" i="25"/>
  <c r="Z22" i="25" s="1"/>
  <c r="V22" i="25"/>
  <c r="W22" i="25" s="1"/>
  <c r="T22" i="25"/>
  <c r="S22" i="25"/>
  <c r="O22" i="25"/>
  <c r="Q22" i="25" s="1"/>
  <c r="L22" i="25"/>
  <c r="K22" i="25"/>
  <c r="N22" i="25" s="1"/>
  <c r="AG22" i="25" s="1"/>
  <c r="I22" i="25"/>
  <c r="H22" i="25"/>
  <c r="AO21" i="25"/>
  <c r="AD21" i="25"/>
  <c r="AB21" i="25"/>
  <c r="W21" i="25"/>
  <c r="V21" i="25"/>
  <c r="T21" i="25"/>
  <c r="S21" i="25"/>
  <c r="Q21" i="25"/>
  <c r="O21" i="25"/>
  <c r="N21" i="25"/>
  <c r="AG21" i="25" s="1"/>
  <c r="K21" i="25"/>
  <c r="Y21" i="25" s="1"/>
  <c r="Z21" i="25" s="1"/>
  <c r="I21" i="25"/>
  <c r="H21" i="25"/>
  <c r="AO20" i="25"/>
  <c r="AG20" i="25"/>
  <c r="AD20" i="25"/>
  <c r="AB20" i="25"/>
  <c r="V20" i="25"/>
  <c r="W20" i="25" s="1"/>
  <c r="T20" i="25"/>
  <c r="S20" i="25"/>
  <c r="Y20" i="25" s="1"/>
  <c r="Z20" i="25" s="1"/>
  <c r="O20" i="25"/>
  <c r="Q20" i="25" s="1"/>
  <c r="N20" i="25"/>
  <c r="L20" i="25"/>
  <c r="K20" i="25"/>
  <c r="I20" i="25"/>
  <c r="H20" i="25"/>
  <c r="AO19" i="25"/>
  <c r="AD19" i="25"/>
  <c r="AB19" i="25"/>
  <c r="W19" i="25"/>
  <c r="V19" i="25"/>
  <c r="T19" i="25"/>
  <c r="S19" i="25"/>
  <c r="Q19" i="25"/>
  <c r="O19" i="25"/>
  <c r="N19" i="25"/>
  <c r="AG19" i="25" s="1"/>
  <c r="K19" i="25"/>
  <c r="Y19" i="25" s="1"/>
  <c r="Z19" i="25" s="1"/>
  <c r="I19" i="25"/>
  <c r="H19" i="25"/>
  <c r="AO18" i="25"/>
  <c r="AD18" i="25"/>
  <c r="AB18" i="25"/>
  <c r="V18" i="25"/>
  <c r="W18" i="25" s="1"/>
  <c r="T18" i="25"/>
  <c r="S18" i="25"/>
  <c r="Y18" i="25" s="1"/>
  <c r="Z18" i="25" s="1"/>
  <c r="O18" i="25"/>
  <c r="Q18" i="25" s="1"/>
  <c r="L18" i="25"/>
  <c r="K18" i="25"/>
  <c r="N18" i="25" s="1"/>
  <c r="AG18" i="25" s="1"/>
  <c r="I18" i="25"/>
  <c r="H18" i="25"/>
  <c r="AO17" i="25"/>
  <c r="AD17" i="25"/>
  <c r="AB17" i="25"/>
  <c r="W17" i="25"/>
  <c r="V17" i="25"/>
  <c r="T17" i="25"/>
  <c r="S17" i="25"/>
  <c r="Y17" i="25" s="1"/>
  <c r="Z17" i="25" s="1"/>
  <c r="Q17" i="25"/>
  <c r="O17" i="25"/>
  <c r="K17" i="25"/>
  <c r="N17" i="25" s="1"/>
  <c r="AG17" i="25" s="1"/>
  <c r="I17" i="25"/>
  <c r="H17" i="25"/>
  <c r="AO16" i="25"/>
  <c r="AD16" i="25"/>
  <c r="AB16" i="25"/>
  <c r="Y16" i="25"/>
  <c r="Z16" i="25" s="1"/>
  <c r="V16" i="25"/>
  <c r="W16" i="25" s="1"/>
  <c r="T16" i="25"/>
  <c r="S16" i="25"/>
  <c r="O16" i="25"/>
  <c r="Q16" i="25" s="1"/>
  <c r="L16" i="25"/>
  <c r="K16" i="25"/>
  <c r="N16" i="25" s="1"/>
  <c r="AG16" i="25" s="1"/>
  <c r="I16" i="25"/>
  <c r="H16" i="25"/>
  <c r="AO15" i="25"/>
  <c r="AD15" i="25"/>
  <c r="AB15" i="25"/>
  <c r="W15" i="25"/>
  <c r="V15" i="25"/>
  <c r="T15" i="25"/>
  <c r="S15" i="25"/>
  <c r="Y15" i="25" s="1"/>
  <c r="Z15" i="25" s="1"/>
  <c r="Q15" i="25"/>
  <c r="O15" i="25"/>
  <c r="K15" i="25"/>
  <c r="I15" i="25"/>
  <c r="H15" i="25"/>
  <c r="AO14" i="25"/>
  <c r="AD14" i="25"/>
  <c r="AB14" i="25"/>
  <c r="AB30" i="25" s="1"/>
  <c r="Y14" i="25"/>
  <c r="Z14" i="25" s="1"/>
  <c r="V14" i="25"/>
  <c r="W14" i="25" s="1"/>
  <c r="T14" i="25"/>
  <c r="S14" i="25"/>
  <c r="O14" i="25"/>
  <c r="Q14" i="25" s="1"/>
  <c r="Q30" i="25" s="1"/>
  <c r="L14" i="25"/>
  <c r="K14" i="25"/>
  <c r="N14" i="25" s="1"/>
  <c r="AG14" i="25" s="1"/>
  <c r="I14" i="25"/>
  <c r="H14" i="25"/>
  <c r="AN12" i="25"/>
  <c r="AM12" i="25"/>
  <c r="AL12" i="25"/>
  <c r="AK12" i="25"/>
  <c r="AJ12" i="25"/>
  <c r="AH12" i="25"/>
  <c r="AI12" i="25" s="1"/>
  <c r="X12" i="25"/>
  <c r="U12" i="25"/>
  <c r="U32" i="25" s="1"/>
  <c r="R12" i="25"/>
  <c r="T12" i="25" s="1"/>
  <c r="P12" i="25"/>
  <c r="J12" i="25"/>
  <c r="J32" i="25" s="1"/>
  <c r="G12" i="25"/>
  <c r="F12" i="25"/>
  <c r="E12" i="25"/>
  <c r="D12" i="25"/>
  <c r="AO11" i="25"/>
  <c r="AD11" i="25"/>
  <c r="AB11" i="25"/>
  <c r="Y11" i="25"/>
  <c r="Z11" i="25" s="1"/>
  <c r="V11" i="25"/>
  <c r="W11" i="25" s="1"/>
  <c r="T11" i="25"/>
  <c r="S11" i="25"/>
  <c r="O11" i="25"/>
  <c r="Q11" i="25" s="1"/>
  <c r="L11" i="25"/>
  <c r="K11" i="25"/>
  <c r="N11" i="25" s="1"/>
  <c r="AG11" i="25" s="1"/>
  <c r="I11" i="25"/>
  <c r="H11" i="25"/>
  <c r="AO10" i="25"/>
  <c r="AD10" i="25"/>
  <c r="AB10" i="25"/>
  <c r="W10" i="25"/>
  <c r="V10" i="25"/>
  <c r="T10" i="25"/>
  <c r="S10" i="25"/>
  <c r="Q10" i="25"/>
  <c r="O10" i="25"/>
  <c r="N10" i="25"/>
  <c r="AG10" i="25" s="1"/>
  <c r="K10" i="25"/>
  <c r="Y10" i="25" s="1"/>
  <c r="Z10" i="25" s="1"/>
  <c r="I10" i="25"/>
  <c r="H10" i="25"/>
  <c r="AO9" i="25"/>
  <c r="AG9" i="25"/>
  <c r="AD9" i="25"/>
  <c r="AB9" i="25"/>
  <c r="V9" i="25"/>
  <c r="W9" i="25" s="1"/>
  <c r="T9" i="25"/>
  <c r="S9" i="25"/>
  <c r="Y9" i="25" s="1"/>
  <c r="Z9" i="25" s="1"/>
  <c r="O9" i="25"/>
  <c r="Q9" i="25" s="1"/>
  <c r="N9" i="25"/>
  <c r="L9" i="25"/>
  <c r="K9" i="25"/>
  <c r="I9" i="25"/>
  <c r="H9" i="25"/>
  <c r="AO8" i="25"/>
  <c r="AD8" i="25"/>
  <c r="AB8" i="25"/>
  <c r="W8" i="25"/>
  <c r="V8" i="25"/>
  <c r="T8" i="25"/>
  <c r="S8" i="25"/>
  <c r="Y8" i="25" s="1"/>
  <c r="Z8" i="25" s="1"/>
  <c r="Q8" i="25"/>
  <c r="O8" i="25"/>
  <c r="N8" i="25"/>
  <c r="AG8" i="25" s="1"/>
  <c r="K8" i="25"/>
  <c r="L8" i="25" s="1"/>
  <c r="I8" i="25"/>
  <c r="H8" i="25"/>
  <c r="AO7" i="25"/>
  <c r="AD7" i="25"/>
  <c r="AB7" i="25"/>
  <c r="V7" i="25"/>
  <c r="W7" i="25" s="1"/>
  <c r="T7" i="25"/>
  <c r="S7" i="25"/>
  <c r="Y7" i="25" s="1"/>
  <c r="Z7" i="25" s="1"/>
  <c r="O7" i="25"/>
  <c r="Q7" i="25" s="1"/>
  <c r="L7" i="25"/>
  <c r="K7" i="25"/>
  <c r="N7" i="25" s="1"/>
  <c r="AG7" i="25" s="1"/>
  <c r="I7" i="25"/>
  <c r="H7" i="25"/>
  <c r="AO6" i="25"/>
  <c r="AD6" i="25"/>
  <c r="AD12" i="25" s="1"/>
  <c r="AB6" i="25"/>
  <c r="W6" i="25"/>
  <c r="V6" i="25"/>
  <c r="T6" i="25"/>
  <c r="S6" i="25"/>
  <c r="Y6" i="25" s="1"/>
  <c r="Z6" i="25" s="1"/>
  <c r="Q6" i="25"/>
  <c r="O6" i="25"/>
  <c r="K6" i="25"/>
  <c r="N6" i="25" s="1"/>
  <c r="AG6" i="25" s="1"/>
  <c r="I6" i="25"/>
  <c r="H6" i="25"/>
  <c r="AD57" i="24"/>
  <c r="AC57" i="24"/>
  <c r="AB57" i="24"/>
  <c r="AA57" i="24"/>
  <c r="Z57" i="24"/>
  <c r="Y57" i="24"/>
  <c r="X57" i="24"/>
  <c r="W57" i="24"/>
  <c r="V57" i="24"/>
  <c r="U57" i="24"/>
  <c r="T57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F57" i="24"/>
  <c r="E57" i="24"/>
  <c r="D57" i="24"/>
  <c r="G33" i="24"/>
  <c r="AN31" i="24"/>
  <c r="AM31" i="24"/>
  <c r="AL31" i="24"/>
  <c r="AK31" i="24"/>
  <c r="AJ31" i="24"/>
  <c r="AH31" i="24"/>
  <c r="AI31" i="24" s="1"/>
  <c r="X31" i="24"/>
  <c r="U31" i="24"/>
  <c r="R31" i="24"/>
  <c r="P31" i="24"/>
  <c r="J31" i="24"/>
  <c r="H31" i="24"/>
  <c r="G31" i="24"/>
  <c r="F31" i="24"/>
  <c r="E31" i="24"/>
  <c r="D31" i="24"/>
  <c r="V31" i="24" s="1"/>
  <c r="AO30" i="24"/>
  <c r="AD30" i="24"/>
  <c r="AB30" i="24"/>
  <c r="Y30" i="24"/>
  <c r="Z30" i="24" s="1"/>
  <c r="V30" i="24"/>
  <c r="W30" i="24" s="1"/>
  <c r="T30" i="24"/>
  <c r="S30" i="24"/>
  <c r="O30" i="24"/>
  <c r="Q30" i="24" s="1"/>
  <c r="L30" i="24"/>
  <c r="K30" i="24"/>
  <c r="N30" i="24" s="1"/>
  <c r="AG30" i="24" s="1"/>
  <c r="I30" i="24"/>
  <c r="H30" i="24"/>
  <c r="AO29" i="24"/>
  <c r="AD29" i="24"/>
  <c r="AB29" i="24"/>
  <c r="Z29" i="24"/>
  <c r="V29" i="24"/>
  <c r="T29" i="24"/>
  <c r="S29" i="24"/>
  <c r="Y29" i="24" s="1"/>
  <c r="Q29" i="24"/>
  <c r="O29" i="24"/>
  <c r="N29" i="24"/>
  <c r="AG29" i="24" s="1"/>
  <c r="K29" i="24"/>
  <c r="L29" i="24" s="1"/>
  <c r="I29" i="24"/>
  <c r="H29" i="24"/>
  <c r="AO28" i="24"/>
  <c r="AG28" i="24"/>
  <c r="AD28" i="24"/>
  <c r="AB28" i="24"/>
  <c r="V28" i="24"/>
  <c r="T28" i="24"/>
  <c r="S28" i="24"/>
  <c r="O28" i="24"/>
  <c r="Q28" i="24" s="1"/>
  <c r="N28" i="24"/>
  <c r="L28" i="24"/>
  <c r="K28" i="24"/>
  <c r="I28" i="24"/>
  <c r="H28" i="24"/>
  <c r="AO27" i="24"/>
  <c r="AD27" i="24"/>
  <c r="AB27" i="24"/>
  <c r="V27" i="24"/>
  <c r="W27" i="24" s="1"/>
  <c r="T27" i="24"/>
  <c r="S27" i="24"/>
  <c r="Y27" i="24" s="1"/>
  <c r="Z27" i="24" s="1"/>
  <c r="Q27" i="24"/>
  <c r="O27" i="24"/>
  <c r="N27" i="24"/>
  <c r="AG27" i="24" s="1"/>
  <c r="L27" i="24"/>
  <c r="K27" i="24"/>
  <c r="I27" i="24"/>
  <c r="H27" i="24"/>
  <c r="AO26" i="24"/>
  <c r="AD26" i="24"/>
  <c r="AB26" i="24"/>
  <c r="V26" i="24"/>
  <c r="W26" i="24" s="1"/>
  <c r="T26" i="24"/>
  <c r="S26" i="24"/>
  <c r="O26" i="24"/>
  <c r="Q26" i="24" s="1"/>
  <c r="K26" i="24"/>
  <c r="I26" i="24"/>
  <c r="H26" i="24"/>
  <c r="AO25" i="24"/>
  <c r="AG25" i="24"/>
  <c r="AD25" i="24"/>
  <c r="AB25" i="24"/>
  <c r="W25" i="24"/>
  <c r="V25" i="24"/>
  <c r="T25" i="24"/>
  <c r="S25" i="24"/>
  <c r="Y25" i="24" s="1"/>
  <c r="Z25" i="24" s="1"/>
  <c r="Q25" i="24"/>
  <c r="O25" i="24"/>
  <c r="L25" i="24"/>
  <c r="K25" i="24"/>
  <c r="N25" i="24" s="1"/>
  <c r="I25" i="24"/>
  <c r="H25" i="24"/>
  <c r="AO24" i="24"/>
  <c r="AD24" i="24"/>
  <c r="AB24" i="24"/>
  <c r="W24" i="24"/>
  <c r="V24" i="24"/>
  <c r="T24" i="24"/>
  <c r="S24" i="24"/>
  <c r="Q24" i="24"/>
  <c r="O24" i="24"/>
  <c r="K24" i="24"/>
  <c r="I24" i="24"/>
  <c r="H24" i="24"/>
  <c r="AO23" i="24"/>
  <c r="AD23" i="24"/>
  <c r="AB23" i="24"/>
  <c r="Y23" i="24"/>
  <c r="Z23" i="24" s="1"/>
  <c r="V23" i="24"/>
  <c r="W23" i="24" s="1"/>
  <c r="T23" i="24"/>
  <c r="S23" i="24"/>
  <c r="O23" i="24"/>
  <c r="Q23" i="24" s="1"/>
  <c r="K23" i="24"/>
  <c r="I23" i="24"/>
  <c r="H23" i="24"/>
  <c r="AO22" i="24"/>
  <c r="AD22" i="24"/>
  <c r="AB22" i="24"/>
  <c r="W22" i="24"/>
  <c r="V22" i="24"/>
  <c r="T22" i="24"/>
  <c r="S22" i="24"/>
  <c r="Q22" i="24"/>
  <c r="O22" i="24"/>
  <c r="K22" i="24"/>
  <c r="I22" i="24"/>
  <c r="H22" i="24"/>
  <c r="AO21" i="24"/>
  <c r="AG21" i="24"/>
  <c r="AD21" i="24"/>
  <c r="AB21" i="24"/>
  <c r="Y21" i="24"/>
  <c r="Z21" i="24" s="1"/>
  <c r="V21" i="24"/>
  <c r="W21" i="24" s="1"/>
  <c r="T21" i="24"/>
  <c r="S21" i="24"/>
  <c r="O21" i="24"/>
  <c r="Q21" i="24" s="1"/>
  <c r="N21" i="24"/>
  <c r="L21" i="24"/>
  <c r="K21" i="24"/>
  <c r="I21" i="24"/>
  <c r="H21" i="24"/>
  <c r="AO20" i="24"/>
  <c r="AD20" i="24"/>
  <c r="AB20" i="24"/>
  <c r="V20" i="24"/>
  <c r="W20" i="24" s="1"/>
  <c r="T20" i="24"/>
  <c r="S20" i="24"/>
  <c r="Y20" i="24" s="1"/>
  <c r="Z20" i="24" s="1"/>
  <c r="Q20" i="24"/>
  <c r="O20" i="24"/>
  <c r="N20" i="24"/>
  <c r="AG20" i="24" s="1"/>
  <c r="K20" i="24"/>
  <c r="L20" i="24" s="1"/>
  <c r="I20" i="24"/>
  <c r="H20" i="24"/>
  <c r="AO19" i="24"/>
  <c r="AD19" i="24"/>
  <c r="AB19" i="24"/>
  <c r="V19" i="24"/>
  <c r="W19" i="24" s="1"/>
  <c r="T19" i="24"/>
  <c r="S19" i="24"/>
  <c r="Y19" i="24" s="1"/>
  <c r="Z19" i="24" s="1"/>
  <c r="O19" i="24"/>
  <c r="Q19" i="24" s="1"/>
  <c r="K19" i="24"/>
  <c r="N19" i="24" s="1"/>
  <c r="AG19" i="24" s="1"/>
  <c r="I19" i="24"/>
  <c r="H19" i="24"/>
  <c r="AO18" i="24"/>
  <c r="AD18" i="24"/>
  <c r="AB18" i="24"/>
  <c r="W18" i="24"/>
  <c r="V18" i="24"/>
  <c r="T18" i="24"/>
  <c r="S18" i="24"/>
  <c r="Q18" i="24"/>
  <c r="O18" i="24"/>
  <c r="K18" i="24"/>
  <c r="I18" i="24"/>
  <c r="H18" i="24"/>
  <c r="AO17" i="24"/>
  <c r="AG17" i="24"/>
  <c r="AD17" i="24"/>
  <c r="AB17" i="24"/>
  <c r="V17" i="24"/>
  <c r="W17" i="24" s="1"/>
  <c r="T17" i="24"/>
  <c r="S17" i="24"/>
  <c r="Y17" i="24" s="1"/>
  <c r="Z17" i="24" s="1"/>
  <c r="O17" i="24"/>
  <c r="Q17" i="24" s="1"/>
  <c r="N17" i="24"/>
  <c r="L17" i="24"/>
  <c r="K17" i="24"/>
  <c r="I17" i="24"/>
  <c r="H17" i="24"/>
  <c r="AO16" i="24"/>
  <c r="AD16" i="24"/>
  <c r="AB16" i="24"/>
  <c r="W16" i="24"/>
  <c r="V16" i="24"/>
  <c r="T16" i="24"/>
  <c r="S16" i="24"/>
  <c r="O16" i="24"/>
  <c r="Q16" i="24" s="1"/>
  <c r="N16" i="24"/>
  <c r="AG16" i="24" s="1"/>
  <c r="K16" i="24"/>
  <c r="Y16" i="24" s="1"/>
  <c r="Z16" i="24" s="1"/>
  <c r="I16" i="24"/>
  <c r="H16" i="24"/>
  <c r="AO15" i="24"/>
  <c r="AD15" i="24"/>
  <c r="AB15" i="24"/>
  <c r="Y15" i="24"/>
  <c r="Z15" i="24" s="1"/>
  <c r="V15" i="24"/>
  <c r="W15" i="24" s="1"/>
  <c r="T15" i="24"/>
  <c r="S15" i="24"/>
  <c r="O15" i="24"/>
  <c r="Q15" i="24" s="1"/>
  <c r="L15" i="24"/>
  <c r="K15" i="24"/>
  <c r="N15" i="24" s="1"/>
  <c r="AG15" i="24" s="1"/>
  <c r="I15" i="24"/>
  <c r="H15" i="24"/>
  <c r="AO14" i="24"/>
  <c r="AD14" i="24"/>
  <c r="AB14" i="24"/>
  <c r="W14" i="24"/>
  <c r="V14" i="24"/>
  <c r="T14" i="24"/>
  <c r="S14" i="24"/>
  <c r="Y14" i="24" s="1"/>
  <c r="Z14" i="24" s="1"/>
  <c r="Q14" i="24"/>
  <c r="Q31" i="24" s="1"/>
  <c r="O14" i="24"/>
  <c r="K14" i="24"/>
  <c r="I14" i="24"/>
  <c r="H14" i="24"/>
  <c r="AN12" i="24"/>
  <c r="AM12" i="24"/>
  <c r="AL12" i="24"/>
  <c r="AK12" i="24"/>
  <c r="AJ12" i="24"/>
  <c r="AI12" i="24"/>
  <c r="AH12" i="24"/>
  <c r="AB12" i="24"/>
  <c r="U12" i="24"/>
  <c r="U33" i="24" s="1"/>
  <c r="S12" i="24"/>
  <c r="R12" i="24"/>
  <c r="R33" i="24" s="1"/>
  <c r="O12" i="24"/>
  <c r="M12" i="24"/>
  <c r="J12" i="24"/>
  <c r="G12" i="24"/>
  <c r="H12" i="24" s="1"/>
  <c r="F12" i="24"/>
  <c r="E12" i="24"/>
  <c r="D12" i="24"/>
  <c r="AO11" i="24"/>
  <c r="AD11" i="24"/>
  <c r="AB11" i="24"/>
  <c r="W11" i="24"/>
  <c r="V11" i="24"/>
  <c r="T11" i="24"/>
  <c r="S11" i="24"/>
  <c r="Q11" i="24"/>
  <c r="O11" i="24"/>
  <c r="K11" i="24"/>
  <c r="I11" i="24"/>
  <c r="H11" i="24"/>
  <c r="AO10" i="24"/>
  <c r="AG10" i="24"/>
  <c r="AD10" i="24"/>
  <c r="AB10" i="24"/>
  <c r="Y10" i="24"/>
  <c r="Z10" i="24" s="1"/>
  <c r="V10" i="24"/>
  <c r="W10" i="24" s="1"/>
  <c r="T10" i="24"/>
  <c r="S10" i="24"/>
  <c r="O10" i="24"/>
  <c r="Q10" i="24" s="1"/>
  <c r="N10" i="24"/>
  <c r="L10" i="24"/>
  <c r="K10" i="24"/>
  <c r="I10" i="24"/>
  <c r="H10" i="24"/>
  <c r="AO9" i="24"/>
  <c r="AD9" i="24"/>
  <c r="AB9" i="24"/>
  <c r="V9" i="24"/>
  <c r="W9" i="24" s="1"/>
  <c r="T9" i="24"/>
  <c r="S9" i="24"/>
  <c r="Y9" i="24" s="1"/>
  <c r="Z9" i="24" s="1"/>
  <c r="Q9" i="24"/>
  <c r="O9" i="24"/>
  <c r="N9" i="24"/>
  <c r="AG9" i="24" s="1"/>
  <c r="K9" i="24"/>
  <c r="L9" i="24" s="1"/>
  <c r="I9" i="24"/>
  <c r="H9" i="24"/>
  <c r="AO8" i="24"/>
  <c r="AD8" i="24"/>
  <c r="AB8" i="24"/>
  <c r="V8" i="24"/>
  <c r="W8" i="24" s="1"/>
  <c r="T8" i="24"/>
  <c r="S8" i="24"/>
  <c r="Y8" i="24" s="1"/>
  <c r="Z8" i="24" s="1"/>
  <c r="O8" i="24"/>
  <c r="Q8" i="24" s="1"/>
  <c r="K8" i="24"/>
  <c r="N8" i="24" s="1"/>
  <c r="AG8" i="24" s="1"/>
  <c r="I8" i="24"/>
  <c r="H8" i="24"/>
  <c r="AO7" i="24"/>
  <c r="AD7" i="24"/>
  <c r="AB7" i="24"/>
  <c r="W7" i="24"/>
  <c r="V7" i="24"/>
  <c r="T7" i="24"/>
  <c r="S7" i="24"/>
  <c r="Q7" i="24"/>
  <c r="O7" i="24"/>
  <c r="K7" i="24"/>
  <c r="I7" i="24"/>
  <c r="H7" i="24"/>
  <c r="AO6" i="24"/>
  <c r="AG6" i="24"/>
  <c r="AD6" i="24"/>
  <c r="AB6" i="24"/>
  <c r="V6" i="24"/>
  <c r="T6" i="24"/>
  <c r="S6" i="24"/>
  <c r="Y6" i="24" s="1"/>
  <c r="Z6" i="24" s="1"/>
  <c r="O6" i="24"/>
  <c r="Q6" i="24" s="1"/>
  <c r="N6" i="24"/>
  <c r="L6" i="24"/>
  <c r="K6" i="24"/>
  <c r="I6" i="24"/>
  <c r="H6" i="24"/>
  <c r="AD58" i="23"/>
  <c r="AC58" i="23"/>
  <c r="AB58" i="23"/>
  <c r="AA58" i="23"/>
  <c r="Z58" i="23"/>
  <c r="Y58" i="23"/>
  <c r="X58" i="23"/>
  <c r="W58" i="23"/>
  <c r="V58" i="23"/>
  <c r="U58" i="23"/>
  <c r="T58" i="23"/>
  <c r="S58" i="23"/>
  <c r="R58" i="23"/>
  <c r="Q58" i="23"/>
  <c r="P58" i="23"/>
  <c r="O58" i="23"/>
  <c r="N58" i="23"/>
  <c r="M58" i="23"/>
  <c r="L58" i="23"/>
  <c r="K58" i="23"/>
  <c r="J58" i="23"/>
  <c r="I58" i="23"/>
  <c r="H58" i="23"/>
  <c r="G58" i="23"/>
  <c r="F58" i="23"/>
  <c r="E58" i="23"/>
  <c r="D58" i="23"/>
  <c r="AH33" i="23"/>
  <c r="F33" i="23"/>
  <c r="AN31" i="23"/>
  <c r="AM31" i="23"/>
  <c r="AL31" i="23"/>
  <c r="AK31" i="23"/>
  <c r="AJ31" i="23"/>
  <c r="AI31" i="23"/>
  <c r="AH31" i="23"/>
  <c r="W31" i="23"/>
  <c r="U31" i="23"/>
  <c r="V31" i="23" s="1"/>
  <c r="S31" i="23"/>
  <c r="R31" i="23"/>
  <c r="X31" i="23" s="1"/>
  <c r="O31" i="23"/>
  <c r="M31" i="23"/>
  <c r="J31" i="23"/>
  <c r="G31" i="23"/>
  <c r="H31" i="23" s="1"/>
  <c r="F31" i="23"/>
  <c r="E31" i="23"/>
  <c r="P31" i="23" s="1"/>
  <c r="D31" i="23"/>
  <c r="AO30" i="23"/>
  <c r="AD30" i="23"/>
  <c r="AB30" i="23"/>
  <c r="W30" i="23"/>
  <c r="V30" i="23"/>
  <c r="T30" i="23"/>
  <c r="S30" i="23"/>
  <c r="Q30" i="23"/>
  <c r="O30" i="23"/>
  <c r="K30" i="23"/>
  <c r="I30" i="23"/>
  <c r="H30" i="23"/>
  <c r="AO29" i="23"/>
  <c r="AG29" i="23"/>
  <c r="AD29" i="23"/>
  <c r="AB29" i="23"/>
  <c r="Y29" i="23"/>
  <c r="Z29" i="23" s="1"/>
  <c r="V29" i="23"/>
  <c r="W29" i="23" s="1"/>
  <c r="T29" i="23"/>
  <c r="S29" i="23"/>
  <c r="O29" i="23"/>
  <c r="Q29" i="23" s="1"/>
  <c r="N29" i="23"/>
  <c r="L29" i="23"/>
  <c r="K29" i="23"/>
  <c r="I29" i="23"/>
  <c r="H29" i="23"/>
  <c r="AO28" i="23"/>
  <c r="AD28" i="23"/>
  <c r="AB28" i="23"/>
  <c r="V28" i="23"/>
  <c r="W28" i="23" s="1"/>
  <c r="T28" i="23"/>
  <c r="S28" i="23"/>
  <c r="Y28" i="23" s="1"/>
  <c r="Z28" i="23" s="1"/>
  <c r="Q28" i="23"/>
  <c r="O28" i="23"/>
  <c r="N28" i="23"/>
  <c r="AG28" i="23" s="1"/>
  <c r="K28" i="23"/>
  <c r="L28" i="23" s="1"/>
  <c r="I28" i="23"/>
  <c r="H28" i="23"/>
  <c r="AO27" i="23"/>
  <c r="AD27" i="23"/>
  <c r="AB27" i="23"/>
  <c r="V27" i="23"/>
  <c r="W27" i="23" s="1"/>
  <c r="T27" i="23"/>
  <c r="S27" i="23"/>
  <c r="Y27" i="23" s="1"/>
  <c r="Z27" i="23" s="1"/>
  <c r="O27" i="23"/>
  <c r="Q27" i="23" s="1"/>
  <c r="K27" i="23"/>
  <c r="N27" i="23" s="1"/>
  <c r="AG27" i="23" s="1"/>
  <c r="I27" i="23"/>
  <c r="H27" i="23"/>
  <c r="AO26" i="23"/>
  <c r="AD26" i="23"/>
  <c r="AB26" i="23"/>
  <c r="W26" i="23"/>
  <c r="V26" i="23"/>
  <c r="T26" i="23"/>
  <c r="S26" i="23"/>
  <c r="Q26" i="23"/>
  <c r="O26" i="23"/>
  <c r="K26" i="23"/>
  <c r="I26" i="23"/>
  <c r="H26" i="23"/>
  <c r="AO25" i="23"/>
  <c r="AG25" i="23"/>
  <c r="AD25" i="23"/>
  <c r="AB25" i="23"/>
  <c r="Y25" i="23"/>
  <c r="Z25" i="23" s="1"/>
  <c r="V25" i="23"/>
  <c r="W25" i="23" s="1"/>
  <c r="T25" i="23"/>
  <c r="S25" i="23"/>
  <c r="O25" i="23"/>
  <c r="Q25" i="23" s="1"/>
  <c r="N25" i="23"/>
  <c r="L25" i="23"/>
  <c r="K25" i="23"/>
  <c r="I25" i="23"/>
  <c r="H25" i="23"/>
  <c r="AO24" i="23"/>
  <c r="AD24" i="23"/>
  <c r="AB24" i="23"/>
  <c r="W24" i="23"/>
  <c r="V24" i="23"/>
  <c r="T24" i="23"/>
  <c r="S24" i="23"/>
  <c r="O24" i="23"/>
  <c r="Q24" i="23" s="1"/>
  <c r="N24" i="23"/>
  <c r="AG24" i="23" s="1"/>
  <c r="K24" i="23"/>
  <c r="Y24" i="23" s="1"/>
  <c r="Z24" i="23" s="1"/>
  <c r="I24" i="23"/>
  <c r="H24" i="23"/>
  <c r="AO23" i="23"/>
  <c r="AG23" i="23"/>
  <c r="AD23" i="23"/>
  <c r="AB23" i="23"/>
  <c r="Y23" i="23"/>
  <c r="Z23" i="23" s="1"/>
  <c r="V23" i="23"/>
  <c r="W23" i="23" s="1"/>
  <c r="T23" i="23"/>
  <c r="S23" i="23"/>
  <c r="O23" i="23"/>
  <c r="Q23" i="23" s="1"/>
  <c r="N23" i="23"/>
  <c r="L23" i="23"/>
  <c r="K23" i="23"/>
  <c r="I23" i="23"/>
  <c r="H23" i="23"/>
  <c r="AO22" i="23"/>
  <c r="AD22" i="23"/>
  <c r="AB22" i="23"/>
  <c r="W22" i="23"/>
  <c r="V22" i="23"/>
  <c r="T22" i="23"/>
  <c r="S22" i="23"/>
  <c r="Y22" i="23" s="1"/>
  <c r="Z22" i="23" s="1"/>
  <c r="Q22" i="23"/>
  <c r="O22" i="23"/>
  <c r="K22" i="23"/>
  <c r="I22" i="23"/>
  <c r="H22" i="23"/>
  <c r="AO21" i="23"/>
  <c r="AG21" i="23"/>
  <c r="AD21" i="23"/>
  <c r="AB21" i="23"/>
  <c r="V21" i="23"/>
  <c r="T21" i="23"/>
  <c r="S21" i="23"/>
  <c r="Y21" i="23" s="1"/>
  <c r="Z21" i="23" s="1"/>
  <c r="O21" i="23"/>
  <c r="Q21" i="23" s="1"/>
  <c r="N21" i="23"/>
  <c r="L21" i="23"/>
  <c r="K21" i="23"/>
  <c r="I21" i="23"/>
  <c r="H21" i="23"/>
  <c r="AO20" i="23"/>
  <c r="AD20" i="23"/>
  <c r="AB20" i="23"/>
  <c r="V20" i="23"/>
  <c r="W20" i="23" s="1"/>
  <c r="T20" i="23"/>
  <c r="S20" i="23"/>
  <c r="Y20" i="23" s="1"/>
  <c r="Z20" i="23" s="1"/>
  <c r="Q20" i="23"/>
  <c r="O20" i="23"/>
  <c r="N20" i="23"/>
  <c r="AG20" i="23" s="1"/>
  <c r="K20" i="23"/>
  <c r="L20" i="23" s="1"/>
  <c r="I20" i="23"/>
  <c r="H20" i="23"/>
  <c r="AO19" i="23"/>
  <c r="AD19" i="23"/>
  <c r="AB19" i="23"/>
  <c r="V19" i="23"/>
  <c r="W19" i="23" s="1"/>
  <c r="T19" i="23"/>
  <c r="S19" i="23"/>
  <c r="Y19" i="23" s="1"/>
  <c r="Z19" i="23" s="1"/>
  <c r="O19" i="23"/>
  <c r="Q19" i="23" s="1"/>
  <c r="K19" i="23"/>
  <c r="N19" i="23" s="1"/>
  <c r="AG19" i="23" s="1"/>
  <c r="I19" i="23"/>
  <c r="H19" i="23"/>
  <c r="AO18" i="23"/>
  <c r="AD18" i="23"/>
  <c r="AB18" i="23"/>
  <c r="W18" i="23"/>
  <c r="V18" i="23"/>
  <c r="T18" i="23"/>
  <c r="S18" i="23"/>
  <c r="Q18" i="23"/>
  <c r="O18" i="23"/>
  <c r="K18" i="23"/>
  <c r="I18" i="23"/>
  <c r="H18" i="23"/>
  <c r="AO17" i="23"/>
  <c r="AG17" i="23"/>
  <c r="AD17" i="23"/>
  <c r="AB17" i="23"/>
  <c r="V17" i="23"/>
  <c r="W17" i="23" s="1"/>
  <c r="T17" i="23"/>
  <c r="S17" i="23"/>
  <c r="Y17" i="23" s="1"/>
  <c r="Z17" i="23" s="1"/>
  <c r="O17" i="23"/>
  <c r="Q17" i="23" s="1"/>
  <c r="N17" i="23"/>
  <c r="L17" i="23"/>
  <c r="K17" i="23"/>
  <c r="I17" i="23"/>
  <c r="H17" i="23"/>
  <c r="AO16" i="23"/>
  <c r="AD16" i="23"/>
  <c r="AB16" i="23"/>
  <c r="Z16" i="23"/>
  <c r="W16" i="23"/>
  <c r="V16" i="23"/>
  <c r="T16" i="23"/>
  <c r="S16" i="23"/>
  <c r="O16" i="23"/>
  <c r="Q16" i="23" s="1"/>
  <c r="N16" i="23"/>
  <c r="AG16" i="23" s="1"/>
  <c r="K16" i="23"/>
  <c r="Y16" i="23" s="1"/>
  <c r="I16" i="23"/>
  <c r="H16" i="23"/>
  <c r="AO15" i="23"/>
  <c r="AD15" i="23"/>
  <c r="AB15" i="23"/>
  <c r="AB31" i="23" s="1"/>
  <c r="Y15" i="23"/>
  <c r="Z15" i="23" s="1"/>
  <c r="V15" i="23"/>
  <c r="W15" i="23" s="1"/>
  <c r="T15" i="23"/>
  <c r="S15" i="23"/>
  <c r="O15" i="23"/>
  <c r="Q15" i="23" s="1"/>
  <c r="N15" i="23"/>
  <c r="AG15" i="23" s="1"/>
  <c r="L15" i="23"/>
  <c r="K15" i="23"/>
  <c r="I15" i="23"/>
  <c r="H15" i="23"/>
  <c r="AO14" i="23"/>
  <c r="AD14" i="23"/>
  <c r="AB14" i="23"/>
  <c r="W14" i="23"/>
  <c r="V14" i="23"/>
  <c r="T14" i="23"/>
  <c r="S14" i="23"/>
  <c r="Y14" i="23" s="1"/>
  <c r="Z14" i="23" s="1"/>
  <c r="Q14" i="23"/>
  <c r="O14" i="23"/>
  <c r="K14" i="23"/>
  <c r="I14" i="23"/>
  <c r="H14" i="23"/>
  <c r="AN12" i="23"/>
  <c r="AM12" i="23"/>
  <c r="AL12" i="23"/>
  <c r="AK12" i="23"/>
  <c r="AJ12" i="23"/>
  <c r="AI12" i="23"/>
  <c r="AH12" i="23"/>
  <c r="AI33" i="23" s="1"/>
  <c r="AB12" i="23"/>
  <c r="U12" i="23"/>
  <c r="V12" i="23" s="1"/>
  <c r="S12" i="23"/>
  <c r="R12" i="23"/>
  <c r="R33" i="23" s="1"/>
  <c r="S33" i="23" s="1"/>
  <c r="M12" i="23"/>
  <c r="J12" i="23"/>
  <c r="G12" i="23"/>
  <c r="H12" i="23" s="1"/>
  <c r="F12" i="23"/>
  <c r="D33" i="23" s="1"/>
  <c r="E12" i="23"/>
  <c r="D12" i="23"/>
  <c r="AO11" i="23"/>
  <c r="AD11" i="23"/>
  <c r="AB11" i="23"/>
  <c r="W11" i="23"/>
  <c r="V11" i="23"/>
  <c r="T11" i="23"/>
  <c r="S11" i="23"/>
  <c r="Y11" i="23" s="1"/>
  <c r="Z11" i="23" s="1"/>
  <c r="Q11" i="23"/>
  <c r="O11" i="23"/>
  <c r="K11" i="23"/>
  <c r="I11" i="23"/>
  <c r="H11" i="23"/>
  <c r="AO10" i="23"/>
  <c r="AG10" i="23"/>
  <c r="AD10" i="23"/>
  <c r="AB10" i="23"/>
  <c r="V10" i="23"/>
  <c r="T10" i="23"/>
  <c r="S10" i="23"/>
  <c r="Y10" i="23" s="1"/>
  <c r="Z10" i="23" s="1"/>
  <c r="O10" i="23"/>
  <c r="Q10" i="23" s="1"/>
  <c r="N10" i="23"/>
  <c r="L10" i="23"/>
  <c r="K10" i="23"/>
  <c r="I10" i="23"/>
  <c r="H10" i="23"/>
  <c r="AO9" i="23"/>
  <c r="AD9" i="23"/>
  <c r="AB9" i="23"/>
  <c r="V9" i="23"/>
  <c r="W9" i="23" s="1"/>
  <c r="T9" i="23"/>
  <c r="S9" i="23"/>
  <c r="Y9" i="23" s="1"/>
  <c r="Z9" i="23" s="1"/>
  <c r="Q9" i="23"/>
  <c r="O9" i="23"/>
  <c r="N9" i="23"/>
  <c r="AG9" i="23" s="1"/>
  <c r="K9" i="23"/>
  <c r="L9" i="23" s="1"/>
  <c r="I9" i="23"/>
  <c r="H9" i="23"/>
  <c r="AO8" i="23"/>
  <c r="AD8" i="23"/>
  <c r="AB8" i="23"/>
  <c r="V8" i="23"/>
  <c r="W8" i="23" s="1"/>
  <c r="T8" i="23"/>
  <c r="S8" i="23"/>
  <c r="Y8" i="23" s="1"/>
  <c r="Z8" i="23" s="1"/>
  <c r="O8" i="23"/>
  <c r="Q8" i="23" s="1"/>
  <c r="K8" i="23"/>
  <c r="N8" i="23" s="1"/>
  <c r="AG8" i="23" s="1"/>
  <c r="I8" i="23"/>
  <c r="H8" i="23"/>
  <c r="AO7" i="23"/>
  <c r="AD7" i="23"/>
  <c r="AD12" i="23" s="1"/>
  <c r="AB7" i="23"/>
  <c r="W7" i="23"/>
  <c r="V7" i="23"/>
  <c r="T7" i="23"/>
  <c r="S7" i="23"/>
  <c r="Q7" i="23"/>
  <c r="O7" i="23"/>
  <c r="K7" i="23"/>
  <c r="I7" i="23"/>
  <c r="H7" i="23"/>
  <c r="AO6" i="23"/>
  <c r="AG6" i="23"/>
  <c r="AD6" i="23"/>
  <c r="AB6" i="23"/>
  <c r="V6" i="23"/>
  <c r="T6" i="23"/>
  <c r="S6" i="23"/>
  <c r="Y6" i="23" s="1"/>
  <c r="Z6" i="23" s="1"/>
  <c r="O6" i="23"/>
  <c r="Q6" i="23" s="1"/>
  <c r="N6" i="23"/>
  <c r="L6" i="23"/>
  <c r="K6" i="23"/>
  <c r="I6" i="23"/>
  <c r="H6" i="23"/>
  <c r="AD57" i="22"/>
  <c r="AC57" i="22"/>
  <c r="AB57" i="22"/>
  <c r="AA57" i="22"/>
  <c r="Z57" i="22"/>
  <c r="Y57" i="22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J57" i="22"/>
  <c r="I57" i="22"/>
  <c r="H57" i="22"/>
  <c r="G57" i="22"/>
  <c r="F57" i="22"/>
  <c r="E57" i="22"/>
  <c r="D57" i="22"/>
  <c r="AH31" i="22"/>
  <c r="F31" i="22"/>
  <c r="AN29" i="22"/>
  <c r="AM29" i="22"/>
  <c r="AL29" i="22"/>
  <c r="AK29" i="22"/>
  <c r="AJ29" i="22"/>
  <c r="AH29" i="22"/>
  <c r="AI29" i="22" s="1"/>
  <c r="V29" i="22"/>
  <c r="U29" i="22"/>
  <c r="R29" i="22"/>
  <c r="P29" i="22"/>
  <c r="J29" i="22"/>
  <c r="T29" i="22" s="1"/>
  <c r="H29" i="22"/>
  <c r="G29" i="22"/>
  <c r="F29" i="22"/>
  <c r="M29" i="22" s="1"/>
  <c r="E29" i="22"/>
  <c r="D29" i="22"/>
  <c r="AO28" i="22"/>
  <c r="AD28" i="22"/>
  <c r="AB28" i="22"/>
  <c r="Y28" i="22"/>
  <c r="Z28" i="22" s="1"/>
  <c r="V28" i="22"/>
  <c r="W28" i="22" s="1"/>
  <c r="T28" i="22"/>
  <c r="S28" i="22"/>
  <c r="O28" i="22"/>
  <c r="Q28" i="22" s="1"/>
  <c r="N28" i="22"/>
  <c r="AG28" i="22" s="1"/>
  <c r="L28" i="22"/>
  <c r="K28" i="22"/>
  <c r="I28" i="22"/>
  <c r="H28" i="22"/>
  <c r="AO27" i="22"/>
  <c r="AD27" i="22"/>
  <c r="AB27" i="22"/>
  <c r="W27" i="22"/>
  <c r="V27" i="22"/>
  <c r="T27" i="22"/>
  <c r="S27" i="22"/>
  <c r="Q27" i="22"/>
  <c r="O27" i="22"/>
  <c r="K27" i="22"/>
  <c r="I27" i="22"/>
  <c r="H27" i="22"/>
  <c r="AO26" i="22"/>
  <c r="AG26" i="22"/>
  <c r="AD26" i="22"/>
  <c r="AB26" i="22"/>
  <c r="V26" i="22"/>
  <c r="T26" i="22"/>
  <c r="S26" i="22"/>
  <c r="Y26" i="22" s="1"/>
  <c r="Z26" i="22" s="1"/>
  <c r="O26" i="22"/>
  <c r="Q26" i="22" s="1"/>
  <c r="N26" i="22"/>
  <c r="L26" i="22"/>
  <c r="K26" i="22"/>
  <c r="I26" i="22"/>
  <c r="H26" i="22"/>
  <c r="AO25" i="22"/>
  <c r="AD25" i="22"/>
  <c r="AB25" i="22"/>
  <c r="V25" i="22"/>
  <c r="W25" i="22" s="1"/>
  <c r="T25" i="22"/>
  <c r="S25" i="22"/>
  <c r="Y25" i="22" s="1"/>
  <c r="Z25" i="22" s="1"/>
  <c r="Q25" i="22"/>
  <c r="O25" i="22"/>
  <c r="N25" i="22"/>
  <c r="AG25" i="22" s="1"/>
  <c r="K25" i="22"/>
  <c r="L25" i="22" s="1"/>
  <c r="I25" i="22"/>
  <c r="H25" i="22"/>
  <c r="AO24" i="22"/>
  <c r="AD24" i="22"/>
  <c r="AB24" i="22"/>
  <c r="V24" i="22"/>
  <c r="W24" i="22" s="1"/>
  <c r="T24" i="22"/>
  <c r="S24" i="22"/>
  <c r="Y24" i="22" s="1"/>
  <c r="Z24" i="22" s="1"/>
  <c r="O24" i="22"/>
  <c r="Q24" i="22" s="1"/>
  <c r="K24" i="22"/>
  <c r="N24" i="22" s="1"/>
  <c r="AG24" i="22" s="1"/>
  <c r="I24" i="22"/>
  <c r="H24" i="22"/>
  <c r="AO23" i="22"/>
  <c r="AD23" i="22"/>
  <c r="AB23" i="22"/>
  <c r="W23" i="22"/>
  <c r="V23" i="22"/>
  <c r="T23" i="22"/>
  <c r="S23" i="22"/>
  <c r="Q23" i="22"/>
  <c r="O23" i="22"/>
  <c r="K23" i="22"/>
  <c r="I23" i="22"/>
  <c r="H23" i="22"/>
  <c r="AO22" i="22"/>
  <c r="AG22" i="22"/>
  <c r="AD22" i="22"/>
  <c r="AB22" i="22"/>
  <c r="V22" i="22"/>
  <c r="T22" i="22"/>
  <c r="S22" i="22"/>
  <c r="Y22" i="22" s="1"/>
  <c r="Z22" i="22" s="1"/>
  <c r="O22" i="22"/>
  <c r="Q22" i="22" s="1"/>
  <c r="N22" i="22"/>
  <c r="L22" i="22"/>
  <c r="K22" i="22"/>
  <c r="I22" i="22"/>
  <c r="H22" i="22"/>
  <c r="AO21" i="22"/>
  <c r="AD21" i="22"/>
  <c r="AB21" i="22"/>
  <c r="W21" i="22"/>
  <c r="V21" i="22"/>
  <c r="T21" i="22"/>
  <c r="S21" i="22"/>
  <c r="O21" i="22"/>
  <c r="Q21" i="22" s="1"/>
  <c r="N21" i="22"/>
  <c r="AG21" i="22" s="1"/>
  <c r="K21" i="22"/>
  <c r="Y21" i="22" s="1"/>
  <c r="Z21" i="22" s="1"/>
  <c r="I21" i="22"/>
  <c r="H21" i="22"/>
  <c r="AO20" i="22"/>
  <c r="AD20" i="22"/>
  <c r="AB20" i="22"/>
  <c r="Y20" i="22"/>
  <c r="Z20" i="22" s="1"/>
  <c r="V20" i="22"/>
  <c r="W20" i="22" s="1"/>
  <c r="T20" i="22"/>
  <c r="S20" i="22"/>
  <c r="O20" i="22"/>
  <c r="Q20" i="22" s="1"/>
  <c r="N20" i="22"/>
  <c r="AG20" i="22" s="1"/>
  <c r="L20" i="22"/>
  <c r="K20" i="22"/>
  <c r="I20" i="22"/>
  <c r="H20" i="22"/>
  <c r="AO19" i="22"/>
  <c r="AD19" i="22"/>
  <c r="AB19" i="22"/>
  <c r="W19" i="22"/>
  <c r="V19" i="22"/>
  <c r="T19" i="22"/>
  <c r="S19" i="22"/>
  <c r="Y19" i="22" s="1"/>
  <c r="Z19" i="22" s="1"/>
  <c r="Q19" i="22"/>
  <c r="O19" i="22"/>
  <c r="K19" i="22"/>
  <c r="I19" i="22"/>
  <c r="H19" i="22"/>
  <c r="AO18" i="22"/>
  <c r="AG18" i="22"/>
  <c r="AD18" i="22"/>
  <c r="AB18" i="22"/>
  <c r="V18" i="22"/>
  <c r="T18" i="22"/>
  <c r="S18" i="22"/>
  <c r="Y18" i="22" s="1"/>
  <c r="Z18" i="22" s="1"/>
  <c r="O18" i="22"/>
  <c r="Q18" i="22" s="1"/>
  <c r="N18" i="22"/>
  <c r="L18" i="22"/>
  <c r="K18" i="22"/>
  <c r="I18" i="22"/>
  <c r="H18" i="22"/>
  <c r="AO17" i="22"/>
  <c r="AD17" i="22"/>
  <c r="AB17" i="22"/>
  <c r="V17" i="22"/>
  <c r="W17" i="22" s="1"/>
  <c r="T17" i="22"/>
  <c r="S17" i="22"/>
  <c r="Y17" i="22" s="1"/>
  <c r="Z17" i="22" s="1"/>
  <c r="Q17" i="22"/>
  <c r="O17" i="22"/>
  <c r="N17" i="22"/>
  <c r="AG17" i="22" s="1"/>
  <c r="K17" i="22"/>
  <c r="L17" i="22" s="1"/>
  <c r="I17" i="22"/>
  <c r="H17" i="22"/>
  <c r="AO16" i="22"/>
  <c r="AD16" i="22"/>
  <c r="AB16" i="22"/>
  <c r="V16" i="22"/>
  <c r="W16" i="22" s="1"/>
  <c r="T16" i="22"/>
  <c r="S16" i="22"/>
  <c r="Y16" i="22" s="1"/>
  <c r="Z16" i="22" s="1"/>
  <c r="O16" i="22"/>
  <c r="Q16" i="22" s="1"/>
  <c r="K16" i="22"/>
  <c r="N16" i="22" s="1"/>
  <c r="AG16" i="22" s="1"/>
  <c r="I16" i="22"/>
  <c r="H16" i="22"/>
  <c r="AO15" i="22"/>
  <c r="AD15" i="22"/>
  <c r="AB15" i="22"/>
  <c r="W15" i="22"/>
  <c r="V15" i="22"/>
  <c r="T15" i="22"/>
  <c r="S15" i="22"/>
  <c r="Q15" i="22"/>
  <c r="O15" i="22"/>
  <c r="K15" i="22"/>
  <c r="I15" i="22"/>
  <c r="H15" i="22"/>
  <c r="AO14" i="22"/>
  <c r="AD14" i="22"/>
  <c r="AD29" i="22" s="1"/>
  <c r="AB14" i="22"/>
  <c r="AB29" i="22" s="1"/>
  <c r="V14" i="22"/>
  <c r="T14" i="22"/>
  <c r="S14" i="22"/>
  <c r="Y14" i="22" s="1"/>
  <c r="Z14" i="22" s="1"/>
  <c r="O14" i="22"/>
  <c r="Q14" i="22" s="1"/>
  <c r="L14" i="22"/>
  <c r="K14" i="22"/>
  <c r="N14" i="22" s="1"/>
  <c r="AG14" i="22" s="1"/>
  <c r="I14" i="22"/>
  <c r="H14" i="22"/>
  <c r="AN12" i="22"/>
  <c r="AM12" i="22"/>
  <c r="AL12" i="22"/>
  <c r="AK12" i="22"/>
  <c r="AJ12" i="22"/>
  <c r="AH12" i="22"/>
  <c r="AD12" i="22"/>
  <c r="X12" i="22"/>
  <c r="U12" i="22"/>
  <c r="U31" i="22" s="1"/>
  <c r="T12" i="22"/>
  <c r="R12" i="22"/>
  <c r="R31" i="22" s="1"/>
  <c r="P12" i="22"/>
  <c r="K12" i="22"/>
  <c r="J12" i="22"/>
  <c r="J31" i="22" s="1"/>
  <c r="G12" i="22"/>
  <c r="H12" i="22" s="1"/>
  <c r="F12" i="22"/>
  <c r="E12" i="22"/>
  <c r="D12" i="22"/>
  <c r="S12" i="22" s="1"/>
  <c r="AO11" i="22"/>
  <c r="AD11" i="22"/>
  <c r="AB11" i="22"/>
  <c r="V11" i="22"/>
  <c r="T11" i="22"/>
  <c r="S11" i="22"/>
  <c r="Y11" i="22" s="1"/>
  <c r="Z11" i="22" s="1"/>
  <c r="Q11" i="22"/>
  <c r="O11" i="22"/>
  <c r="L11" i="22"/>
  <c r="K11" i="22"/>
  <c r="N11" i="22" s="1"/>
  <c r="AG11" i="22" s="1"/>
  <c r="I11" i="22"/>
  <c r="H11" i="22"/>
  <c r="AO10" i="22"/>
  <c r="AD10" i="22"/>
  <c r="AB10" i="22"/>
  <c r="W10" i="22"/>
  <c r="V10" i="22"/>
  <c r="T10" i="22"/>
  <c r="S10" i="22"/>
  <c r="O10" i="22"/>
  <c r="Q10" i="22" s="1"/>
  <c r="N10" i="22"/>
  <c r="AG10" i="22" s="1"/>
  <c r="K10" i="22"/>
  <c r="Y10" i="22" s="1"/>
  <c r="Z10" i="22" s="1"/>
  <c r="I10" i="22"/>
  <c r="H10" i="22"/>
  <c r="AO9" i="22"/>
  <c r="AD9" i="22"/>
  <c r="AB9" i="22"/>
  <c r="Y9" i="22"/>
  <c r="Z9" i="22" s="1"/>
  <c r="V9" i="22"/>
  <c r="W9" i="22" s="1"/>
  <c r="T9" i="22"/>
  <c r="S9" i="22"/>
  <c r="O9" i="22"/>
  <c r="Q9" i="22" s="1"/>
  <c r="N9" i="22"/>
  <c r="AG9" i="22" s="1"/>
  <c r="L9" i="22"/>
  <c r="K9" i="22"/>
  <c r="I9" i="22"/>
  <c r="H9" i="22"/>
  <c r="AO8" i="22"/>
  <c r="AD8" i="22"/>
  <c r="AB8" i="22"/>
  <c r="W8" i="22"/>
  <c r="V8" i="22"/>
  <c r="T8" i="22"/>
  <c r="S8" i="22"/>
  <c r="Y8" i="22" s="1"/>
  <c r="Z8" i="22" s="1"/>
  <c r="Q8" i="22"/>
  <c r="O8" i="22"/>
  <c r="K8" i="22"/>
  <c r="I8" i="22"/>
  <c r="H8" i="22"/>
  <c r="AO7" i="22"/>
  <c r="AD7" i="22"/>
  <c r="AB7" i="22"/>
  <c r="V7" i="22"/>
  <c r="T7" i="22"/>
  <c r="S7" i="22"/>
  <c r="O7" i="22"/>
  <c r="Q7" i="22" s="1"/>
  <c r="L7" i="22"/>
  <c r="K7" i="22"/>
  <c r="N7" i="22" s="1"/>
  <c r="AG7" i="22" s="1"/>
  <c r="I7" i="22"/>
  <c r="H7" i="22"/>
  <c r="AO6" i="22"/>
  <c r="AD6" i="22"/>
  <c r="AB6" i="22"/>
  <c r="AB12" i="22" s="1"/>
  <c r="V6" i="22"/>
  <c r="W6" i="22" s="1"/>
  <c r="T6" i="22"/>
  <c r="S6" i="22"/>
  <c r="Y6" i="22" s="1"/>
  <c r="Z6" i="22" s="1"/>
  <c r="Q6" i="22"/>
  <c r="O6" i="22"/>
  <c r="N6" i="22"/>
  <c r="AG6" i="22" s="1"/>
  <c r="L6" i="22"/>
  <c r="K6" i="22"/>
  <c r="I6" i="22"/>
  <c r="H6" i="22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U30" i="21"/>
  <c r="G30" i="21"/>
  <c r="AN28" i="21"/>
  <c r="AM28" i="21"/>
  <c r="AL28" i="21"/>
  <c r="AK28" i="21"/>
  <c r="AJ28" i="21"/>
  <c r="AI28" i="21"/>
  <c r="AH28" i="21"/>
  <c r="AB28" i="21"/>
  <c r="X28" i="21"/>
  <c r="U28" i="21"/>
  <c r="V28" i="21" s="1"/>
  <c r="S28" i="21"/>
  <c r="R28" i="21"/>
  <c r="J28" i="21"/>
  <c r="G28" i="21"/>
  <c r="H28" i="21" s="1"/>
  <c r="F28" i="21"/>
  <c r="E28" i="21"/>
  <c r="P28" i="21" s="1"/>
  <c r="D28" i="21"/>
  <c r="AO27" i="21"/>
  <c r="AD27" i="21"/>
  <c r="AB27" i="21"/>
  <c r="W27" i="21"/>
  <c r="V27" i="21"/>
  <c r="T27" i="21"/>
  <c r="S27" i="21"/>
  <c r="Q27" i="21"/>
  <c r="O27" i="21"/>
  <c r="K27" i="21"/>
  <c r="I27" i="21"/>
  <c r="H27" i="21"/>
  <c r="AO26" i="21"/>
  <c r="AG26" i="21"/>
  <c r="AD26" i="21"/>
  <c r="AB26" i="21"/>
  <c r="Y26" i="21"/>
  <c r="Z26" i="21" s="1"/>
  <c r="V26" i="21"/>
  <c r="W26" i="21" s="1"/>
  <c r="T26" i="21"/>
  <c r="S26" i="21"/>
  <c r="O26" i="21"/>
  <c r="Q26" i="21" s="1"/>
  <c r="N26" i="21"/>
  <c r="L26" i="21"/>
  <c r="K26" i="21"/>
  <c r="I26" i="21"/>
  <c r="H26" i="21"/>
  <c r="AO25" i="21"/>
  <c r="AD25" i="21"/>
  <c r="AB25" i="21"/>
  <c r="W25" i="21"/>
  <c r="V25" i="21"/>
  <c r="T25" i="21"/>
  <c r="S25" i="21"/>
  <c r="O25" i="21"/>
  <c r="Q25" i="21" s="1"/>
  <c r="N25" i="21"/>
  <c r="AG25" i="21" s="1"/>
  <c r="K25" i="21"/>
  <c r="Y25" i="21" s="1"/>
  <c r="Z25" i="21" s="1"/>
  <c r="I25" i="21"/>
  <c r="H25" i="21"/>
  <c r="AO24" i="21"/>
  <c r="AG24" i="21"/>
  <c r="AD24" i="21"/>
  <c r="AB24" i="21"/>
  <c r="Y24" i="21"/>
  <c r="Z24" i="21" s="1"/>
  <c r="V24" i="21"/>
  <c r="W24" i="21" s="1"/>
  <c r="T24" i="21"/>
  <c r="S24" i="21"/>
  <c r="O24" i="21"/>
  <c r="Q24" i="21" s="1"/>
  <c r="N24" i="21"/>
  <c r="L24" i="21"/>
  <c r="K24" i="21"/>
  <c r="I24" i="21"/>
  <c r="H24" i="21"/>
  <c r="AO23" i="21"/>
  <c r="AD23" i="21"/>
  <c r="AB23" i="21"/>
  <c r="W23" i="21"/>
  <c r="V23" i="21"/>
  <c r="T23" i="21"/>
  <c r="S23" i="21"/>
  <c r="Y23" i="21" s="1"/>
  <c r="Z23" i="21" s="1"/>
  <c r="Q23" i="21"/>
  <c r="O23" i="21"/>
  <c r="K23" i="21"/>
  <c r="I23" i="21"/>
  <c r="H23" i="21"/>
  <c r="AO22" i="21"/>
  <c r="AD22" i="21"/>
  <c r="AB22" i="21"/>
  <c r="V22" i="21"/>
  <c r="T22" i="21"/>
  <c r="S22" i="21"/>
  <c r="Y22" i="21" s="1"/>
  <c r="Z22" i="21" s="1"/>
  <c r="O22" i="21"/>
  <c r="Q22" i="21" s="1"/>
  <c r="L22" i="21"/>
  <c r="K22" i="21"/>
  <c r="N22" i="21" s="1"/>
  <c r="AG22" i="21" s="1"/>
  <c r="I22" i="21"/>
  <c r="H22" i="21"/>
  <c r="AO21" i="21"/>
  <c r="AD21" i="21"/>
  <c r="AB21" i="21"/>
  <c r="V21" i="21"/>
  <c r="W21" i="21" s="1"/>
  <c r="T21" i="21"/>
  <c r="S21" i="21"/>
  <c r="Y21" i="21" s="1"/>
  <c r="Z21" i="21" s="1"/>
  <c r="Q21" i="21"/>
  <c r="O21" i="21"/>
  <c r="N21" i="21"/>
  <c r="AG21" i="21" s="1"/>
  <c r="K21" i="21"/>
  <c r="L21" i="21" s="1"/>
  <c r="I21" i="21"/>
  <c r="H21" i="21"/>
  <c r="AO20" i="21"/>
  <c r="AD20" i="21"/>
  <c r="AB20" i="21"/>
  <c r="V20" i="21"/>
  <c r="W20" i="21" s="1"/>
  <c r="T20" i="21"/>
  <c r="S20" i="21"/>
  <c r="Y20" i="21" s="1"/>
  <c r="Z20" i="21" s="1"/>
  <c r="O20" i="21"/>
  <c r="Q20" i="21" s="1"/>
  <c r="K20" i="21"/>
  <c r="N20" i="21" s="1"/>
  <c r="AG20" i="21" s="1"/>
  <c r="I20" i="21"/>
  <c r="H20" i="21"/>
  <c r="AO19" i="21"/>
  <c r="AD19" i="21"/>
  <c r="AB19" i="21"/>
  <c r="W19" i="21"/>
  <c r="V19" i="21"/>
  <c r="T19" i="21"/>
  <c r="S19" i="21"/>
  <c r="Q19" i="21"/>
  <c r="O19" i="21"/>
  <c r="K19" i="21"/>
  <c r="I19" i="21"/>
  <c r="H19" i="21"/>
  <c r="AO18" i="21"/>
  <c r="AG18" i="21"/>
  <c r="AD18" i="21"/>
  <c r="AB18" i="21"/>
  <c r="V18" i="21"/>
  <c r="T18" i="21"/>
  <c r="S18" i="21"/>
  <c r="Y18" i="21" s="1"/>
  <c r="Z18" i="21" s="1"/>
  <c r="O18" i="21"/>
  <c r="Q18" i="21" s="1"/>
  <c r="N18" i="21"/>
  <c r="L18" i="21"/>
  <c r="K18" i="21"/>
  <c r="I18" i="21"/>
  <c r="H18" i="21"/>
  <c r="AO17" i="21"/>
  <c r="AD17" i="21"/>
  <c r="AB17" i="21"/>
  <c r="W17" i="21"/>
  <c r="V17" i="21"/>
  <c r="T17" i="21"/>
  <c r="S17" i="21"/>
  <c r="O17" i="21"/>
  <c r="Q17" i="21" s="1"/>
  <c r="N17" i="21"/>
  <c r="AG17" i="21" s="1"/>
  <c r="K17" i="21"/>
  <c r="Y17" i="21" s="1"/>
  <c r="Z17" i="21" s="1"/>
  <c r="I17" i="21"/>
  <c r="H17" i="21"/>
  <c r="AO16" i="21"/>
  <c r="AD16" i="21"/>
  <c r="AB16" i="21"/>
  <c r="Y16" i="21"/>
  <c r="Z16" i="21" s="1"/>
  <c r="V16" i="21"/>
  <c r="W16" i="21" s="1"/>
  <c r="T16" i="21"/>
  <c r="S16" i="21"/>
  <c r="O16" i="21"/>
  <c r="Q16" i="21" s="1"/>
  <c r="N16" i="21"/>
  <c r="AG16" i="21" s="1"/>
  <c r="L16" i="21"/>
  <c r="K16" i="21"/>
  <c r="I16" i="21"/>
  <c r="H16" i="21"/>
  <c r="AO15" i="21"/>
  <c r="AD15" i="21"/>
  <c r="AB15" i="21"/>
  <c r="W15" i="21"/>
  <c r="V15" i="21"/>
  <c r="T15" i="21"/>
  <c r="S15" i="21"/>
  <c r="Y15" i="21" s="1"/>
  <c r="Z15" i="21" s="1"/>
  <c r="Q15" i="21"/>
  <c r="O15" i="21"/>
  <c r="K15" i="21"/>
  <c r="I15" i="21"/>
  <c r="H15" i="21"/>
  <c r="AO14" i="21"/>
  <c r="AG14" i="21"/>
  <c r="AD14" i="21"/>
  <c r="AD28" i="21" s="1"/>
  <c r="AB14" i="21"/>
  <c r="V14" i="21"/>
  <c r="T14" i="21"/>
  <c r="S14" i="21"/>
  <c r="Y14" i="21" s="1"/>
  <c r="Z14" i="21" s="1"/>
  <c r="O14" i="21"/>
  <c r="Q14" i="21" s="1"/>
  <c r="N14" i="21"/>
  <c r="L14" i="21"/>
  <c r="K14" i="21"/>
  <c r="I14" i="21"/>
  <c r="H14" i="21"/>
  <c r="AN12" i="21"/>
  <c r="AM12" i="21"/>
  <c r="AL12" i="21"/>
  <c r="AK12" i="21"/>
  <c r="AJ12" i="21"/>
  <c r="AH12" i="21"/>
  <c r="AH30" i="21" s="1"/>
  <c r="AD12" i="21"/>
  <c r="X12" i="21"/>
  <c r="U12" i="21"/>
  <c r="V12" i="21" s="1"/>
  <c r="T12" i="21"/>
  <c r="R12" i="21"/>
  <c r="R30" i="21" s="1"/>
  <c r="P12" i="21"/>
  <c r="K12" i="21"/>
  <c r="J12" i="21"/>
  <c r="J30" i="21" s="1"/>
  <c r="G12" i="21"/>
  <c r="F12" i="21"/>
  <c r="E12" i="21"/>
  <c r="D12" i="21"/>
  <c r="AO11" i="21"/>
  <c r="AD11" i="21"/>
  <c r="AB11" i="21"/>
  <c r="V11" i="21"/>
  <c r="T11" i="21"/>
  <c r="S11" i="21"/>
  <c r="Y11" i="21" s="1"/>
  <c r="Z11" i="21" s="1"/>
  <c r="O11" i="21"/>
  <c r="Q11" i="21" s="1"/>
  <c r="L11" i="21"/>
  <c r="K11" i="21"/>
  <c r="N11" i="21" s="1"/>
  <c r="AG11" i="21" s="1"/>
  <c r="I11" i="21"/>
  <c r="H11" i="21"/>
  <c r="AO10" i="21"/>
  <c r="AD10" i="21"/>
  <c r="AB10" i="21"/>
  <c r="V10" i="21"/>
  <c r="W10" i="21" s="1"/>
  <c r="T10" i="21"/>
  <c r="S10" i="21"/>
  <c r="Y10" i="21" s="1"/>
  <c r="Z10" i="21" s="1"/>
  <c r="Q10" i="21"/>
  <c r="O10" i="21"/>
  <c r="N10" i="21"/>
  <c r="AG10" i="21" s="1"/>
  <c r="K10" i="21"/>
  <c r="L10" i="21" s="1"/>
  <c r="I10" i="21"/>
  <c r="H10" i="21"/>
  <c r="AO9" i="21"/>
  <c r="AD9" i="21"/>
  <c r="AB9" i="21"/>
  <c r="V9" i="21"/>
  <c r="W9" i="21" s="1"/>
  <c r="T9" i="21"/>
  <c r="S9" i="21"/>
  <c r="Y9" i="21" s="1"/>
  <c r="Z9" i="21" s="1"/>
  <c r="O9" i="21"/>
  <c r="Q9" i="21" s="1"/>
  <c r="K9" i="21"/>
  <c r="N9" i="21" s="1"/>
  <c r="AG9" i="21" s="1"/>
  <c r="I9" i="21"/>
  <c r="H9" i="21"/>
  <c r="AO8" i="21"/>
  <c r="AD8" i="21"/>
  <c r="AB8" i="21"/>
  <c r="W8" i="21"/>
  <c r="V8" i="21"/>
  <c r="T8" i="21"/>
  <c r="S8" i="21"/>
  <c r="Q8" i="21"/>
  <c r="O8" i="21"/>
  <c r="K8" i="21"/>
  <c r="I8" i="21"/>
  <c r="H8" i="21"/>
  <c r="AO7" i="21"/>
  <c r="AD7" i="21"/>
  <c r="AB7" i="21"/>
  <c r="V7" i="21"/>
  <c r="T7" i="21"/>
  <c r="S7" i="21"/>
  <c r="Y7" i="21" s="1"/>
  <c r="Z7" i="21" s="1"/>
  <c r="O7" i="21"/>
  <c r="Q7" i="21" s="1"/>
  <c r="L7" i="21"/>
  <c r="K7" i="21"/>
  <c r="N7" i="21" s="1"/>
  <c r="AG7" i="21" s="1"/>
  <c r="I7" i="21"/>
  <c r="H7" i="21"/>
  <c r="AO6" i="21"/>
  <c r="AD6" i="21"/>
  <c r="AB6" i="21"/>
  <c r="AB12" i="21" s="1"/>
  <c r="W6" i="21"/>
  <c r="V6" i="21"/>
  <c r="T6" i="21"/>
  <c r="S6" i="21"/>
  <c r="O6" i="21"/>
  <c r="N6" i="21"/>
  <c r="AG6" i="21" s="1"/>
  <c r="K6" i="21"/>
  <c r="Y6" i="21" s="1"/>
  <c r="Z6" i="21" s="1"/>
  <c r="I6" i="21"/>
  <c r="H6" i="21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G30" i="20"/>
  <c r="AN28" i="20"/>
  <c r="AM28" i="20"/>
  <c r="AL28" i="20"/>
  <c r="AK28" i="20"/>
  <c r="AJ28" i="20"/>
  <c r="AI28" i="20"/>
  <c r="AH28" i="20"/>
  <c r="AD28" i="20"/>
  <c r="X28" i="20"/>
  <c r="U28" i="20"/>
  <c r="T28" i="20"/>
  <c r="R28" i="20"/>
  <c r="P28" i="20"/>
  <c r="J28" i="20"/>
  <c r="G28" i="20"/>
  <c r="F28" i="20"/>
  <c r="E28" i="20"/>
  <c r="D28" i="20"/>
  <c r="AO27" i="20"/>
  <c r="AG27" i="20"/>
  <c r="AD27" i="20"/>
  <c r="AB27" i="20"/>
  <c r="Y27" i="20"/>
  <c r="Z27" i="20" s="1"/>
  <c r="V27" i="20"/>
  <c r="T27" i="20"/>
  <c r="S27" i="20"/>
  <c r="W27" i="20" s="1"/>
  <c r="Q27" i="20"/>
  <c r="O27" i="20"/>
  <c r="L27" i="20"/>
  <c r="K27" i="20"/>
  <c r="N27" i="20" s="1"/>
  <c r="I27" i="20"/>
  <c r="H27" i="20"/>
  <c r="AO26" i="20"/>
  <c r="AD26" i="20"/>
  <c r="AB26" i="20"/>
  <c r="Z26" i="20"/>
  <c r="Y26" i="20"/>
  <c r="V26" i="20"/>
  <c r="W26" i="20" s="1"/>
  <c r="T26" i="20"/>
  <c r="S26" i="20"/>
  <c r="O26" i="20"/>
  <c r="Q26" i="20" s="1"/>
  <c r="N26" i="20"/>
  <c r="AG26" i="20" s="1"/>
  <c r="L26" i="20"/>
  <c r="K26" i="20"/>
  <c r="I26" i="20"/>
  <c r="H26" i="20"/>
  <c r="AO25" i="20"/>
  <c r="AD25" i="20"/>
  <c r="AB25" i="20"/>
  <c r="V25" i="20"/>
  <c r="W25" i="20" s="1"/>
  <c r="T25" i="20"/>
  <c r="S25" i="20"/>
  <c r="Y25" i="20" s="1"/>
  <c r="Z25" i="20" s="1"/>
  <c r="O25" i="20"/>
  <c r="Q25" i="20" s="1"/>
  <c r="N25" i="20"/>
  <c r="AG25" i="20" s="1"/>
  <c r="K25" i="20"/>
  <c r="L25" i="20" s="1"/>
  <c r="I25" i="20"/>
  <c r="H25" i="20"/>
  <c r="AO24" i="20"/>
  <c r="AD24" i="20"/>
  <c r="AB24" i="20"/>
  <c r="W24" i="20"/>
  <c r="V24" i="20"/>
  <c r="T24" i="20"/>
  <c r="S24" i="20"/>
  <c r="Y24" i="20" s="1"/>
  <c r="Z24" i="20" s="1"/>
  <c r="Q24" i="20"/>
  <c r="O24" i="20"/>
  <c r="K24" i="20"/>
  <c r="I24" i="20"/>
  <c r="H24" i="20"/>
  <c r="AO23" i="20"/>
  <c r="AG23" i="20"/>
  <c r="AD23" i="20"/>
  <c r="AB23" i="20"/>
  <c r="Y23" i="20"/>
  <c r="Z23" i="20" s="1"/>
  <c r="V23" i="20"/>
  <c r="T23" i="20"/>
  <c r="S23" i="20"/>
  <c r="W23" i="20" s="1"/>
  <c r="Q23" i="20"/>
  <c r="O23" i="20"/>
  <c r="L23" i="20"/>
  <c r="K23" i="20"/>
  <c r="N23" i="20" s="1"/>
  <c r="I23" i="20"/>
  <c r="H23" i="20"/>
  <c r="AO22" i="20"/>
  <c r="AD22" i="20"/>
  <c r="AB22" i="20"/>
  <c r="Z22" i="20"/>
  <c r="V22" i="20"/>
  <c r="W22" i="20" s="1"/>
  <c r="T22" i="20"/>
  <c r="S22" i="20"/>
  <c r="Y22" i="20" s="1"/>
  <c r="O22" i="20"/>
  <c r="Q22" i="20" s="1"/>
  <c r="N22" i="20"/>
  <c r="AG22" i="20" s="1"/>
  <c r="L22" i="20"/>
  <c r="K22" i="20"/>
  <c r="I22" i="20"/>
  <c r="H22" i="20"/>
  <c r="AO21" i="20"/>
  <c r="AD21" i="20"/>
  <c r="AB21" i="20"/>
  <c r="V21" i="20"/>
  <c r="W21" i="20" s="1"/>
  <c r="T21" i="20"/>
  <c r="S21" i="20"/>
  <c r="O21" i="20"/>
  <c r="Q21" i="20" s="1"/>
  <c r="K21" i="20"/>
  <c r="N21" i="20" s="1"/>
  <c r="AG21" i="20" s="1"/>
  <c r="I21" i="20"/>
  <c r="H21" i="20"/>
  <c r="AO20" i="20"/>
  <c r="AD20" i="20"/>
  <c r="AB20" i="20"/>
  <c r="W20" i="20"/>
  <c r="V20" i="20"/>
  <c r="T20" i="20"/>
  <c r="S20" i="20"/>
  <c r="Q20" i="20"/>
  <c r="O20" i="20"/>
  <c r="K20" i="20"/>
  <c r="I20" i="20"/>
  <c r="H20" i="20"/>
  <c r="AO19" i="20"/>
  <c r="AG19" i="20"/>
  <c r="AD19" i="20"/>
  <c r="AB19" i="20"/>
  <c r="Y19" i="20"/>
  <c r="Z19" i="20" s="1"/>
  <c r="V19" i="20"/>
  <c r="T19" i="20"/>
  <c r="S19" i="20"/>
  <c r="W19" i="20" s="1"/>
  <c r="Q19" i="20"/>
  <c r="O19" i="20"/>
  <c r="L19" i="20"/>
  <c r="K19" i="20"/>
  <c r="N19" i="20" s="1"/>
  <c r="I19" i="20"/>
  <c r="H19" i="20"/>
  <c r="AO18" i="20"/>
  <c r="AD18" i="20"/>
  <c r="AB18" i="20"/>
  <c r="Z18" i="20"/>
  <c r="Y18" i="20"/>
  <c r="V18" i="20"/>
  <c r="W18" i="20" s="1"/>
  <c r="T18" i="20"/>
  <c r="S18" i="20"/>
  <c r="O18" i="20"/>
  <c r="Q18" i="20" s="1"/>
  <c r="N18" i="20"/>
  <c r="AG18" i="20" s="1"/>
  <c r="L18" i="20"/>
  <c r="K18" i="20"/>
  <c r="I18" i="20"/>
  <c r="H18" i="20"/>
  <c r="AO17" i="20"/>
  <c r="AD17" i="20"/>
  <c r="AB17" i="20"/>
  <c r="V17" i="20"/>
  <c r="W17" i="20" s="1"/>
  <c r="T17" i="20"/>
  <c r="S17" i="20"/>
  <c r="Y17" i="20" s="1"/>
  <c r="Z17" i="20" s="1"/>
  <c r="O17" i="20"/>
  <c r="Q17" i="20" s="1"/>
  <c r="N17" i="20"/>
  <c r="AG17" i="20" s="1"/>
  <c r="K17" i="20"/>
  <c r="L17" i="20" s="1"/>
  <c r="I17" i="20"/>
  <c r="H17" i="20"/>
  <c r="AO16" i="20"/>
  <c r="AD16" i="20"/>
  <c r="AB16" i="20"/>
  <c r="W16" i="20"/>
  <c r="V16" i="20"/>
  <c r="T16" i="20"/>
  <c r="S16" i="20"/>
  <c r="Q16" i="20"/>
  <c r="O16" i="20"/>
  <c r="K16" i="20"/>
  <c r="I16" i="20"/>
  <c r="H16" i="20"/>
  <c r="AO15" i="20"/>
  <c r="AD15" i="20"/>
  <c r="AB15" i="20"/>
  <c r="V15" i="20"/>
  <c r="T15" i="20"/>
  <c r="S15" i="20"/>
  <c r="W15" i="20" s="1"/>
  <c r="Q15" i="20"/>
  <c r="O15" i="20"/>
  <c r="L15" i="20"/>
  <c r="K15" i="20"/>
  <c r="N15" i="20" s="1"/>
  <c r="AG15" i="20" s="1"/>
  <c r="I15" i="20"/>
  <c r="H15" i="20"/>
  <c r="AO14" i="20"/>
  <c r="AD14" i="20"/>
  <c r="AB14" i="20"/>
  <c r="Z14" i="20"/>
  <c r="V14" i="20"/>
  <c r="W14" i="20" s="1"/>
  <c r="T14" i="20"/>
  <c r="S14" i="20"/>
  <c r="Y14" i="20" s="1"/>
  <c r="O14" i="20"/>
  <c r="Q14" i="20" s="1"/>
  <c r="Q28" i="20" s="1"/>
  <c r="N14" i="20"/>
  <c r="AG14" i="20" s="1"/>
  <c r="L14" i="20"/>
  <c r="K14" i="20"/>
  <c r="I14" i="20"/>
  <c r="H14" i="20"/>
  <c r="AN12" i="20"/>
  <c r="AM12" i="20"/>
  <c r="AL12" i="20"/>
  <c r="AK12" i="20"/>
  <c r="AJ12" i="20"/>
  <c r="AI12" i="20"/>
  <c r="AH12" i="20"/>
  <c r="AH30" i="20" s="1"/>
  <c r="AI30" i="20" s="1"/>
  <c r="X12" i="20"/>
  <c r="U12" i="20"/>
  <c r="T12" i="20"/>
  <c r="R12" i="20"/>
  <c r="R30" i="20" s="1"/>
  <c r="M12" i="20"/>
  <c r="J12" i="20"/>
  <c r="J30" i="20" s="1"/>
  <c r="G12" i="20"/>
  <c r="H12" i="20" s="1"/>
  <c r="F12" i="20"/>
  <c r="E12" i="20"/>
  <c r="D12" i="20"/>
  <c r="S12" i="20" s="1"/>
  <c r="AO11" i="20"/>
  <c r="AD11" i="20"/>
  <c r="AB11" i="20"/>
  <c r="V11" i="20"/>
  <c r="T11" i="20"/>
  <c r="S11" i="20"/>
  <c r="Y11" i="20" s="1"/>
  <c r="Z11" i="20" s="1"/>
  <c r="Q11" i="20"/>
  <c r="O11" i="20"/>
  <c r="N11" i="20"/>
  <c r="AG11" i="20" s="1"/>
  <c r="K11" i="20"/>
  <c r="L11" i="20" s="1"/>
  <c r="I11" i="20"/>
  <c r="H11" i="20"/>
  <c r="AO10" i="20"/>
  <c r="AD10" i="20"/>
  <c r="AB10" i="20"/>
  <c r="Y10" i="20"/>
  <c r="Z10" i="20" s="1"/>
  <c r="V10" i="20"/>
  <c r="W10" i="20" s="1"/>
  <c r="T10" i="20"/>
  <c r="S10" i="20"/>
  <c r="O10" i="20"/>
  <c r="Q10" i="20" s="1"/>
  <c r="N10" i="20"/>
  <c r="AG10" i="20" s="1"/>
  <c r="L10" i="20"/>
  <c r="K10" i="20"/>
  <c r="I10" i="20"/>
  <c r="H10" i="20"/>
  <c r="AO9" i="20"/>
  <c r="AD9" i="20"/>
  <c r="AB9" i="20"/>
  <c r="W9" i="20"/>
  <c r="V9" i="20"/>
  <c r="T9" i="20"/>
  <c r="S9" i="20"/>
  <c r="Q9" i="20"/>
  <c r="O9" i="20"/>
  <c r="K9" i="20"/>
  <c r="I9" i="20"/>
  <c r="H9" i="20"/>
  <c r="AO8" i="20"/>
  <c r="AG8" i="20"/>
  <c r="AD8" i="20"/>
  <c r="AB8" i="20"/>
  <c r="Y8" i="20"/>
  <c r="Z8" i="20" s="1"/>
  <c r="V8" i="20"/>
  <c r="T8" i="20"/>
  <c r="S8" i="20"/>
  <c r="W8" i="20" s="1"/>
  <c r="O8" i="20"/>
  <c r="Q8" i="20" s="1"/>
  <c r="L8" i="20"/>
  <c r="K8" i="20"/>
  <c r="N8" i="20" s="1"/>
  <c r="I8" i="20"/>
  <c r="H8" i="20"/>
  <c r="AO7" i="20"/>
  <c r="AD7" i="20"/>
  <c r="AB7" i="20"/>
  <c r="Z7" i="20"/>
  <c r="Y7" i="20"/>
  <c r="V7" i="20"/>
  <c r="T7" i="20"/>
  <c r="S7" i="20"/>
  <c r="W7" i="20" s="1"/>
  <c r="Q7" i="20"/>
  <c r="O7" i="20"/>
  <c r="N7" i="20"/>
  <c r="AG7" i="20" s="1"/>
  <c r="L7" i="20"/>
  <c r="K7" i="20"/>
  <c r="I7" i="20"/>
  <c r="H7" i="20"/>
  <c r="AO6" i="20"/>
  <c r="AD6" i="20"/>
  <c r="AD12" i="20" s="1"/>
  <c r="AB6" i="20"/>
  <c r="V6" i="20"/>
  <c r="W6" i="20" s="1"/>
  <c r="T6" i="20"/>
  <c r="S6" i="20"/>
  <c r="Y6" i="20" s="1"/>
  <c r="Z6" i="20" s="1"/>
  <c r="O6" i="20"/>
  <c r="Q6" i="20" s="1"/>
  <c r="Q12" i="20" s="1"/>
  <c r="N6" i="20"/>
  <c r="AG6" i="20" s="1"/>
  <c r="L6" i="20"/>
  <c r="K6" i="20"/>
  <c r="I6" i="20"/>
  <c r="H6" i="20"/>
  <c r="AD59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R30" i="19"/>
  <c r="AN28" i="19"/>
  <c r="AM28" i="19"/>
  <c r="AL28" i="19"/>
  <c r="AK28" i="19"/>
  <c r="AJ28" i="19"/>
  <c r="AI28" i="19"/>
  <c r="AH28" i="19"/>
  <c r="X28" i="19"/>
  <c r="U28" i="19"/>
  <c r="V28" i="19" s="1"/>
  <c r="R28" i="19"/>
  <c r="M28" i="19"/>
  <c r="J28" i="19"/>
  <c r="T28" i="19" s="1"/>
  <c r="G28" i="19"/>
  <c r="H28" i="19" s="1"/>
  <c r="F28" i="19"/>
  <c r="E28" i="19"/>
  <c r="P28" i="19" s="1"/>
  <c r="D28" i="19"/>
  <c r="AO27" i="19"/>
  <c r="AD27" i="19"/>
  <c r="AB27" i="19"/>
  <c r="W27" i="19"/>
  <c r="V27" i="19"/>
  <c r="T27" i="19"/>
  <c r="S27" i="19"/>
  <c r="Q27" i="19"/>
  <c r="O27" i="19"/>
  <c r="N27" i="19"/>
  <c r="AG27" i="19" s="1"/>
  <c r="K27" i="19"/>
  <c r="Y27" i="19" s="1"/>
  <c r="Z27" i="19" s="1"/>
  <c r="I27" i="19"/>
  <c r="H27" i="19"/>
  <c r="AO26" i="19"/>
  <c r="AD26" i="19"/>
  <c r="AB26" i="19"/>
  <c r="Y26" i="19"/>
  <c r="Z26" i="19" s="1"/>
  <c r="V26" i="19"/>
  <c r="W26" i="19" s="1"/>
  <c r="T26" i="19"/>
  <c r="S26" i="19"/>
  <c r="O26" i="19"/>
  <c r="Q26" i="19" s="1"/>
  <c r="N26" i="19"/>
  <c r="AG26" i="19" s="1"/>
  <c r="L26" i="19"/>
  <c r="K26" i="19"/>
  <c r="I26" i="19"/>
  <c r="H26" i="19"/>
  <c r="AO25" i="19"/>
  <c r="AD25" i="19"/>
  <c r="AB25" i="19"/>
  <c r="W25" i="19"/>
  <c r="V25" i="19"/>
  <c r="T25" i="19"/>
  <c r="S25" i="19"/>
  <c r="Q25" i="19"/>
  <c r="O25" i="19"/>
  <c r="K25" i="19"/>
  <c r="I25" i="19"/>
  <c r="H25" i="19"/>
  <c r="AO24" i="19"/>
  <c r="AD24" i="19"/>
  <c r="AB24" i="19"/>
  <c r="V24" i="19"/>
  <c r="W24" i="19" s="1"/>
  <c r="T24" i="19"/>
  <c r="S24" i="19"/>
  <c r="Y24" i="19" s="1"/>
  <c r="Z24" i="19" s="1"/>
  <c r="O24" i="19"/>
  <c r="Q24" i="19" s="1"/>
  <c r="L24" i="19"/>
  <c r="K24" i="19"/>
  <c r="N24" i="19" s="1"/>
  <c r="AG24" i="19" s="1"/>
  <c r="I24" i="19"/>
  <c r="H24" i="19"/>
  <c r="AO23" i="19"/>
  <c r="AD23" i="19"/>
  <c r="AB23" i="19"/>
  <c r="V23" i="19"/>
  <c r="T23" i="19"/>
  <c r="S23" i="19"/>
  <c r="Y23" i="19" s="1"/>
  <c r="Z23" i="19" s="1"/>
  <c r="Q23" i="19"/>
  <c r="O23" i="19"/>
  <c r="N23" i="19"/>
  <c r="AG23" i="19" s="1"/>
  <c r="K23" i="19"/>
  <c r="L23" i="19" s="1"/>
  <c r="I23" i="19"/>
  <c r="H23" i="19"/>
  <c r="AO22" i="19"/>
  <c r="AG22" i="19"/>
  <c r="AD22" i="19"/>
  <c r="AB22" i="19"/>
  <c r="V22" i="19"/>
  <c r="W22" i="19" s="1"/>
  <c r="T22" i="19"/>
  <c r="S22" i="19"/>
  <c r="Y22" i="19" s="1"/>
  <c r="Z22" i="19" s="1"/>
  <c r="O22" i="19"/>
  <c r="Q22" i="19" s="1"/>
  <c r="N22" i="19"/>
  <c r="L22" i="19"/>
  <c r="K22" i="19"/>
  <c r="I22" i="19"/>
  <c r="H22" i="19"/>
  <c r="AO21" i="19"/>
  <c r="AD21" i="19"/>
  <c r="AB21" i="19"/>
  <c r="W21" i="19"/>
  <c r="V21" i="19"/>
  <c r="T21" i="19"/>
  <c r="S21" i="19"/>
  <c r="Y21" i="19" s="1"/>
  <c r="Z21" i="19" s="1"/>
  <c r="Q21" i="19"/>
  <c r="O21" i="19"/>
  <c r="K21" i="19"/>
  <c r="I21" i="19"/>
  <c r="H21" i="19"/>
  <c r="AO20" i="19"/>
  <c r="AD20" i="19"/>
  <c r="AB20" i="19"/>
  <c r="V20" i="19"/>
  <c r="T20" i="19"/>
  <c r="S20" i="19"/>
  <c r="Y20" i="19" s="1"/>
  <c r="Z20" i="19" s="1"/>
  <c r="O20" i="19"/>
  <c r="Q20" i="19" s="1"/>
  <c r="L20" i="19"/>
  <c r="K20" i="19"/>
  <c r="N20" i="19" s="1"/>
  <c r="AG20" i="19" s="1"/>
  <c r="I20" i="19"/>
  <c r="H20" i="19"/>
  <c r="AO19" i="19"/>
  <c r="AD19" i="19"/>
  <c r="AB19" i="19"/>
  <c r="W19" i="19"/>
  <c r="V19" i="19"/>
  <c r="T19" i="19"/>
  <c r="S19" i="19"/>
  <c r="Q19" i="19"/>
  <c r="O19" i="19"/>
  <c r="N19" i="19"/>
  <c r="AG19" i="19" s="1"/>
  <c r="K19" i="19"/>
  <c r="Y19" i="19" s="1"/>
  <c r="Z19" i="19" s="1"/>
  <c r="I19" i="19"/>
  <c r="H19" i="19"/>
  <c r="AO18" i="19"/>
  <c r="AD18" i="19"/>
  <c r="AB18" i="19"/>
  <c r="Y18" i="19"/>
  <c r="Z18" i="19" s="1"/>
  <c r="V18" i="19"/>
  <c r="W18" i="19" s="1"/>
  <c r="T18" i="19"/>
  <c r="S18" i="19"/>
  <c r="O18" i="19"/>
  <c r="Q18" i="19" s="1"/>
  <c r="N18" i="19"/>
  <c r="AG18" i="19" s="1"/>
  <c r="L18" i="19"/>
  <c r="K18" i="19"/>
  <c r="I18" i="19"/>
  <c r="H18" i="19"/>
  <c r="AO17" i="19"/>
  <c r="AD17" i="19"/>
  <c r="AB17" i="19"/>
  <c r="W17" i="19"/>
  <c r="V17" i="19"/>
  <c r="T17" i="19"/>
  <c r="S17" i="19"/>
  <c r="Q17" i="19"/>
  <c r="O17" i="19"/>
  <c r="K17" i="19"/>
  <c r="I17" i="19"/>
  <c r="H17" i="19"/>
  <c r="AO16" i="19"/>
  <c r="AG16" i="19"/>
  <c r="AD16" i="19"/>
  <c r="AB16" i="19"/>
  <c r="V16" i="19"/>
  <c r="T16" i="19"/>
  <c r="S16" i="19"/>
  <c r="Y16" i="19" s="1"/>
  <c r="Z16" i="19" s="1"/>
  <c r="O16" i="19"/>
  <c r="Q16" i="19" s="1"/>
  <c r="L16" i="19"/>
  <c r="K16" i="19"/>
  <c r="N16" i="19" s="1"/>
  <c r="I16" i="19"/>
  <c r="H16" i="19"/>
  <c r="AO15" i="19"/>
  <c r="AD15" i="19"/>
  <c r="AB15" i="19"/>
  <c r="V15" i="19"/>
  <c r="T15" i="19"/>
  <c r="S15" i="19"/>
  <c r="Y15" i="19" s="1"/>
  <c r="Z15" i="19" s="1"/>
  <c r="Q15" i="19"/>
  <c r="O15" i="19"/>
  <c r="N15" i="19"/>
  <c r="AG15" i="19" s="1"/>
  <c r="K15" i="19"/>
  <c r="L15" i="19" s="1"/>
  <c r="I15" i="19"/>
  <c r="H15" i="19"/>
  <c r="AO14" i="19"/>
  <c r="AG14" i="19"/>
  <c r="AD14" i="19"/>
  <c r="AB14" i="19"/>
  <c r="V14" i="19"/>
  <c r="W14" i="19" s="1"/>
  <c r="T14" i="19"/>
  <c r="S14" i="19"/>
  <c r="Y14" i="19" s="1"/>
  <c r="Z14" i="19" s="1"/>
  <c r="O14" i="19"/>
  <c r="Q14" i="19" s="1"/>
  <c r="N14" i="19"/>
  <c r="L14" i="19"/>
  <c r="K14" i="19"/>
  <c r="I14" i="19"/>
  <c r="H14" i="19"/>
  <c r="AN12" i="19"/>
  <c r="AM12" i="19"/>
  <c r="AL12" i="19"/>
  <c r="AK12" i="19"/>
  <c r="AJ12" i="19"/>
  <c r="AH12" i="19"/>
  <c r="V12" i="19"/>
  <c r="U12" i="19"/>
  <c r="U30" i="19" s="1"/>
  <c r="R12" i="19"/>
  <c r="P12" i="19"/>
  <c r="J12" i="19"/>
  <c r="J30" i="19" s="1"/>
  <c r="H12" i="19"/>
  <c r="G12" i="19"/>
  <c r="F12" i="19"/>
  <c r="E12" i="19"/>
  <c r="D12" i="19"/>
  <c r="K12" i="19" s="1"/>
  <c r="AO11" i="19"/>
  <c r="AD11" i="19"/>
  <c r="AB11" i="19"/>
  <c r="V11" i="19"/>
  <c r="W11" i="19" s="1"/>
  <c r="T11" i="19"/>
  <c r="S11" i="19"/>
  <c r="Y11" i="19" s="1"/>
  <c r="Z11" i="19" s="1"/>
  <c r="O11" i="19"/>
  <c r="Q11" i="19" s="1"/>
  <c r="L11" i="19"/>
  <c r="K11" i="19"/>
  <c r="N11" i="19" s="1"/>
  <c r="AG11" i="19" s="1"/>
  <c r="I11" i="19"/>
  <c r="H11" i="19"/>
  <c r="AO10" i="19"/>
  <c r="AD10" i="19"/>
  <c r="AB10" i="19"/>
  <c r="W10" i="19"/>
  <c r="V10" i="19"/>
  <c r="T10" i="19"/>
  <c r="S10" i="19"/>
  <c r="Y10" i="19" s="1"/>
  <c r="Z10" i="19" s="1"/>
  <c r="Q10" i="19"/>
  <c r="O10" i="19"/>
  <c r="K10" i="19"/>
  <c r="I10" i="19"/>
  <c r="H10" i="19"/>
  <c r="AO9" i="19"/>
  <c r="AG9" i="19"/>
  <c r="AD9" i="19"/>
  <c r="AB9" i="19"/>
  <c r="V9" i="19"/>
  <c r="T9" i="19"/>
  <c r="S9" i="19"/>
  <c r="Y9" i="19" s="1"/>
  <c r="Z9" i="19" s="1"/>
  <c r="O9" i="19"/>
  <c r="Q9" i="19" s="1"/>
  <c r="L9" i="19"/>
  <c r="K9" i="19"/>
  <c r="N9" i="19" s="1"/>
  <c r="I9" i="19"/>
  <c r="H9" i="19"/>
  <c r="AO8" i="19"/>
  <c r="AD8" i="19"/>
  <c r="AB8" i="19"/>
  <c r="W8" i="19"/>
  <c r="V8" i="19"/>
  <c r="T8" i="19"/>
  <c r="S8" i="19"/>
  <c r="Q8" i="19"/>
  <c r="O8" i="19"/>
  <c r="N8" i="19"/>
  <c r="AG8" i="19" s="1"/>
  <c r="K8" i="19"/>
  <c r="Y8" i="19" s="1"/>
  <c r="Z8" i="19" s="1"/>
  <c r="I8" i="19"/>
  <c r="H8" i="19"/>
  <c r="AO7" i="19"/>
  <c r="AD7" i="19"/>
  <c r="AB7" i="19"/>
  <c r="Y7" i="19"/>
  <c r="Z7" i="19" s="1"/>
  <c r="V7" i="19"/>
  <c r="W7" i="19" s="1"/>
  <c r="T7" i="19"/>
  <c r="S7" i="19"/>
  <c r="O7" i="19"/>
  <c r="Q7" i="19" s="1"/>
  <c r="N7" i="19"/>
  <c r="AG7" i="19" s="1"/>
  <c r="L7" i="19"/>
  <c r="K7" i="19"/>
  <c r="I7" i="19"/>
  <c r="H7" i="19"/>
  <c r="AO6" i="19"/>
  <c r="AD6" i="19"/>
  <c r="AD12" i="19" s="1"/>
  <c r="AB6" i="19"/>
  <c r="W6" i="19"/>
  <c r="V6" i="19"/>
  <c r="T6" i="19"/>
  <c r="S6" i="19"/>
  <c r="Q6" i="19"/>
  <c r="Q12" i="19" s="1"/>
  <c r="O6" i="19"/>
  <c r="K6" i="19"/>
  <c r="I6" i="19"/>
  <c r="H6" i="19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J30" i="18"/>
  <c r="AN28" i="18"/>
  <c r="AM28" i="18"/>
  <c r="AL28" i="18"/>
  <c r="AK28" i="18"/>
  <c r="AJ28" i="18"/>
  <c r="AI28" i="18"/>
  <c r="AH28" i="18"/>
  <c r="X28" i="18"/>
  <c r="U28" i="18"/>
  <c r="V28" i="18" s="1"/>
  <c r="R28" i="18"/>
  <c r="M28" i="18"/>
  <c r="J28" i="18"/>
  <c r="T28" i="18" s="1"/>
  <c r="G28" i="18"/>
  <c r="H28" i="18" s="1"/>
  <c r="F28" i="18"/>
  <c r="E28" i="18"/>
  <c r="P28" i="18" s="1"/>
  <c r="D28" i="18"/>
  <c r="AO27" i="18"/>
  <c r="AD27" i="18"/>
  <c r="AB27" i="18"/>
  <c r="W27" i="18"/>
  <c r="V27" i="18"/>
  <c r="T27" i="18"/>
  <c r="S27" i="18"/>
  <c r="Q27" i="18"/>
  <c r="O27" i="18"/>
  <c r="N27" i="18"/>
  <c r="AG27" i="18" s="1"/>
  <c r="K27" i="18"/>
  <c r="Y27" i="18" s="1"/>
  <c r="Z27" i="18" s="1"/>
  <c r="I27" i="18"/>
  <c r="H27" i="18"/>
  <c r="AO26" i="18"/>
  <c r="AD26" i="18"/>
  <c r="AB26" i="18"/>
  <c r="Y26" i="18"/>
  <c r="Z26" i="18" s="1"/>
  <c r="V26" i="18"/>
  <c r="W26" i="18" s="1"/>
  <c r="T26" i="18"/>
  <c r="S26" i="18"/>
  <c r="O26" i="18"/>
  <c r="Q26" i="18" s="1"/>
  <c r="N26" i="18"/>
  <c r="AG26" i="18" s="1"/>
  <c r="L26" i="18"/>
  <c r="K26" i="18"/>
  <c r="I26" i="18"/>
  <c r="H26" i="18"/>
  <c r="AO25" i="18"/>
  <c r="AD25" i="18"/>
  <c r="AB25" i="18"/>
  <c r="W25" i="18"/>
  <c r="V25" i="18"/>
  <c r="T25" i="18"/>
  <c r="S25" i="18"/>
  <c r="Y25" i="18" s="1"/>
  <c r="Z25" i="18" s="1"/>
  <c r="Q25" i="18"/>
  <c r="O25" i="18"/>
  <c r="K25" i="18"/>
  <c r="I25" i="18"/>
  <c r="H25" i="18"/>
  <c r="AO24" i="18"/>
  <c r="AD24" i="18"/>
  <c r="AB24" i="18"/>
  <c r="V24" i="18"/>
  <c r="T24" i="18"/>
  <c r="S24" i="18"/>
  <c r="Y24" i="18" s="1"/>
  <c r="Z24" i="18" s="1"/>
  <c r="O24" i="18"/>
  <c r="Q24" i="18" s="1"/>
  <c r="L24" i="18"/>
  <c r="K24" i="18"/>
  <c r="N24" i="18" s="1"/>
  <c r="AG24" i="18" s="1"/>
  <c r="I24" i="18"/>
  <c r="H24" i="18"/>
  <c r="AO23" i="18"/>
  <c r="AD23" i="18"/>
  <c r="AB23" i="18"/>
  <c r="Z23" i="18"/>
  <c r="V23" i="18"/>
  <c r="T23" i="18"/>
  <c r="S23" i="18"/>
  <c r="Y23" i="18" s="1"/>
  <c r="Q23" i="18"/>
  <c r="O23" i="18"/>
  <c r="N23" i="18"/>
  <c r="AG23" i="18" s="1"/>
  <c r="K23" i="18"/>
  <c r="L23" i="18" s="1"/>
  <c r="I23" i="18"/>
  <c r="H23" i="18"/>
  <c r="AO22" i="18"/>
  <c r="AD22" i="18"/>
  <c r="AB22" i="18"/>
  <c r="V22" i="18"/>
  <c r="W22" i="18" s="1"/>
  <c r="T22" i="18"/>
  <c r="S22" i="18"/>
  <c r="Y22" i="18" s="1"/>
  <c r="Z22" i="18" s="1"/>
  <c r="O22" i="18"/>
  <c r="Q22" i="18" s="1"/>
  <c r="L22" i="18"/>
  <c r="K22" i="18"/>
  <c r="N22" i="18" s="1"/>
  <c r="AG22" i="18" s="1"/>
  <c r="I22" i="18"/>
  <c r="H22" i="18"/>
  <c r="AO21" i="18"/>
  <c r="AD21" i="18"/>
  <c r="AB21" i="18"/>
  <c r="W21" i="18"/>
  <c r="V21" i="18"/>
  <c r="T21" i="18"/>
  <c r="S21" i="18"/>
  <c r="Y21" i="18" s="1"/>
  <c r="Z21" i="18" s="1"/>
  <c r="Q21" i="18"/>
  <c r="O21" i="18"/>
  <c r="K21" i="18"/>
  <c r="I21" i="18"/>
  <c r="H21" i="18"/>
  <c r="AO20" i="18"/>
  <c r="AG20" i="18"/>
  <c r="AD20" i="18"/>
  <c r="AB20" i="18"/>
  <c r="V20" i="18"/>
  <c r="T20" i="18"/>
  <c r="S20" i="18"/>
  <c r="Y20" i="18" s="1"/>
  <c r="Z20" i="18" s="1"/>
  <c r="O20" i="18"/>
  <c r="Q20" i="18" s="1"/>
  <c r="L20" i="18"/>
  <c r="K20" i="18"/>
  <c r="N20" i="18" s="1"/>
  <c r="I20" i="18"/>
  <c r="H20" i="18"/>
  <c r="AO19" i="18"/>
  <c r="AD19" i="18"/>
  <c r="AB19" i="18"/>
  <c r="W19" i="18"/>
  <c r="V19" i="18"/>
  <c r="T19" i="18"/>
  <c r="S19" i="18"/>
  <c r="Q19" i="18"/>
  <c r="O19" i="18"/>
  <c r="N19" i="18"/>
  <c r="AG19" i="18" s="1"/>
  <c r="K19" i="18"/>
  <c r="Y19" i="18" s="1"/>
  <c r="Z19" i="18" s="1"/>
  <c r="I19" i="18"/>
  <c r="H19" i="18"/>
  <c r="AO18" i="18"/>
  <c r="AD18" i="18"/>
  <c r="AB18" i="18"/>
  <c r="Y18" i="18"/>
  <c r="Z18" i="18" s="1"/>
  <c r="V18" i="18"/>
  <c r="W18" i="18" s="1"/>
  <c r="T18" i="18"/>
  <c r="S18" i="18"/>
  <c r="O18" i="18"/>
  <c r="Q18" i="18" s="1"/>
  <c r="N18" i="18"/>
  <c r="AG18" i="18" s="1"/>
  <c r="L18" i="18"/>
  <c r="K18" i="18"/>
  <c r="I18" i="18"/>
  <c r="H18" i="18"/>
  <c r="AO17" i="18"/>
  <c r="AD17" i="18"/>
  <c r="AB17" i="18"/>
  <c r="W17" i="18"/>
  <c r="V17" i="18"/>
  <c r="T17" i="18"/>
  <c r="S17" i="18"/>
  <c r="Q17" i="18"/>
  <c r="O17" i="18"/>
  <c r="K17" i="18"/>
  <c r="I17" i="18"/>
  <c r="H17" i="18"/>
  <c r="AO16" i="18"/>
  <c r="AG16" i="18"/>
  <c r="AD16" i="18"/>
  <c r="AB16" i="18"/>
  <c r="Y16" i="18"/>
  <c r="Z16" i="18" s="1"/>
  <c r="V16" i="18"/>
  <c r="W16" i="18" s="1"/>
  <c r="T16" i="18"/>
  <c r="S16" i="18"/>
  <c r="O16" i="18"/>
  <c r="Q16" i="18" s="1"/>
  <c r="L16" i="18"/>
  <c r="K16" i="18"/>
  <c r="N16" i="18" s="1"/>
  <c r="I16" i="18"/>
  <c r="H16" i="18"/>
  <c r="AO15" i="18"/>
  <c r="AD15" i="18"/>
  <c r="AB15" i="18"/>
  <c r="W15" i="18"/>
  <c r="V15" i="18"/>
  <c r="T15" i="18"/>
  <c r="S15" i="18"/>
  <c r="Q15" i="18"/>
  <c r="O15" i="18"/>
  <c r="N15" i="18"/>
  <c r="AG15" i="18" s="1"/>
  <c r="K15" i="18"/>
  <c r="L15" i="18" s="1"/>
  <c r="I15" i="18"/>
  <c r="H15" i="18"/>
  <c r="AO14" i="18"/>
  <c r="AG14" i="18"/>
  <c r="AD14" i="18"/>
  <c r="AB14" i="18"/>
  <c r="Y14" i="18"/>
  <c r="Z14" i="18" s="1"/>
  <c r="V14" i="18"/>
  <c r="W14" i="18" s="1"/>
  <c r="T14" i="18"/>
  <c r="S14" i="18"/>
  <c r="O14" i="18"/>
  <c r="Q14" i="18" s="1"/>
  <c r="Q28" i="18" s="1"/>
  <c r="L14" i="18"/>
  <c r="K14" i="18"/>
  <c r="N14" i="18" s="1"/>
  <c r="I14" i="18"/>
  <c r="H14" i="18"/>
  <c r="AN12" i="18"/>
  <c r="AM12" i="18"/>
  <c r="AL12" i="18"/>
  <c r="AK12" i="18"/>
  <c r="AJ12" i="18"/>
  <c r="AH12" i="18"/>
  <c r="X12" i="18"/>
  <c r="U12" i="18"/>
  <c r="U30" i="18" s="1"/>
  <c r="R12" i="18"/>
  <c r="R30" i="18" s="1"/>
  <c r="P12" i="18"/>
  <c r="M12" i="18"/>
  <c r="J12" i="18"/>
  <c r="T12" i="18" s="1"/>
  <c r="G12" i="18"/>
  <c r="G30" i="18" s="1"/>
  <c r="F12" i="18"/>
  <c r="E12" i="18"/>
  <c r="D12" i="18"/>
  <c r="S12" i="18" s="1"/>
  <c r="AO11" i="18"/>
  <c r="AD11" i="18"/>
  <c r="AB11" i="18"/>
  <c r="V11" i="18"/>
  <c r="W11" i="18" s="1"/>
  <c r="T11" i="18"/>
  <c r="S11" i="18"/>
  <c r="Y11" i="18" s="1"/>
  <c r="Z11" i="18" s="1"/>
  <c r="Q11" i="18"/>
  <c r="O11" i="18"/>
  <c r="N11" i="18"/>
  <c r="AG11" i="18" s="1"/>
  <c r="L11" i="18"/>
  <c r="K11" i="18"/>
  <c r="I11" i="18"/>
  <c r="H11" i="18"/>
  <c r="AO10" i="18"/>
  <c r="AD10" i="18"/>
  <c r="AB10" i="18"/>
  <c r="W10" i="18"/>
  <c r="V10" i="18"/>
  <c r="T10" i="18"/>
  <c r="S10" i="18"/>
  <c r="O10" i="18"/>
  <c r="Q10" i="18" s="1"/>
  <c r="K10" i="18"/>
  <c r="I10" i="18"/>
  <c r="H10" i="18"/>
  <c r="AO9" i="18"/>
  <c r="AD9" i="18"/>
  <c r="AB9" i="18"/>
  <c r="W9" i="18"/>
  <c r="V9" i="18"/>
  <c r="T9" i="18"/>
  <c r="S9" i="18"/>
  <c r="Q9" i="18"/>
  <c r="O9" i="18"/>
  <c r="L9" i="18"/>
  <c r="K9" i="18"/>
  <c r="N9" i="18" s="1"/>
  <c r="AG9" i="18" s="1"/>
  <c r="I9" i="18"/>
  <c r="H9" i="18"/>
  <c r="AO8" i="18"/>
  <c r="AD8" i="18"/>
  <c r="AB8" i="18"/>
  <c r="V8" i="18"/>
  <c r="T8" i="18"/>
  <c r="S8" i="18"/>
  <c r="Y8" i="18" s="1"/>
  <c r="Z8" i="18" s="1"/>
  <c r="Q8" i="18"/>
  <c r="O8" i="18"/>
  <c r="N8" i="18"/>
  <c r="AG8" i="18" s="1"/>
  <c r="L8" i="18"/>
  <c r="K8" i="18"/>
  <c r="I8" i="18"/>
  <c r="H8" i="18"/>
  <c r="AO7" i="18"/>
  <c r="AD7" i="18"/>
  <c r="AB7" i="18"/>
  <c r="Z7" i="18"/>
  <c r="W7" i="18"/>
  <c r="V7" i="18"/>
  <c r="T7" i="18"/>
  <c r="S7" i="18"/>
  <c r="O7" i="18"/>
  <c r="Q7" i="18" s="1"/>
  <c r="N7" i="18"/>
  <c r="AG7" i="18" s="1"/>
  <c r="K7" i="18"/>
  <c r="Y7" i="18" s="1"/>
  <c r="I7" i="18"/>
  <c r="H7" i="18"/>
  <c r="AO6" i="18"/>
  <c r="AD6" i="18"/>
  <c r="AD12" i="18" s="1"/>
  <c r="AB6" i="18"/>
  <c r="Y6" i="18"/>
  <c r="Z6" i="18" s="1"/>
  <c r="V6" i="18"/>
  <c r="W6" i="18" s="1"/>
  <c r="T6" i="18"/>
  <c r="S6" i="18"/>
  <c r="Q6" i="18"/>
  <c r="O6" i="18"/>
  <c r="N6" i="18"/>
  <c r="AG6" i="18" s="1"/>
  <c r="L6" i="18"/>
  <c r="K6" i="18"/>
  <c r="I6" i="18"/>
  <c r="H6" i="18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R30" i="17"/>
  <c r="E30" i="17"/>
  <c r="AN28" i="17"/>
  <c r="AM28" i="17"/>
  <c r="AL28" i="17"/>
  <c r="AK28" i="17"/>
  <c r="AJ28" i="17"/>
  <c r="AH28" i="17"/>
  <c r="AI28" i="17" s="1"/>
  <c r="X28" i="17"/>
  <c r="U28" i="17"/>
  <c r="R28" i="17"/>
  <c r="P28" i="17"/>
  <c r="M28" i="17"/>
  <c r="J28" i="17"/>
  <c r="T28" i="17" s="1"/>
  <c r="G28" i="17"/>
  <c r="H28" i="17" s="1"/>
  <c r="F28" i="17"/>
  <c r="E28" i="17"/>
  <c r="D28" i="17"/>
  <c r="S28" i="17" s="1"/>
  <c r="AO27" i="17"/>
  <c r="AD27" i="17"/>
  <c r="AB27" i="17"/>
  <c r="V27" i="17"/>
  <c r="W27" i="17" s="1"/>
  <c r="T27" i="17"/>
  <c r="S27" i="17"/>
  <c r="Y27" i="17" s="1"/>
  <c r="Z27" i="17" s="1"/>
  <c r="Q27" i="17"/>
  <c r="O27" i="17"/>
  <c r="N27" i="17"/>
  <c r="AG27" i="17" s="1"/>
  <c r="L27" i="17"/>
  <c r="K27" i="17"/>
  <c r="I27" i="17"/>
  <c r="H27" i="17"/>
  <c r="AO26" i="17"/>
  <c r="AD26" i="17"/>
  <c r="AB26" i="17"/>
  <c r="W26" i="17"/>
  <c r="V26" i="17"/>
  <c r="T26" i="17"/>
  <c r="S26" i="17"/>
  <c r="O26" i="17"/>
  <c r="Q26" i="17" s="1"/>
  <c r="K26" i="17"/>
  <c r="I26" i="17"/>
  <c r="H26" i="17"/>
  <c r="AO25" i="17"/>
  <c r="AD25" i="17"/>
  <c r="AB25" i="17"/>
  <c r="W25" i="17"/>
  <c r="V25" i="17"/>
  <c r="T25" i="17"/>
  <c r="S25" i="17"/>
  <c r="Q25" i="17"/>
  <c r="O25" i="17"/>
  <c r="L25" i="17"/>
  <c r="K25" i="17"/>
  <c r="N25" i="17" s="1"/>
  <c r="AG25" i="17" s="1"/>
  <c r="I25" i="17"/>
  <c r="H25" i="17"/>
  <c r="AO24" i="17"/>
  <c r="AG24" i="17"/>
  <c r="AD24" i="17"/>
  <c r="AB24" i="17"/>
  <c r="V24" i="17"/>
  <c r="T24" i="17"/>
  <c r="S24" i="17"/>
  <c r="Y24" i="17" s="1"/>
  <c r="Z24" i="17" s="1"/>
  <c r="Q24" i="17"/>
  <c r="O24" i="17"/>
  <c r="N24" i="17"/>
  <c r="L24" i="17"/>
  <c r="K24" i="17"/>
  <c r="I24" i="17"/>
  <c r="H24" i="17"/>
  <c r="AO23" i="17"/>
  <c r="AD23" i="17"/>
  <c r="AB23" i="17"/>
  <c r="W23" i="17"/>
  <c r="V23" i="17"/>
  <c r="T23" i="17"/>
  <c r="S23" i="17"/>
  <c r="Y23" i="17" s="1"/>
  <c r="Z23" i="17" s="1"/>
  <c r="O23" i="17"/>
  <c r="Q23" i="17" s="1"/>
  <c r="N23" i="17"/>
  <c r="AG23" i="17" s="1"/>
  <c r="K23" i="17"/>
  <c r="L23" i="17" s="1"/>
  <c r="I23" i="17"/>
  <c r="H23" i="17"/>
  <c r="AO22" i="17"/>
  <c r="AD22" i="17"/>
  <c r="AB22" i="17"/>
  <c r="Y22" i="17"/>
  <c r="Z22" i="17" s="1"/>
  <c r="V22" i="17"/>
  <c r="W22" i="17" s="1"/>
  <c r="T22" i="17"/>
  <c r="S22" i="17"/>
  <c r="Q22" i="17"/>
  <c r="O22" i="17"/>
  <c r="N22" i="17"/>
  <c r="AG22" i="17" s="1"/>
  <c r="L22" i="17"/>
  <c r="K22" i="17"/>
  <c r="I22" i="17"/>
  <c r="H22" i="17"/>
  <c r="AO21" i="17"/>
  <c r="AD21" i="17"/>
  <c r="AB21" i="17"/>
  <c r="W21" i="17"/>
  <c r="V21" i="17"/>
  <c r="T21" i="17"/>
  <c r="S21" i="17"/>
  <c r="Y21" i="17" s="1"/>
  <c r="Z21" i="17" s="1"/>
  <c r="Q21" i="17"/>
  <c r="O21" i="17"/>
  <c r="K21" i="17"/>
  <c r="I21" i="17"/>
  <c r="H21" i="17"/>
  <c r="AO20" i="17"/>
  <c r="AG20" i="17"/>
  <c r="AD20" i="17"/>
  <c r="AB20" i="17"/>
  <c r="V20" i="17"/>
  <c r="T20" i="17"/>
  <c r="S20" i="17"/>
  <c r="W20" i="17" s="1"/>
  <c r="O20" i="17"/>
  <c r="Q20" i="17" s="1"/>
  <c r="L20" i="17"/>
  <c r="K20" i="17"/>
  <c r="N20" i="17" s="1"/>
  <c r="I20" i="17"/>
  <c r="H20" i="17"/>
  <c r="AO19" i="17"/>
  <c r="AD19" i="17"/>
  <c r="AB19" i="17"/>
  <c r="Z19" i="17"/>
  <c r="Y19" i="17"/>
  <c r="V19" i="17"/>
  <c r="W19" i="17" s="1"/>
  <c r="T19" i="17"/>
  <c r="S19" i="17"/>
  <c r="Q19" i="17"/>
  <c r="O19" i="17"/>
  <c r="N19" i="17"/>
  <c r="AG19" i="17" s="1"/>
  <c r="L19" i="17"/>
  <c r="K19" i="17"/>
  <c r="I19" i="17"/>
  <c r="H19" i="17"/>
  <c r="AO18" i="17"/>
  <c r="AD18" i="17"/>
  <c r="AB18" i="17"/>
  <c r="V18" i="17"/>
  <c r="W18" i="17" s="1"/>
  <c r="T18" i="17"/>
  <c r="S18" i="17"/>
  <c r="O18" i="17"/>
  <c r="Q18" i="17" s="1"/>
  <c r="K18" i="17"/>
  <c r="I18" i="17"/>
  <c r="H18" i="17"/>
  <c r="AO17" i="17"/>
  <c r="AD17" i="17"/>
  <c r="AB17" i="17"/>
  <c r="W17" i="17"/>
  <c r="V17" i="17"/>
  <c r="T17" i="17"/>
  <c r="S17" i="17"/>
  <c r="Q17" i="17"/>
  <c r="O17" i="17"/>
  <c r="K17" i="17"/>
  <c r="N17" i="17" s="1"/>
  <c r="AG17" i="17" s="1"/>
  <c r="I17" i="17"/>
  <c r="H17" i="17"/>
  <c r="AO16" i="17"/>
  <c r="AD16" i="17"/>
  <c r="AB16" i="17"/>
  <c r="Y16" i="17"/>
  <c r="Z16" i="17" s="1"/>
  <c r="V16" i="17"/>
  <c r="T16" i="17"/>
  <c r="S16" i="17"/>
  <c r="Q16" i="17"/>
  <c r="O16" i="17"/>
  <c r="N16" i="17"/>
  <c r="AG16" i="17" s="1"/>
  <c r="L16" i="17"/>
  <c r="K16" i="17"/>
  <c r="I16" i="17"/>
  <c r="H16" i="17"/>
  <c r="AO15" i="17"/>
  <c r="AD15" i="17"/>
  <c r="AB15" i="17"/>
  <c r="Z15" i="17"/>
  <c r="W15" i="17"/>
  <c r="V15" i="17"/>
  <c r="T15" i="17"/>
  <c r="S15" i="17"/>
  <c r="Y15" i="17" s="1"/>
  <c r="O15" i="17"/>
  <c r="Q15" i="17" s="1"/>
  <c r="N15" i="17"/>
  <c r="AG15" i="17" s="1"/>
  <c r="K15" i="17"/>
  <c r="L15" i="17" s="1"/>
  <c r="I15" i="17"/>
  <c r="H15" i="17"/>
  <c r="AO14" i="17"/>
  <c r="AD14" i="17"/>
  <c r="AB14" i="17"/>
  <c r="Y14" i="17"/>
  <c r="Z14" i="17" s="1"/>
  <c r="V14" i="17"/>
  <c r="W14" i="17" s="1"/>
  <c r="T14" i="17"/>
  <c r="S14" i="17"/>
  <c r="O14" i="17"/>
  <c r="Q14" i="17" s="1"/>
  <c r="Q28" i="17" s="1"/>
  <c r="N14" i="17"/>
  <c r="AG14" i="17" s="1"/>
  <c r="L14" i="17"/>
  <c r="K14" i="17"/>
  <c r="I14" i="17"/>
  <c r="H14" i="17"/>
  <c r="AN12" i="17"/>
  <c r="AM12" i="17"/>
  <c r="AL12" i="17"/>
  <c r="AK12" i="17"/>
  <c r="AJ12" i="17"/>
  <c r="AH12" i="17"/>
  <c r="V12" i="17"/>
  <c r="W12" i="17" s="1"/>
  <c r="U12" i="17"/>
  <c r="U30" i="17" s="1"/>
  <c r="S12" i="17"/>
  <c r="R12" i="17"/>
  <c r="X12" i="17" s="1"/>
  <c r="P12" i="17"/>
  <c r="J12" i="17"/>
  <c r="H12" i="17"/>
  <c r="G12" i="17"/>
  <c r="G30" i="17" s="1"/>
  <c r="F12" i="17"/>
  <c r="E12" i="17"/>
  <c r="D12" i="17"/>
  <c r="AO11" i="17"/>
  <c r="AD11" i="17"/>
  <c r="AB11" i="17"/>
  <c r="AB12" i="17" s="1"/>
  <c r="Y11" i="17"/>
  <c r="Z11" i="17" s="1"/>
  <c r="V11" i="17"/>
  <c r="W11" i="17" s="1"/>
  <c r="T11" i="17"/>
  <c r="S11" i="17"/>
  <c r="O11" i="17"/>
  <c r="Q11" i="17" s="1"/>
  <c r="N11" i="17"/>
  <c r="AG11" i="17" s="1"/>
  <c r="L11" i="17"/>
  <c r="K11" i="17"/>
  <c r="I11" i="17"/>
  <c r="H11" i="17"/>
  <c r="AO10" i="17"/>
  <c r="AD10" i="17"/>
  <c r="AB10" i="17"/>
  <c r="W10" i="17"/>
  <c r="V10" i="17"/>
  <c r="T10" i="17"/>
  <c r="S10" i="17"/>
  <c r="Q10" i="17"/>
  <c r="O10" i="17"/>
  <c r="K10" i="17"/>
  <c r="I10" i="17"/>
  <c r="H10" i="17"/>
  <c r="AO9" i="17"/>
  <c r="AG9" i="17"/>
  <c r="AD9" i="17"/>
  <c r="AB9" i="17"/>
  <c r="V9" i="17"/>
  <c r="T9" i="17"/>
  <c r="S9" i="17"/>
  <c r="W9" i="17" s="1"/>
  <c r="O9" i="17"/>
  <c r="Q9" i="17" s="1"/>
  <c r="L9" i="17"/>
  <c r="K9" i="17"/>
  <c r="N9" i="17" s="1"/>
  <c r="I9" i="17"/>
  <c r="H9" i="17"/>
  <c r="AO8" i="17"/>
  <c r="AD8" i="17"/>
  <c r="AB8" i="17"/>
  <c r="Z8" i="17"/>
  <c r="Y8" i="17"/>
  <c r="V8" i="17"/>
  <c r="W8" i="17" s="1"/>
  <c r="T8" i="17"/>
  <c r="S8" i="17"/>
  <c r="Q8" i="17"/>
  <c r="O8" i="17"/>
  <c r="N8" i="17"/>
  <c r="AG8" i="17" s="1"/>
  <c r="L8" i="17"/>
  <c r="K8" i="17"/>
  <c r="I8" i="17"/>
  <c r="H8" i="17"/>
  <c r="AO7" i="17"/>
  <c r="AD7" i="17"/>
  <c r="AB7" i="17"/>
  <c r="V7" i="17"/>
  <c r="W7" i="17" s="1"/>
  <c r="T7" i="17"/>
  <c r="S7" i="17"/>
  <c r="Y7" i="17" s="1"/>
  <c r="Z7" i="17" s="1"/>
  <c r="O7" i="17"/>
  <c r="Q7" i="17" s="1"/>
  <c r="K7" i="17"/>
  <c r="I7" i="17"/>
  <c r="H7" i="17"/>
  <c r="AO6" i="17"/>
  <c r="AD6" i="17"/>
  <c r="AD12" i="17" s="1"/>
  <c r="AB6" i="17"/>
  <c r="W6" i="17"/>
  <c r="V6" i="17"/>
  <c r="T6" i="17"/>
  <c r="S6" i="17"/>
  <c r="Q6" i="17"/>
  <c r="O6" i="17"/>
  <c r="O12" i="17" s="1"/>
  <c r="L6" i="17"/>
  <c r="K6" i="17"/>
  <c r="N6" i="17" s="1"/>
  <c r="AG6" i="17" s="1"/>
  <c r="I6" i="17"/>
  <c r="H6" i="17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AH33" i="16"/>
  <c r="E33" i="16"/>
  <c r="AN31" i="16"/>
  <c r="AM31" i="16"/>
  <c r="AL31" i="16"/>
  <c r="AK31" i="16"/>
  <c r="AJ31" i="16"/>
  <c r="AH31" i="16"/>
  <c r="AI31" i="16" s="1"/>
  <c r="V31" i="16"/>
  <c r="W31" i="16" s="1"/>
  <c r="U31" i="16"/>
  <c r="R31" i="16"/>
  <c r="X31" i="16" s="1"/>
  <c r="P31" i="16"/>
  <c r="J31" i="16"/>
  <c r="H31" i="16"/>
  <c r="G31" i="16"/>
  <c r="F31" i="16"/>
  <c r="E31" i="16"/>
  <c r="D31" i="16"/>
  <c r="S31" i="16" s="1"/>
  <c r="AO30" i="16"/>
  <c r="AD30" i="16"/>
  <c r="AB30" i="16"/>
  <c r="Y30" i="16"/>
  <c r="Z30" i="16" s="1"/>
  <c r="V30" i="16"/>
  <c r="W30" i="16" s="1"/>
  <c r="T30" i="16"/>
  <c r="S30" i="16"/>
  <c r="O30" i="16"/>
  <c r="Q30" i="16" s="1"/>
  <c r="L30" i="16"/>
  <c r="K30" i="16"/>
  <c r="N30" i="16" s="1"/>
  <c r="AG30" i="16" s="1"/>
  <c r="I30" i="16"/>
  <c r="H30" i="16"/>
  <c r="AO29" i="16"/>
  <c r="AD29" i="16"/>
  <c r="AB29" i="16"/>
  <c r="V29" i="16"/>
  <c r="T29" i="16"/>
  <c r="S29" i="16"/>
  <c r="Q29" i="16"/>
  <c r="O29" i="16"/>
  <c r="K29" i="16"/>
  <c r="I29" i="16"/>
  <c r="H29" i="16"/>
  <c r="AO28" i="16"/>
  <c r="AD28" i="16"/>
  <c r="AB28" i="16"/>
  <c r="V28" i="16"/>
  <c r="T28" i="16"/>
  <c r="S28" i="16"/>
  <c r="W28" i="16" s="1"/>
  <c r="O28" i="16"/>
  <c r="Q28" i="16" s="1"/>
  <c r="L28" i="16"/>
  <c r="K28" i="16"/>
  <c r="N28" i="16" s="1"/>
  <c r="AG28" i="16" s="1"/>
  <c r="I28" i="16"/>
  <c r="H28" i="16"/>
  <c r="AO27" i="16"/>
  <c r="AD27" i="16"/>
  <c r="AB27" i="16"/>
  <c r="Z27" i="16"/>
  <c r="V27" i="16"/>
  <c r="W27" i="16" s="1"/>
  <c r="T27" i="16"/>
  <c r="S27" i="16"/>
  <c r="Y27" i="16" s="1"/>
  <c r="Q27" i="16"/>
  <c r="O27" i="16"/>
  <c r="N27" i="16"/>
  <c r="AG27" i="16" s="1"/>
  <c r="L27" i="16"/>
  <c r="K27" i="16"/>
  <c r="I27" i="16"/>
  <c r="H27" i="16"/>
  <c r="AO26" i="16"/>
  <c r="AD26" i="16"/>
  <c r="AB26" i="16"/>
  <c r="W26" i="16"/>
  <c r="V26" i="16"/>
  <c r="T26" i="16"/>
  <c r="S26" i="16"/>
  <c r="Y26" i="16" s="1"/>
  <c r="Z26" i="16" s="1"/>
  <c r="O26" i="16"/>
  <c r="Q26" i="16" s="1"/>
  <c r="K26" i="16"/>
  <c r="I26" i="16"/>
  <c r="H26" i="16"/>
  <c r="AO25" i="16"/>
  <c r="AD25" i="16"/>
  <c r="AB25" i="16"/>
  <c r="W25" i="16"/>
  <c r="V25" i="16"/>
  <c r="T25" i="16"/>
  <c r="S25" i="16"/>
  <c r="Q25" i="16"/>
  <c r="O25" i="16"/>
  <c r="K25" i="16"/>
  <c r="N25" i="16" s="1"/>
  <c r="AG25" i="16" s="1"/>
  <c r="I25" i="16"/>
  <c r="H25" i="16"/>
  <c r="AO24" i="16"/>
  <c r="AD24" i="16"/>
  <c r="AB24" i="16"/>
  <c r="Y24" i="16"/>
  <c r="Z24" i="16" s="1"/>
  <c r="V24" i="16"/>
  <c r="W24" i="16" s="1"/>
  <c r="T24" i="16"/>
  <c r="S24" i="16"/>
  <c r="Q24" i="16"/>
  <c r="O24" i="16"/>
  <c r="N24" i="16"/>
  <c r="AG24" i="16" s="1"/>
  <c r="L24" i="16"/>
  <c r="K24" i="16"/>
  <c r="I24" i="16"/>
  <c r="H24" i="16"/>
  <c r="AO23" i="16"/>
  <c r="AD23" i="16"/>
  <c r="AB23" i="16"/>
  <c r="W23" i="16"/>
  <c r="V23" i="16"/>
  <c r="T23" i="16"/>
  <c r="S23" i="16"/>
  <c r="O23" i="16"/>
  <c r="Q23" i="16" s="1"/>
  <c r="N23" i="16"/>
  <c r="AG23" i="16" s="1"/>
  <c r="K23" i="16"/>
  <c r="Y23" i="16" s="1"/>
  <c r="Z23" i="16" s="1"/>
  <c r="I23" i="16"/>
  <c r="H23" i="16"/>
  <c r="AO22" i="16"/>
  <c r="AD22" i="16"/>
  <c r="AB22" i="16"/>
  <c r="Y22" i="16"/>
  <c r="Z22" i="16" s="1"/>
  <c r="V22" i="16"/>
  <c r="W22" i="16" s="1"/>
  <c r="T22" i="16"/>
  <c r="S22" i="16"/>
  <c r="O22" i="16"/>
  <c r="Q22" i="16" s="1"/>
  <c r="L22" i="16"/>
  <c r="K22" i="16"/>
  <c r="N22" i="16" s="1"/>
  <c r="AG22" i="16" s="1"/>
  <c r="I22" i="16"/>
  <c r="H22" i="16"/>
  <c r="AO21" i="16"/>
  <c r="AD21" i="16"/>
  <c r="AB21" i="16"/>
  <c r="W21" i="16"/>
  <c r="V21" i="16"/>
  <c r="T21" i="16"/>
  <c r="S21" i="16"/>
  <c r="Q21" i="16"/>
  <c r="O21" i="16"/>
  <c r="K21" i="16"/>
  <c r="I21" i="16"/>
  <c r="H21" i="16"/>
  <c r="AO20" i="16"/>
  <c r="AD20" i="16"/>
  <c r="AB20" i="16"/>
  <c r="V20" i="16"/>
  <c r="T20" i="16"/>
  <c r="S20" i="16"/>
  <c r="O20" i="16"/>
  <c r="Q20" i="16" s="1"/>
  <c r="L20" i="16"/>
  <c r="K20" i="16"/>
  <c r="N20" i="16" s="1"/>
  <c r="AG20" i="16" s="1"/>
  <c r="I20" i="16"/>
  <c r="H20" i="16"/>
  <c r="AO19" i="16"/>
  <c r="AD19" i="16"/>
  <c r="AB19" i="16"/>
  <c r="V19" i="16"/>
  <c r="W19" i="16" s="1"/>
  <c r="T19" i="16"/>
  <c r="S19" i="16"/>
  <c r="Y19" i="16" s="1"/>
  <c r="Z19" i="16" s="1"/>
  <c r="Q19" i="16"/>
  <c r="O19" i="16"/>
  <c r="N19" i="16"/>
  <c r="AG19" i="16" s="1"/>
  <c r="L19" i="16"/>
  <c r="K19" i="16"/>
  <c r="I19" i="16"/>
  <c r="H19" i="16"/>
  <c r="AO18" i="16"/>
  <c r="AD18" i="16"/>
  <c r="AB18" i="16"/>
  <c r="V18" i="16"/>
  <c r="W18" i="16" s="1"/>
  <c r="T18" i="16"/>
  <c r="S18" i="16"/>
  <c r="O18" i="16"/>
  <c r="Q18" i="16" s="1"/>
  <c r="K18" i="16"/>
  <c r="I18" i="16"/>
  <c r="H18" i="16"/>
  <c r="AO17" i="16"/>
  <c r="AD17" i="16"/>
  <c r="AB17" i="16"/>
  <c r="W17" i="16"/>
  <c r="V17" i="16"/>
  <c r="T17" i="16"/>
  <c r="S17" i="16"/>
  <c r="Q17" i="16"/>
  <c r="O17" i="16"/>
  <c r="L17" i="16"/>
  <c r="K17" i="16"/>
  <c r="N17" i="16" s="1"/>
  <c r="AG17" i="16" s="1"/>
  <c r="I17" i="16"/>
  <c r="H17" i="16"/>
  <c r="AO16" i="16"/>
  <c r="AD16" i="16"/>
  <c r="AB16" i="16"/>
  <c r="Y16" i="16"/>
  <c r="Z16" i="16" s="1"/>
  <c r="V16" i="16"/>
  <c r="W16" i="16" s="1"/>
  <c r="T16" i="16"/>
  <c r="S16" i="16"/>
  <c r="Q16" i="16"/>
  <c r="O16" i="16"/>
  <c r="N16" i="16"/>
  <c r="AG16" i="16" s="1"/>
  <c r="L16" i="16"/>
  <c r="K16" i="16"/>
  <c r="I16" i="16"/>
  <c r="H16" i="16"/>
  <c r="AO15" i="16"/>
  <c r="AD15" i="16"/>
  <c r="AB15" i="16"/>
  <c r="Z15" i="16"/>
  <c r="W15" i="16"/>
  <c r="V15" i="16"/>
  <c r="T15" i="16"/>
  <c r="S15" i="16"/>
  <c r="Y15" i="16" s="1"/>
  <c r="O15" i="16"/>
  <c r="Q15" i="16" s="1"/>
  <c r="N15" i="16"/>
  <c r="AG15" i="16" s="1"/>
  <c r="K15" i="16"/>
  <c r="L15" i="16" s="1"/>
  <c r="I15" i="16"/>
  <c r="H15" i="16"/>
  <c r="AO14" i="16"/>
  <c r="AD14" i="16"/>
  <c r="AB14" i="16"/>
  <c r="AB31" i="16" s="1"/>
  <c r="Y14" i="16"/>
  <c r="Z14" i="16" s="1"/>
  <c r="V14" i="16"/>
  <c r="W14" i="16" s="1"/>
  <c r="T14" i="16"/>
  <c r="S14" i="16"/>
  <c r="O14" i="16"/>
  <c r="N14" i="16"/>
  <c r="AG14" i="16" s="1"/>
  <c r="L14" i="16"/>
  <c r="K14" i="16"/>
  <c r="I14" i="16"/>
  <c r="H14" i="16"/>
  <c r="AN12" i="16"/>
  <c r="AM12" i="16"/>
  <c r="AL12" i="16"/>
  <c r="AK12" i="16"/>
  <c r="AJ12" i="16"/>
  <c r="AH12" i="16"/>
  <c r="V12" i="16"/>
  <c r="W12" i="16" s="1"/>
  <c r="U12" i="16"/>
  <c r="U33" i="16" s="1"/>
  <c r="S12" i="16"/>
  <c r="R12" i="16"/>
  <c r="P12" i="16"/>
  <c r="J12" i="16"/>
  <c r="H12" i="16"/>
  <c r="G12" i="16"/>
  <c r="G33" i="16" s="1"/>
  <c r="F12" i="16"/>
  <c r="E12" i="16"/>
  <c r="D12" i="16"/>
  <c r="AO11" i="16"/>
  <c r="AD11" i="16"/>
  <c r="AB11" i="16"/>
  <c r="AB12" i="16" s="1"/>
  <c r="Y11" i="16"/>
  <c r="Z11" i="16" s="1"/>
  <c r="V11" i="16"/>
  <c r="W11" i="16" s="1"/>
  <c r="T11" i="16"/>
  <c r="S11" i="16"/>
  <c r="O11" i="16"/>
  <c r="Q11" i="16" s="1"/>
  <c r="L11" i="16"/>
  <c r="K11" i="16"/>
  <c r="N11" i="16" s="1"/>
  <c r="AG11" i="16" s="1"/>
  <c r="I11" i="16"/>
  <c r="H11" i="16"/>
  <c r="AO10" i="16"/>
  <c r="AD10" i="16"/>
  <c r="AB10" i="16"/>
  <c r="V10" i="16"/>
  <c r="T10" i="16"/>
  <c r="S10" i="16"/>
  <c r="Q10" i="16"/>
  <c r="O10" i="16"/>
  <c r="K10" i="16"/>
  <c r="I10" i="16"/>
  <c r="H10" i="16"/>
  <c r="AO9" i="16"/>
  <c r="AD9" i="16"/>
  <c r="AB9" i="16"/>
  <c r="Y9" i="16"/>
  <c r="Z9" i="16" s="1"/>
  <c r="V9" i="16"/>
  <c r="T9" i="16"/>
  <c r="S9" i="16"/>
  <c r="W9" i="16" s="1"/>
  <c r="O9" i="16"/>
  <c r="Q9" i="16" s="1"/>
  <c r="L9" i="16"/>
  <c r="K9" i="16"/>
  <c r="N9" i="16" s="1"/>
  <c r="AG9" i="16" s="1"/>
  <c r="I9" i="16"/>
  <c r="H9" i="16"/>
  <c r="AO8" i="16"/>
  <c r="AD8" i="16"/>
  <c r="AB8" i="16"/>
  <c r="Z8" i="16"/>
  <c r="Y8" i="16"/>
  <c r="V8" i="16"/>
  <c r="W8" i="16" s="1"/>
  <c r="T8" i="16"/>
  <c r="S8" i="16"/>
  <c r="Q8" i="16"/>
  <c r="O8" i="16"/>
  <c r="N8" i="16"/>
  <c r="AG8" i="16" s="1"/>
  <c r="L8" i="16"/>
  <c r="K8" i="16"/>
  <c r="I8" i="16"/>
  <c r="H8" i="16"/>
  <c r="AO7" i="16"/>
  <c r="AD7" i="16"/>
  <c r="AB7" i="16"/>
  <c r="V7" i="16"/>
  <c r="W7" i="16" s="1"/>
  <c r="T7" i="16"/>
  <c r="S7" i="16"/>
  <c r="Y7" i="16" s="1"/>
  <c r="Z7" i="16" s="1"/>
  <c r="O7" i="16"/>
  <c r="Q7" i="16" s="1"/>
  <c r="K7" i="16"/>
  <c r="I7" i="16"/>
  <c r="H7" i="16"/>
  <c r="AO6" i="16"/>
  <c r="AD6" i="16"/>
  <c r="AD12" i="16" s="1"/>
  <c r="AB6" i="16"/>
  <c r="Y6" i="16"/>
  <c r="Z6" i="16" s="1"/>
  <c r="W6" i="16"/>
  <c r="V6" i="16"/>
  <c r="T6" i="16"/>
  <c r="S6" i="16"/>
  <c r="Q6" i="16"/>
  <c r="O6" i="16"/>
  <c r="O12" i="16" s="1"/>
  <c r="K6" i="16"/>
  <c r="I6" i="16"/>
  <c r="H6" i="16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AH33" i="15"/>
  <c r="E33" i="15"/>
  <c r="AN31" i="15"/>
  <c r="AM31" i="15"/>
  <c r="AL31" i="15"/>
  <c r="AK31" i="15"/>
  <c r="AJ31" i="15"/>
  <c r="AH31" i="15"/>
  <c r="AI31" i="15" s="1"/>
  <c r="V31" i="15"/>
  <c r="U31" i="15"/>
  <c r="R31" i="15"/>
  <c r="X31" i="15" s="1"/>
  <c r="P31" i="15"/>
  <c r="J31" i="15"/>
  <c r="H31" i="15"/>
  <c r="G31" i="15"/>
  <c r="F31" i="15"/>
  <c r="E31" i="15"/>
  <c r="D31" i="15"/>
  <c r="AO30" i="15"/>
  <c r="AD30" i="15"/>
  <c r="AB30" i="15"/>
  <c r="Y30" i="15"/>
  <c r="Z30" i="15" s="1"/>
  <c r="V30" i="15"/>
  <c r="W30" i="15" s="1"/>
  <c r="T30" i="15"/>
  <c r="S30" i="15"/>
  <c r="Q30" i="15"/>
  <c r="O30" i="15"/>
  <c r="L30" i="15"/>
  <c r="K30" i="15"/>
  <c r="N30" i="15" s="1"/>
  <c r="AG30" i="15" s="1"/>
  <c r="I30" i="15"/>
  <c r="H30" i="15"/>
  <c r="AO29" i="15"/>
  <c r="AD29" i="15"/>
  <c r="AB29" i="15"/>
  <c r="V29" i="15"/>
  <c r="T29" i="15"/>
  <c r="S29" i="15"/>
  <c r="Y29" i="15" s="1"/>
  <c r="Z29" i="15" s="1"/>
  <c r="Q29" i="15"/>
  <c r="O29" i="15"/>
  <c r="K29" i="15"/>
  <c r="I29" i="15"/>
  <c r="H29" i="15"/>
  <c r="AO28" i="15"/>
  <c r="AG28" i="15"/>
  <c r="AD28" i="15"/>
  <c r="AB28" i="15"/>
  <c r="V28" i="15"/>
  <c r="T28" i="15"/>
  <c r="S28" i="15"/>
  <c r="W28" i="15" s="1"/>
  <c r="O28" i="15"/>
  <c r="Q28" i="15" s="1"/>
  <c r="N28" i="15"/>
  <c r="L28" i="15"/>
  <c r="K28" i="15"/>
  <c r="I28" i="15"/>
  <c r="H28" i="15"/>
  <c r="AO27" i="15"/>
  <c r="AD27" i="15"/>
  <c r="AB27" i="15"/>
  <c r="Z27" i="15"/>
  <c r="V27" i="15"/>
  <c r="W27" i="15" s="1"/>
  <c r="T27" i="15"/>
  <c r="S27" i="15"/>
  <c r="Y27" i="15" s="1"/>
  <c r="Q27" i="15"/>
  <c r="O27" i="15"/>
  <c r="N27" i="15"/>
  <c r="AG27" i="15" s="1"/>
  <c r="K27" i="15"/>
  <c r="L27" i="15" s="1"/>
  <c r="I27" i="15"/>
  <c r="H27" i="15"/>
  <c r="AO26" i="15"/>
  <c r="AD26" i="15"/>
  <c r="AB26" i="15"/>
  <c r="V26" i="15"/>
  <c r="W26" i="15" s="1"/>
  <c r="T26" i="15"/>
  <c r="S26" i="15"/>
  <c r="O26" i="15"/>
  <c r="Q26" i="15" s="1"/>
  <c r="K26" i="15"/>
  <c r="I26" i="15"/>
  <c r="H26" i="15"/>
  <c r="AO25" i="15"/>
  <c r="AD25" i="15"/>
  <c r="AB25" i="15"/>
  <c r="W25" i="15"/>
  <c r="V25" i="15"/>
  <c r="T25" i="15"/>
  <c r="S25" i="15"/>
  <c r="Q25" i="15"/>
  <c r="O25" i="15"/>
  <c r="K25" i="15"/>
  <c r="N25" i="15" s="1"/>
  <c r="AG25" i="15" s="1"/>
  <c r="I25" i="15"/>
  <c r="H25" i="15"/>
  <c r="AO24" i="15"/>
  <c r="AG24" i="15"/>
  <c r="AD24" i="15"/>
  <c r="AB24" i="15"/>
  <c r="Y24" i="15"/>
  <c r="Z24" i="15" s="1"/>
  <c r="V24" i="15"/>
  <c r="W24" i="15" s="1"/>
  <c r="T24" i="15"/>
  <c r="S24" i="15"/>
  <c r="O24" i="15"/>
  <c r="Q24" i="15" s="1"/>
  <c r="N24" i="15"/>
  <c r="L24" i="15"/>
  <c r="K24" i="15"/>
  <c r="I24" i="15"/>
  <c r="H24" i="15"/>
  <c r="AO23" i="15"/>
  <c r="AD23" i="15"/>
  <c r="AB23" i="15"/>
  <c r="W23" i="15"/>
  <c r="V23" i="15"/>
  <c r="T23" i="15"/>
  <c r="S23" i="15"/>
  <c r="O23" i="15"/>
  <c r="Q23" i="15" s="1"/>
  <c r="N23" i="15"/>
  <c r="AG23" i="15" s="1"/>
  <c r="K23" i="15"/>
  <c r="Y23" i="15" s="1"/>
  <c r="Z23" i="15" s="1"/>
  <c r="I23" i="15"/>
  <c r="H23" i="15"/>
  <c r="AO22" i="15"/>
  <c r="AD22" i="15"/>
  <c r="AB22" i="15"/>
  <c r="Y22" i="15"/>
  <c r="Z22" i="15" s="1"/>
  <c r="V22" i="15"/>
  <c r="W22" i="15" s="1"/>
  <c r="T22" i="15"/>
  <c r="S22" i="15"/>
  <c r="Q22" i="15"/>
  <c r="O22" i="15"/>
  <c r="L22" i="15"/>
  <c r="K22" i="15"/>
  <c r="N22" i="15" s="1"/>
  <c r="AG22" i="15" s="1"/>
  <c r="I22" i="15"/>
  <c r="H22" i="15"/>
  <c r="AO21" i="15"/>
  <c r="AD21" i="15"/>
  <c r="AB21" i="15"/>
  <c r="W21" i="15"/>
  <c r="V21" i="15"/>
  <c r="T21" i="15"/>
  <c r="S21" i="15"/>
  <c r="Q21" i="15"/>
  <c r="O21" i="15"/>
  <c r="K21" i="15"/>
  <c r="I21" i="15"/>
  <c r="H21" i="15"/>
  <c r="AO20" i="15"/>
  <c r="AG20" i="15"/>
  <c r="AD20" i="15"/>
  <c r="AB20" i="15"/>
  <c r="V20" i="15"/>
  <c r="T20" i="15"/>
  <c r="S20" i="15"/>
  <c r="Y20" i="15" s="1"/>
  <c r="Z20" i="15" s="1"/>
  <c r="O20" i="15"/>
  <c r="Q20" i="15" s="1"/>
  <c r="N20" i="15"/>
  <c r="L20" i="15"/>
  <c r="K20" i="15"/>
  <c r="I20" i="15"/>
  <c r="H20" i="15"/>
  <c r="AO19" i="15"/>
  <c r="AD19" i="15"/>
  <c r="AB19" i="15"/>
  <c r="Z19" i="15"/>
  <c r="V19" i="15"/>
  <c r="W19" i="15" s="1"/>
  <c r="T19" i="15"/>
  <c r="S19" i="15"/>
  <c r="Y19" i="15" s="1"/>
  <c r="Q19" i="15"/>
  <c r="O19" i="15"/>
  <c r="N19" i="15"/>
  <c r="AG19" i="15" s="1"/>
  <c r="K19" i="15"/>
  <c r="L19" i="15" s="1"/>
  <c r="I19" i="15"/>
  <c r="H19" i="15"/>
  <c r="AO18" i="15"/>
  <c r="AD18" i="15"/>
  <c r="AB18" i="15"/>
  <c r="V18" i="15"/>
  <c r="W18" i="15" s="1"/>
  <c r="T18" i="15"/>
  <c r="S18" i="15"/>
  <c r="Y18" i="15" s="1"/>
  <c r="Z18" i="15" s="1"/>
  <c r="O18" i="15"/>
  <c r="Q18" i="15" s="1"/>
  <c r="K18" i="15"/>
  <c r="I18" i="15"/>
  <c r="H18" i="15"/>
  <c r="AO17" i="15"/>
  <c r="AD17" i="15"/>
  <c r="AB17" i="15"/>
  <c r="W17" i="15"/>
  <c r="V17" i="15"/>
  <c r="T17" i="15"/>
  <c r="S17" i="15"/>
  <c r="Q17" i="15"/>
  <c r="O17" i="15"/>
  <c r="K17" i="15"/>
  <c r="Y17" i="15" s="1"/>
  <c r="Z17" i="15" s="1"/>
  <c r="I17" i="15"/>
  <c r="H17" i="15"/>
  <c r="AO16" i="15"/>
  <c r="AG16" i="15"/>
  <c r="AD16" i="15"/>
  <c r="AB16" i="15"/>
  <c r="Y16" i="15"/>
  <c r="Z16" i="15" s="1"/>
  <c r="V16" i="15"/>
  <c r="W16" i="15" s="1"/>
  <c r="T16" i="15"/>
  <c r="S16" i="15"/>
  <c r="O16" i="15"/>
  <c r="Q16" i="15" s="1"/>
  <c r="N16" i="15"/>
  <c r="L16" i="15"/>
  <c r="K16" i="15"/>
  <c r="I16" i="15"/>
  <c r="H16" i="15"/>
  <c r="AO15" i="15"/>
  <c r="AD15" i="15"/>
  <c r="AB15" i="15"/>
  <c r="W15" i="15"/>
  <c r="V15" i="15"/>
  <c r="T15" i="15"/>
  <c r="S15" i="15"/>
  <c r="O15" i="15"/>
  <c r="Q15" i="15" s="1"/>
  <c r="N15" i="15"/>
  <c r="AG15" i="15" s="1"/>
  <c r="K15" i="15"/>
  <c r="Y15" i="15" s="1"/>
  <c r="Z15" i="15" s="1"/>
  <c r="I15" i="15"/>
  <c r="H15" i="15"/>
  <c r="AO14" i="15"/>
  <c r="AD14" i="15"/>
  <c r="AD31" i="15" s="1"/>
  <c r="AB14" i="15"/>
  <c r="AB31" i="15" s="1"/>
  <c r="Y14" i="15"/>
  <c r="Z14" i="15" s="1"/>
  <c r="V14" i="15"/>
  <c r="W14" i="15" s="1"/>
  <c r="T14" i="15"/>
  <c r="S14" i="15"/>
  <c r="O14" i="15"/>
  <c r="L14" i="15"/>
  <c r="K14" i="15"/>
  <c r="N14" i="15" s="1"/>
  <c r="AG14" i="15" s="1"/>
  <c r="I14" i="15"/>
  <c r="H14" i="15"/>
  <c r="AN12" i="15"/>
  <c r="AM12" i="15"/>
  <c r="AL12" i="15"/>
  <c r="AK12" i="15"/>
  <c r="AJ12" i="15"/>
  <c r="AH12" i="15"/>
  <c r="U12" i="15"/>
  <c r="U33" i="15" s="1"/>
  <c r="R12" i="15"/>
  <c r="P12" i="15"/>
  <c r="J12" i="15"/>
  <c r="J33" i="15" s="1"/>
  <c r="H12" i="15"/>
  <c r="G12" i="15"/>
  <c r="G33" i="15" s="1"/>
  <c r="F12" i="15"/>
  <c r="E12" i="15"/>
  <c r="D12" i="15"/>
  <c r="V12" i="15" s="1"/>
  <c r="AO11" i="15"/>
  <c r="AD11" i="15"/>
  <c r="AB11" i="15"/>
  <c r="Y11" i="15"/>
  <c r="Z11" i="15" s="1"/>
  <c r="V11" i="15"/>
  <c r="W11" i="15" s="1"/>
  <c r="T11" i="15"/>
  <c r="S11" i="15"/>
  <c r="O11" i="15"/>
  <c r="Q11" i="15" s="1"/>
  <c r="L11" i="15"/>
  <c r="K11" i="15"/>
  <c r="N11" i="15" s="1"/>
  <c r="AG11" i="15" s="1"/>
  <c r="I11" i="15"/>
  <c r="H11" i="15"/>
  <c r="AO10" i="15"/>
  <c r="AD10" i="15"/>
  <c r="AB10" i="15"/>
  <c r="V10" i="15"/>
  <c r="T10" i="15"/>
  <c r="S10" i="15"/>
  <c r="Q10" i="15"/>
  <c r="O10" i="15"/>
  <c r="K10" i="15"/>
  <c r="I10" i="15"/>
  <c r="H10" i="15"/>
  <c r="AO9" i="15"/>
  <c r="AD9" i="15"/>
  <c r="AB9" i="15"/>
  <c r="Y9" i="15"/>
  <c r="Z9" i="15" s="1"/>
  <c r="V9" i="15"/>
  <c r="T9" i="15"/>
  <c r="S9" i="15"/>
  <c r="W9" i="15" s="1"/>
  <c r="O9" i="15"/>
  <c r="Q9" i="15" s="1"/>
  <c r="L9" i="15"/>
  <c r="K9" i="15"/>
  <c r="N9" i="15" s="1"/>
  <c r="AG9" i="15" s="1"/>
  <c r="I9" i="15"/>
  <c r="H9" i="15"/>
  <c r="AO8" i="15"/>
  <c r="AD8" i="15"/>
  <c r="AB8" i="15"/>
  <c r="Z8" i="15"/>
  <c r="V8" i="15"/>
  <c r="W8" i="15" s="1"/>
  <c r="T8" i="15"/>
  <c r="S8" i="15"/>
  <c r="Y8" i="15" s="1"/>
  <c r="Q8" i="15"/>
  <c r="O8" i="15"/>
  <c r="N8" i="15"/>
  <c r="AG8" i="15" s="1"/>
  <c r="L8" i="15"/>
  <c r="K8" i="15"/>
  <c r="I8" i="15"/>
  <c r="H8" i="15"/>
  <c r="AO7" i="15"/>
  <c r="AD7" i="15"/>
  <c r="AB7" i="15"/>
  <c r="AB12" i="15" s="1"/>
  <c r="W7" i="15"/>
  <c r="V7" i="15"/>
  <c r="T7" i="15"/>
  <c r="S7" i="15"/>
  <c r="O7" i="15"/>
  <c r="Q7" i="15" s="1"/>
  <c r="K7" i="15"/>
  <c r="I7" i="15"/>
  <c r="H7" i="15"/>
  <c r="AO6" i="15"/>
  <c r="AD6" i="15"/>
  <c r="AB6" i="15"/>
  <c r="W6" i="15"/>
  <c r="V6" i="15"/>
  <c r="T6" i="15"/>
  <c r="S6" i="15"/>
  <c r="Q6" i="15"/>
  <c r="O6" i="15"/>
  <c r="L6" i="15"/>
  <c r="K6" i="15"/>
  <c r="N6" i="15" s="1"/>
  <c r="AG6" i="15" s="1"/>
  <c r="I6" i="15"/>
  <c r="H6" i="15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J33" i="14"/>
  <c r="E33" i="14"/>
  <c r="AN31" i="14"/>
  <c r="AM31" i="14"/>
  <c r="AL31" i="14"/>
  <c r="AK31" i="14"/>
  <c r="AJ31" i="14"/>
  <c r="AH31" i="14"/>
  <c r="AI31" i="14" s="1"/>
  <c r="AB31" i="14"/>
  <c r="V31" i="14"/>
  <c r="U31" i="14"/>
  <c r="S31" i="14"/>
  <c r="R31" i="14"/>
  <c r="X31" i="14" s="1"/>
  <c r="P31" i="14"/>
  <c r="J31" i="14"/>
  <c r="H31" i="14"/>
  <c r="G31" i="14"/>
  <c r="F31" i="14"/>
  <c r="E31" i="14"/>
  <c r="D31" i="14"/>
  <c r="AO30" i="14"/>
  <c r="AD30" i="14"/>
  <c r="AB30" i="14"/>
  <c r="Y30" i="14"/>
  <c r="Z30" i="14" s="1"/>
  <c r="V30" i="14"/>
  <c r="W30" i="14" s="1"/>
  <c r="T30" i="14"/>
  <c r="S30" i="14"/>
  <c r="O30" i="14"/>
  <c r="Q30" i="14" s="1"/>
  <c r="L30" i="14"/>
  <c r="K30" i="14"/>
  <c r="N30" i="14" s="1"/>
  <c r="AG30" i="14" s="1"/>
  <c r="I30" i="14"/>
  <c r="H30" i="14"/>
  <c r="AO29" i="14"/>
  <c r="AD29" i="14"/>
  <c r="AB29" i="14"/>
  <c r="W29" i="14"/>
  <c r="V29" i="14"/>
  <c r="T29" i="14"/>
  <c r="S29" i="14"/>
  <c r="Y29" i="14" s="1"/>
  <c r="Z29" i="14" s="1"/>
  <c r="Q29" i="14"/>
  <c r="O29" i="14"/>
  <c r="K29" i="14"/>
  <c r="I29" i="14"/>
  <c r="H29" i="14"/>
  <c r="AO28" i="14"/>
  <c r="AG28" i="14"/>
  <c r="AD28" i="14"/>
  <c r="AB28" i="14"/>
  <c r="V28" i="14"/>
  <c r="T28" i="14"/>
  <c r="S28" i="14"/>
  <c r="W28" i="14" s="1"/>
  <c r="O28" i="14"/>
  <c r="Q28" i="14" s="1"/>
  <c r="N28" i="14"/>
  <c r="L28" i="14"/>
  <c r="K28" i="14"/>
  <c r="I28" i="14"/>
  <c r="H28" i="14"/>
  <c r="AO27" i="14"/>
  <c r="AD27" i="14"/>
  <c r="AB27" i="14"/>
  <c r="V27" i="14"/>
  <c r="W27" i="14" s="1"/>
  <c r="T27" i="14"/>
  <c r="S27" i="14"/>
  <c r="Y27" i="14" s="1"/>
  <c r="Z27" i="14" s="1"/>
  <c r="Q27" i="14"/>
  <c r="O27" i="14"/>
  <c r="N27" i="14"/>
  <c r="AG27" i="14" s="1"/>
  <c r="L27" i="14"/>
  <c r="K27" i="14"/>
  <c r="I27" i="14"/>
  <c r="H27" i="14"/>
  <c r="AO26" i="14"/>
  <c r="AD26" i="14"/>
  <c r="AB26" i="14"/>
  <c r="V26" i="14"/>
  <c r="W26" i="14" s="1"/>
  <c r="T26" i="14"/>
  <c r="S26" i="14"/>
  <c r="O26" i="14"/>
  <c r="Q26" i="14" s="1"/>
  <c r="K26" i="14"/>
  <c r="I26" i="14"/>
  <c r="H26" i="14"/>
  <c r="AO25" i="14"/>
  <c r="AD25" i="14"/>
  <c r="AB25" i="14"/>
  <c r="W25" i="14"/>
  <c r="V25" i="14"/>
  <c r="T25" i="14"/>
  <c r="S25" i="14"/>
  <c r="Q25" i="14"/>
  <c r="O25" i="14"/>
  <c r="K25" i="14"/>
  <c r="N25" i="14" s="1"/>
  <c r="AG25" i="14" s="1"/>
  <c r="I25" i="14"/>
  <c r="H25" i="14"/>
  <c r="AO24" i="14"/>
  <c r="AD24" i="14"/>
  <c r="AB24" i="14"/>
  <c r="Y24" i="14"/>
  <c r="Z24" i="14" s="1"/>
  <c r="V24" i="14"/>
  <c r="W24" i="14" s="1"/>
  <c r="T24" i="14"/>
  <c r="S24" i="14"/>
  <c r="Q24" i="14"/>
  <c r="O24" i="14"/>
  <c r="N24" i="14"/>
  <c r="AG24" i="14" s="1"/>
  <c r="L24" i="14"/>
  <c r="K24" i="14"/>
  <c r="I24" i="14"/>
  <c r="H24" i="14"/>
  <c r="AO23" i="14"/>
  <c r="AD23" i="14"/>
  <c r="AB23" i="14"/>
  <c r="Z23" i="14"/>
  <c r="W23" i="14"/>
  <c r="V23" i="14"/>
  <c r="T23" i="14"/>
  <c r="S23" i="14"/>
  <c r="O23" i="14"/>
  <c r="Q23" i="14" s="1"/>
  <c r="N23" i="14"/>
  <c r="AG23" i="14" s="1"/>
  <c r="K23" i="14"/>
  <c r="Y23" i="14" s="1"/>
  <c r="I23" i="14"/>
  <c r="H23" i="14"/>
  <c r="AO22" i="14"/>
  <c r="AD22" i="14"/>
  <c r="AB22" i="14"/>
  <c r="Y22" i="14"/>
  <c r="Z22" i="14" s="1"/>
  <c r="V22" i="14"/>
  <c r="W22" i="14" s="1"/>
  <c r="T22" i="14"/>
  <c r="S22" i="14"/>
  <c r="O22" i="14"/>
  <c r="Q22" i="14" s="1"/>
  <c r="L22" i="14"/>
  <c r="K22" i="14"/>
  <c r="N22" i="14" s="1"/>
  <c r="AG22" i="14" s="1"/>
  <c r="I22" i="14"/>
  <c r="H22" i="14"/>
  <c r="AO21" i="14"/>
  <c r="AD21" i="14"/>
  <c r="AB21" i="14"/>
  <c r="V21" i="14"/>
  <c r="T21" i="14"/>
  <c r="S21" i="14"/>
  <c r="Y21" i="14" s="1"/>
  <c r="Z21" i="14" s="1"/>
  <c r="Q21" i="14"/>
  <c r="O21" i="14"/>
  <c r="K21" i="14"/>
  <c r="I21" i="14"/>
  <c r="H21" i="14"/>
  <c r="AO20" i="14"/>
  <c r="AD20" i="14"/>
  <c r="AB20" i="14"/>
  <c r="Y20" i="14"/>
  <c r="Z20" i="14" s="1"/>
  <c r="V20" i="14"/>
  <c r="T20" i="14"/>
  <c r="S20" i="14"/>
  <c r="W20" i="14" s="1"/>
  <c r="O20" i="14"/>
  <c r="Q20" i="14" s="1"/>
  <c r="L20" i="14"/>
  <c r="K20" i="14"/>
  <c r="N20" i="14" s="1"/>
  <c r="AG20" i="14" s="1"/>
  <c r="I20" i="14"/>
  <c r="H20" i="14"/>
  <c r="AO19" i="14"/>
  <c r="AD19" i="14"/>
  <c r="AB19" i="14"/>
  <c r="V19" i="14"/>
  <c r="W19" i="14" s="1"/>
  <c r="T19" i="14"/>
  <c r="S19" i="14"/>
  <c r="Y19" i="14" s="1"/>
  <c r="Z19" i="14" s="1"/>
  <c r="Q19" i="14"/>
  <c r="O19" i="14"/>
  <c r="N19" i="14"/>
  <c r="AG19" i="14" s="1"/>
  <c r="L19" i="14"/>
  <c r="K19" i="14"/>
  <c r="I19" i="14"/>
  <c r="H19" i="14"/>
  <c r="AO18" i="14"/>
  <c r="AD18" i="14"/>
  <c r="AB18" i="14"/>
  <c r="W18" i="14"/>
  <c r="V18" i="14"/>
  <c r="T18" i="14"/>
  <c r="S18" i="14"/>
  <c r="O18" i="14"/>
  <c r="Q18" i="14" s="1"/>
  <c r="K18" i="14"/>
  <c r="I18" i="14"/>
  <c r="H18" i="14"/>
  <c r="AO17" i="14"/>
  <c r="AD17" i="14"/>
  <c r="AB17" i="14"/>
  <c r="W17" i="14"/>
  <c r="V17" i="14"/>
  <c r="T17" i="14"/>
  <c r="S17" i="14"/>
  <c r="Q17" i="14"/>
  <c r="O17" i="14"/>
  <c r="L17" i="14"/>
  <c r="K17" i="14"/>
  <c r="N17" i="14" s="1"/>
  <c r="AG17" i="14" s="1"/>
  <c r="I17" i="14"/>
  <c r="H17" i="14"/>
  <c r="AO16" i="14"/>
  <c r="AD16" i="14"/>
  <c r="AB16" i="14"/>
  <c r="V16" i="14"/>
  <c r="T16" i="14"/>
  <c r="S16" i="14"/>
  <c r="Y16" i="14" s="1"/>
  <c r="Z16" i="14" s="1"/>
  <c r="Q16" i="14"/>
  <c r="O16" i="14"/>
  <c r="N16" i="14"/>
  <c r="AG16" i="14" s="1"/>
  <c r="L16" i="14"/>
  <c r="K16" i="14"/>
  <c r="I16" i="14"/>
  <c r="H16" i="14"/>
  <c r="AO15" i="14"/>
  <c r="AD15" i="14"/>
  <c r="AB15" i="14"/>
  <c r="W15" i="14"/>
  <c r="V15" i="14"/>
  <c r="T15" i="14"/>
  <c r="S15" i="14"/>
  <c r="Y15" i="14" s="1"/>
  <c r="Z15" i="14" s="1"/>
  <c r="O15" i="14"/>
  <c r="Q15" i="14" s="1"/>
  <c r="K15" i="14"/>
  <c r="L15" i="14" s="1"/>
  <c r="I15" i="14"/>
  <c r="H15" i="14"/>
  <c r="AO14" i="14"/>
  <c r="AD14" i="14"/>
  <c r="AB14" i="14"/>
  <c r="Y14" i="14"/>
  <c r="Z14" i="14" s="1"/>
  <c r="V14" i="14"/>
  <c r="W14" i="14" s="1"/>
  <c r="T14" i="14"/>
  <c r="S14" i="14"/>
  <c r="Q14" i="14"/>
  <c r="O14" i="14"/>
  <c r="L14" i="14"/>
  <c r="K14" i="14"/>
  <c r="N14" i="14" s="1"/>
  <c r="AG14" i="14" s="1"/>
  <c r="I14" i="14"/>
  <c r="H14" i="14"/>
  <c r="AN12" i="14"/>
  <c r="AM12" i="14"/>
  <c r="AL12" i="14"/>
  <c r="AK12" i="14"/>
  <c r="AJ12" i="14"/>
  <c r="AH12" i="14"/>
  <c r="AB12" i="14"/>
  <c r="U12" i="14"/>
  <c r="U33" i="14" s="1"/>
  <c r="R12" i="14"/>
  <c r="R33" i="14" s="1"/>
  <c r="P12" i="14"/>
  <c r="J12" i="14"/>
  <c r="G12" i="14"/>
  <c r="G33" i="14" s="1"/>
  <c r="F12" i="14"/>
  <c r="E12" i="14"/>
  <c r="D12" i="14"/>
  <c r="V12" i="14" s="1"/>
  <c r="AO11" i="14"/>
  <c r="AD11" i="14"/>
  <c r="AB11" i="14"/>
  <c r="Y11" i="14"/>
  <c r="Z11" i="14" s="1"/>
  <c r="V11" i="14"/>
  <c r="W11" i="14" s="1"/>
  <c r="T11" i="14"/>
  <c r="S11" i="14"/>
  <c r="O11" i="14"/>
  <c r="Q11" i="14" s="1"/>
  <c r="L11" i="14"/>
  <c r="K11" i="14"/>
  <c r="N11" i="14" s="1"/>
  <c r="AG11" i="14" s="1"/>
  <c r="I11" i="14"/>
  <c r="H11" i="14"/>
  <c r="AO10" i="14"/>
  <c r="AD10" i="14"/>
  <c r="AB10" i="14"/>
  <c r="V10" i="14"/>
  <c r="T10" i="14"/>
  <c r="S10" i="14"/>
  <c r="Q10" i="14"/>
  <c r="O10" i="14"/>
  <c r="K10" i="14"/>
  <c r="I10" i="14"/>
  <c r="H10" i="14"/>
  <c r="AO9" i="14"/>
  <c r="AG9" i="14"/>
  <c r="AD9" i="14"/>
  <c r="AB9" i="14"/>
  <c r="Y9" i="14"/>
  <c r="Z9" i="14" s="1"/>
  <c r="V9" i="14"/>
  <c r="T9" i="14"/>
  <c r="S9" i="14"/>
  <c r="W9" i="14" s="1"/>
  <c r="O9" i="14"/>
  <c r="Q9" i="14" s="1"/>
  <c r="L9" i="14"/>
  <c r="K9" i="14"/>
  <c r="N9" i="14" s="1"/>
  <c r="I9" i="14"/>
  <c r="H9" i="14"/>
  <c r="AO8" i="14"/>
  <c r="AD8" i="14"/>
  <c r="AB8" i="14"/>
  <c r="Z8" i="14"/>
  <c r="Y8" i="14"/>
  <c r="V8" i="14"/>
  <c r="W8" i="14" s="1"/>
  <c r="T8" i="14"/>
  <c r="S8" i="14"/>
  <c r="Q8" i="14"/>
  <c r="O8" i="14"/>
  <c r="N8" i="14"/>
  <c r="AG8" i="14" s="1"/>
  <c r="L8" i="14"/>
  <c r="K8" i="14"/>
  <c r="I8" i="14"/>
  <c r="H8" i="14"/>
  <c r="AO7" i="14"/>
  <c r="AD7" i="14"/>
  <c r="AB7" i="14"/>
  <c r="V7" i="14"/>
  <c r="W7" i="14" s="1"/>
  <c r="T7" i="14"/>
  <c r="S7" i="14"/>
  <c r="O7" i="14"/>
  <c r="Q7" i="14" s="1"/>
  <c r="K7" i="14"/>
  <c r="I7" i="14"/>
  <c r="H7" i="14"/>
  <c r="AO6" i="14"/>
  <c r="AD6" i="14"/>
  <c r="AB6" i="14"/>
  <c r="W6" i="14"/>
  <c r="V6" i="14"/>
  <c r="T6" i="14"/>
  <c r="S6" i="14"/>
  <c r="Q6" i="14"/>
  <c r="O6" i="14"/>
  <c r="K6" i="14"/>
  <c r="N6" i="14" s="1"/>
  <c r="AG6" i="14" s="1"/>
  <c r="I6" i="14"/>
  <c r="H6" i="14"/>
  <c r="AD68" i="13"/>
  <c r="AC68" i="13"/>
  <c r="AB68" i="13"/>
  <c r="AA68" i="13"/>
  <c r="Z68" i="13"/>
  <c r="Y68" i="13"/>
  <c r="X68" i="13"/>
  <c r="W68" i="13"/>
  <c r="V68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E33" i="13"/>
  <c r="AN31" i="13"/>
  <c r="AM31" i="13"/>
  <c r="AL31" i="13"/>
  <c r="AK31" i="13"/>
  <c r="AJ31" i="13"/>
  <c r="AH31" i="13"/>
  <c r="AI31" i="13" s="1"/>
  <c r="X31" i="13"/>
  <c r="U31" i="13"/>
  <c r="V31" i="13" s="1"/>
  <c r="W31" i="13" s="1"/>
  <c r="R31" i="13"/>
  <c r="M31" i="13"/>
  <c r="J31" i="13"/>
  <c r="T31" i="13" s="1"/>
  <c r="G31" i="13"/>
  <c r="H31" i="13" s="1"/>
  <c r="F31" i="13"/>
  <c r="E31" i="13"/>
  <c r="P31" i="13" s="1"/>
  <c r="D31" i="13"/>
  <c r="S31" i="13" s="1"/>
  <c r="AO30" i="13"/>
  <c r="AD30" i="13"/>
  <c r="AB30" i="13"/>
  <c r="V30" i="13"/>
  <c r="W30" i="13" s="1"/>
  <c r="T30" i="13"/>
  <c r="S30" i="13"/>
  <c r="Q30" i="13"/>
  <c r="O30" i="13"/>
  <c r="K30" i="13"/>
  <c r="N30" i="13" s="1"/>
  <c r="AG30" i="13" s="1"/>
  <c r="I30" i="13"/>
  <c r="H30" i="13"/>
  <c r="AO29" i="13"/>
  <c r="AD29" i="13"/>
  <c r="AB29" i="13"/>
  <c r="V29" i="13"/>
  <c r="W29" i="13" s="1"/>
  <c r="T29" i="13"/>
  <c r="S29" i="13"/>
  <c r="O29" i="13"/>
  <c r="Q29" i="13" s="1"/>
  <c r="K29" i="13"/>
  <c r="N29" i="13" s="1"/>
  <c r="AG29" i="13" s="1"/>
  <c r="I29" i="13"/>
  <c r="H29" i="13"/>
  <c r="AO28" i="13"/>
  <c r="AD28" i="13"/>
  <c r="AB28" i="13"/>
  <c r="W28" i="13"/>
  <c r="V28" i="13"/>
  <c r="T28" i="13"/>
  <c r="S28" i="13"/>
  <c r="Q28" i="13"/>
  <c r="O28" i="13"/>
  <c r="K28" i="13"/>
  <c r="I28" i="13"/>
  <c r="H28" i="13"/>
  <c r="AO27" i="13"/>
  <c r="AD27" i="13"/>
  <c r="AB27" i="13"/>
  <c r="Y27" i="13"/>
  <c r="Z27" i="13" s="1"/>
  <c r="V27" i="13"/>
  <c r="W27" i="13" s="1"/>
  <c r="T27" i="13"/>
  <c r="S27" i="13"/>
  <c r="O27" i="13"/>
  <c r="Q27" i="13" s="1"/>
  <c r="N27" i="13"/>
  <c r="AG27" i="13" s="1"/>
  <c r="L27" i="13"/>
  <c r="K27" i="13"/>
  <c r="I27" i="13"/>
  <c r="H27" i="13"/>
  <c r="AO26" i="13"/>
  <c r="AD26" i="13"/>
  <c r="AB26" i="13"/>
  <c r="W26" i="13"/>
  <c r="V26" i="13"/>
  <c r="T26" i="13"/>
  <c r="S26" i="13"/>
  <c r="Y26" i="13" s="1"/>
  <c r="Z26" i="13" s="1"/>
  <c r="O26" i="13"/>
  <c r="Q26" i="13" s="1"/>
  <c r="N26" i="13"/>
  <c r="AG26" i="13" s="1"/>
  <c r="K26" i="13"/>
  <c r="L26" i="13" s="1"/>
  <c r="I26" i="13"/>
  <c r="H26" i="13"/>
  <c r="AO25" i="13"/>
  <c r="AD25" i="13"/>
  <c r="AB25" i="13"/>
  <c r="V25" i="13"/>
  <c r="W25" i="13" s="1"/>
  <c r="T25" i="13"/>
  <c r="S25" i="13"/>
  <c r="Y25" i="13" s="1"/>
  <c r="Z25" i="13" s="1"/>
  <c r="O25" i="13"/>
  <c r="Q25" i="13" s="1"/>
  <c r="L25" i="13"/>
  <c r="K25" i="13"/>
  <c r="N25" i="13" s="1"/>
  <c r="AG25" i="13" s="1"/>
  <c r="I25" i="13"/>
  <c r="H25" i="13"/>
  <c r="AO24" i="13"/>
  <c r="AD24" i="13"/>
  <c r="AB24" i="13"/>
  <c r="V24" i="13"/>
  <c r="T24" i="13"/>
  <c r="S24" i="13"/>
  <c r="Y24" i="13" s="1"/>
  <c r="Z24" i="13" s="1"/>
  <c r="Q24" i="13"/>
  <c r="O24" i="13"/>
  <c r="K24" i="13"/>
  <c r="N24" i="13" s="1"/>
  <c r="AG24" i="13" s="1"/>
  <c r="I24" i="13"/>
  <c r="H24" i="13"/>
  <c r="AO23" i="13"/>
  <c r="AD23" i="13"/>
  <c r="AB23" i="13"/>
  <c r="V23" i="13"/>
  <c r="W23" i="13" s="1"/>
  <c r="T23" i="13"/>
  <c r="S23" i="13"/>
  <c r="Y23" i="13" s="1"/>
  <c r="Z23" i="13" s="1"/>
  <c r="O23" i="13"/>
  <c r="Q23" i="13" s="1"/>
  <c r="L23" i="13"/>
  <c r="K23" i="13"/>
  <c r="N23" i="13" s="1"/>
  <c r="AG23" i="13" s="1"/>
  <c r="I23" i="13"/>
  <c r="H23" i="13"/>
  <c r="AO22" i="13"/>
  <c r="AD22" i="13"/>
  <c r="AB22" i="13"/>
  <c r="V22" i="13"/>
  <c r="W22" i="13" s="1"/>
  <c r="T22" i="13"/>
  <c r="S22" i="13"/>
  <c r="Q22" i="13"/>
  <c r="O22" i="13"/>
  <c r="K22" i="13"/>
  <c r="N22" i="13" s="1"/>
  <c r="AG22" i="13" s="1"/>
  <c r="I22" i="13"/>
  <c r="H22" i="13"/>
  <c r="AO21" i="13"/>
  <c r="AD21" i="13"/>
  <c r="AB21" i="13"/>
  <c r="V21" i="13"/>
  <c r="W21" i="13" s="1"/>
  <c r="T21" i="13"/>
  <c r="S21" i="13"/>
  <c r="O21" i="13"/>
  <c r="Q21" i="13" s="1"/>
  <c r="K21" i="13"/>
  <c r="N21" i="13" s="1"/>
  <c r="AG21" i="13" s="1"/>
  <c r="I21" i="13"/>
  <c r="H21" i="13"/>
  <c r="AO20" i="13"/>
  <c r="AD20" i="13"/>
  <c r="AB20" i="13"/>
  <c r="W20" i="13"/>
  <c r="V20" i="13"/>
  <c r="T20" i="13"/>
  <c r="S20" i="13"/>
  <c r="Q20" i="13"/>
  <c r="O20" i="13"/>
  <c r="K20" i="13"/>
  <c r="I20" i="13"/>
  <c r="H20" i="13"/>
  <c r="AO19" i="13"/>
  <c r="AD19" i="13"/>
  <c r="AB19" i="13"/>
  <c r="Y19" i="13"/>
  <c r="Z19" i="13" s="1"/>
  <c r="V19" i="13"/>
  <c r="W19" i="13" s="1"/>
  <c r="T19" i="13"/>
  <c r="S19" i="13"/>
  <c r="O19" i="13"/>
  <c r="Q19" i="13" s="1"/>
  <c r="N19" i="13"/>
  <c r="AG19" i="13" s="1"/>
  <c r="L19" i="13"/>
  <c r="K19" i="13"/>
  <c r="I19" i="13"/>
  <c r="H19" i="13"/>
  <c r="AO18" i="13"/>
  <c r="AD18" i="13"/>
  <c r="AB18" i="13"/>
  <c r="Z18" i="13"/>
  <c r="W18" i="13"/>
  <c r="V18" i="13"/>
  <c r="T18" i="13"/>
  <c r="S18" i="13"/>
  <c r="Y18" i="13" s="1"/>
  <c r="O18" i="13"/>
  <c r="Q18" i="13" s="1"/>
  <c r="N18" i="13"/>
  <c r="AG18" i="13" s="1"/>
  <c r="K18" i="13"/>
  <c r="L18" i="13" s="1"/>
  <c r="I18" i="13"/>
  <c r="H18" i="13"/>
  <c r="AO17" i="13"/>
  <c r="AG17" i="13"/>
  <c r="AD17" i="13"/>
  <c r="AB17" i="13"/>
  <c r="V17" i="13"/>
  <c r="W17" i="13" s="1"/>
  <c r="T17" i="13"/>
  <c r="S17" i="13"/>
  <c r="Y17" i="13" s="1"/>
  <c r="Z17" i="13" s="1"/>
  <c r="O17" i="13"/>
  <c r="Q17" i="13" s="1"/>
  <c r="L17" i="13"/>
  <c r="K17" i="13"/>
  <c r="N17" i="13" s="1"/>
  <c r="I17" i="13"/>
  <c r="H17" i="13"/>
  <c r="AO16" i="13"/>
  <c r="AD16" i="13"/>
  <c r="AB16" i="13"/>
  <c r="V16" i="13"/>
  <c r="T16" i="13"/>
  <c r="S16" i="13"/>
  <c r="Y16" i="13" s="1"/>
  <c r="Z16" i="13" s="1"/>
  <c r="Q16" i="13"/>
  <c r="O16" i="13"/>
  <c r="K16" i="13"/>
  <c r="N16" i="13" s="1"/>
  <c r="AG16" i="13" s="1"/>
  <c r="I16" i="13"/>
  <c r="H16" i="13"/>
  <c r="AO15" i="13"/>
  <c r="AD15" i="13"/>
  <c r="AB15" i="13"/>
  <c r="V15" i="13"/>
  <c r="T15" i="13"/>
  <c r="S15" i="13"/>
  <c r="Y15" i="13" s="1"/>
  <c r="Z15" i="13" s="1"/>
  <c r="O15" i="13"/>
  <c r="Q15" i="13" s="1"/>
  <c r="L15" i="13"/>
  <c r="K15" i="13"/>
  <c r="N15" i="13" s="1"/>
  <c r="AG15" i="13" s="1"/>
  <c r="I15" i="13"/>
  <c r="H15" i="13"/>
  <c r="AO14" i="13"/>
  <c r="AD14" i="13"/>
  <c r="AD31" i="13" s="1"/>
  <c r="AB14" i="13"/>
  <c r="V14" i="13"/>
  <c r="W14" i="13" s="1"/>
  <c r="T14" i="13"/>
  <c r="S14" i="13"/>
  <c r="Q14" i="13"/>
  <c r="O14" i="13"/>
  <c r="N14" i="13"/>
  <c r="AG14" i="13" s="1"/>
  <c r="K14" i="13"/>
  <c r="Y14" i="13" s="1"/>
  <c r="Z14" i="13" s="1"/>
  <c r="I14" i="13"/>
  <c r="H14" i="13"/>
  <c r="AN12" i="13"/>
  <c r="AM12" i="13"/>
  <c r="AL12" i="13"/>
  <c r="AK12" i="13"/>
  <c r="AJ12" i="13"/>
  <c r="AH12" i="13"/>
  <c r="X12" i="13"/>
  <c r="U12" i="13"/>
  <c r="R12" i="13"/>
  <c r="R33" i="13" s="1"/>
  <c r="P12" i="13"/>
  <c r="M12" i="13"/>
  <c r="J12" i="13"/>
  <c r="T12" i="13" s="1"/>
  <c r="G12" i="13"/>
  <c r="H12" i="13" s="1"/>
  <c r="F12" i="13"/>
  <c r="E12" i="13"/>
  <c r="D12" i="13"/>
  <c r="S12" i="13" s="1"/>
  <c r="AO11" i="13"/>
  <c r="AD11" i="13"/>
  <c r="AB11" i="13"/>
  <c r="Y11" i="13"/>
  <c r="Z11" i="13" s="1"/>
  <c r="V11" i="13"/>
  <c r="W11" i="13" s="1"/>
  <c r="T11" i="13"/>
  <c r="S11" i="13"/>
  <c r="Q11" i="13"/>
  <c r="O11" i="13"/>
  <c r="L11" i="13"/>
  <c r="K11" i="13"/>
  <c r="N11" i="13" s="1"/>
  <c r="AG11" i="13" s="1"/>
  <c r="I11" i="13"/>
  <c r="H11" i="13"/>
  <c r="AO10" i="13"/>
  <c r="AD10" i="13"/>
  <c r="AB10" i="13"/>
  <c r="V10" i="13"/>
  <c r="W10" i="13" s="1"/>
  <c r="T10" i="13"/>
  <c r="S10" i="13"/>
  <c r="O10" i="13"/>
  <c r="Q10" i="13" s="1"/>
  <c r="K10" i="13"/>
  <c r="N10" i="13" s="1"/>
  <c r="AG10" i="13" s="1"/>
  <c r="I10" i="13"/>
  <c r="H10" i="13"/>
  <c r="AO9" i="13"/>
  <c r="AD9" i="13"/>
  <c r="AB9" i="13"/>
  <c r="W9" i="13"/>
  <c r="V9" i="13"/>
  <c r="T9" i="13"/>
  <c r="S9" i="13"/>
  <c r="O9" i="13"/>
  <c r="Q9" i="13" s="1"/>
  <c r="K9" i="13"/>
  <c r="I9" i="13"/>
  <c r="H9" i="13"/>
  <c r="AO8" i="13"/>
  <c r="AD8" i="13"/>
  <c r="AB8" i="13"/>
  <c r="Y8" i="13"/>
  <c r="Z8" i="13" s="1"/>
  <c r="V8" i="13"/>
  <c r="W8" i="13" s="1"/>
  <c r="T8" i="13"/>
  <c r="S8" i="13"/>
  <c r="Q8" i="13"/>
  <c r="O8" i="13"/>
  <c r="N8" i="13"/>
  <c r="AG8" i="13" s="1"/>
  <c r="L8" i="13"/>
  <c r="K8" i="13"/>
  <c r="I8" i="13"/>
  <c r="H8" i="13"/>
  <c r="AO7" i="13"/>
  <c r="AD7" i="13"/>
  <c r="AB7" i="13"/>
  <c r="V7" i="13"/>
  <c r="T7" i="13"/>
  <c r="S7" i="13"/>
  <c r="Y7" i="13" s="1"/>
  <c r="Z7" i="13" s="1"/>
  <c r="O7" i="13"/>
  <c r="Q7" i="13" s="1"/>
  <c r="N7" i="13"/>
  <c r="AG7" i="13" s="1"/>
  <c r="K7" i="13"/>
  <c r="L7" i="13" s="1"/>
  <c r="I7" i="13"/>
  <c r="H7" i="13"/>
  <c r="AO6" i="13"/>
  <c r="AD6" i="13"/>
  <c r="AD12" i="13" s="1"/>
  <c r="AB6" i="13"/>
  <c r="V6" i="13"/>
  <c r="W6" i="13" s="1"/>
  <c r="T6" i="13"/>
  <c r="S6" i="13"/>
  <c r="Y6" i="13" s="1"/>
  <c r="Z6" i="13" s="1"/>
  <c r="O6" i="13"/>
  <c r="Q6" i="13" s="1"/>
  <c r="L6" i="13"/>
  <c r="K6" i="13"/>
  <c r="N6" i="13" s="1"/>
  <c r="AG6" i="13" s="1"/>
  <c r="I6" i="13"/>
  <c r="H6" i="13"/>
  <c r="AD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M69" i="12"/>
  <c r="L69" i="12"/>
  <c r="K69" i="12"/>
  <c r="J69" i="12"/>
  <c r="I69" i="12"/>
  <c r="H69" i="12"/>
  <c r="G69" i="12"/>
  <c r="F69" i="12"/>
  <c r="E69" i="12"/>
  <c r="D69" i="12"/>
  <c r="E33" i="12"/>
  <c r="AN31" i="12"/>
  <c r="AM31" i="12"/>
  <c r="AL31" i="12"/>
  <c r="AK31" i="12"/>
  <c r="AJ31" i="12"/>
  <c r="AH31" i="12"/>
  <c r="AI31" i="12" s="1"/>
  <c r="X31" i="12"/>
  <c r="U31" i="12"/>
  <c r="V31" i="12" s="1"/>
  <c r="R31" i="12"/>
  <c r="P31" i="12"/>
  <c r="M31" i="12"/>
  <c r="J31" i="12"/>
  <c r="T31" i="12" s="1"/>
  <c r="G31" i="12"/>
  <c r="H31" i="12" s="1"/>
  <c r="F31" i="12"/>
  <c r="AB31" i="12" s="1"/>
  <c r="E31" i="12"/>
  <c r="D31" i="12"/>
  <c r="S31" i="12" s="1"/>
  <c r="AO30" i="12"/>
  <c r="AD30" i="12"/>
  <c r="AB30" i="12"/>
  <c r="Y30" i="12"/>
  <c r="Z30" i="12" s="1"/>
  <c r="V30" i="12"/>
  <c r="W30" i="12" s="1"/>
  <c r="T30" i="12"/>
  <c r="S30" i="12"/>
  <c r="Q30" i="12"/>
  <c r="O30" i="12"/>
  <c r="L30" i="12"/>
  <c r="K30" i="12"/>
  <c r="N30" i="12" s="1"/>
  <c r="AG30" i="12" s="1"/>
  <c r="I30" i="12"/>
  <c r="H30" i="12"/>
  <c r="AO29" i="12"/>
  <c r="AD29" i="12"/>
  <c r="AB29" i="12"/>
  <c r="V29" i="12"/>
  <c r="W29" i="12" s="1"/>
  <c r="T29" i="12"/>
  <c r="S29" i="12"/>
  <c r="O29" i="12"/>
  <c r="Q29" i="12" s="1"/>
  <c r="K29" i="12"/>
  <c r="N29" i="12" s="1"/>
  <c r="AG29" i="12" s="1"/>
  <c r="I29" i="12"/>
  <c r="H29" i="12"/>
  <c r="AO28" i="12"/>
  <c r="AD28" i="12"/>
  <c r="AB28" i="12"/>
  <c r="W28" i="12"/>
  <c r="V28" i="12"/>
  <c r="T28" i="12"/>
  <c r="S28" i="12"/>
  <c r="O28" i="12"/>
  <c r="Q28" i="12" s="1"/>
  <c r="K28" i="12"/>
  <c r="I28" i="12"/>
  <c r="H28" i="12"/>
  <c r="AO27" i="12"/>
  <c r="AD27" i="12"/>
  <c r="AB27" i="12"/>
  <c r="Y27" i="12"/>
  <c r="Z27" i="12" s="1"/>
  <c r="V27" i="12"/>
  <c r="W27" i="12" s="1"/>
  <c r="T27" i="12"/>
  <c r="S27" i="12"/>
  <c r="Q27" i="12"/>
  <c r="O27" i="12"/>
  <c r="N27" i="12"/>
  <c r="AG27" i="12" s="1"/>
  <c r="L27" i="12"/>
  <c r="K27" i="12"/>
  <c r="I27" i="12"/>
  <c r="H27" i="12"/>
  <c r="AO26" i="12"/>
  <c r="AD26" i="12"/>
  <c r="AB26" i="12"/>
  <c r="V26" i="12"/>
  <c r="T26" i="12"/>
  <c r="S26" i="12"/>
  <c r="Y26" i="12" s="1"/>
  <c r="Z26" i="12" s="1"/>
  <c r="O26" i="12"/>
  <c r="Q26" i="12" s="1"/>
  <c r="N26" i="12"/>
  <c r="AG26" i="12" s="1"/>
  <c r="K26" i="12"/>
  <c r="L26" i="12" s="1"/>
  <c r="I26" i="12"/>
  <c r="H26" i="12"/>
  <c r="AO25" i="12"/>
  <c r="AD25" i="12"/>
  <c r="AB25" i="12"/>
  <c r="V25" i="12"/>
  <c r="W25" i="12" s="1"/>
  <c r="T25" i="12"/>
  <c r="S25" i="12"/>
  <c r="Y25" i="12" s="1"/>
  <c r="Z25" i="12" s="1"/>
  <c r="O25" i="12"/>
  <c r="Q25" i="12" s="1"/>
  <c r="L25" i="12"/>
  <c r="K25" i="12"/>
  <c r="N25" i="12" s="1"/>
  <c r="AG25" i="12" s="1"/>
  <c r="I25" i="12"/>
  <c r="H25" i="12"/>
  <c r="AO24" i="12"/>
  <c r="AD24" i="12"/>
  <c r="AB24" i="12"/>
  <c r="V24" i="12"/>
  <c r="W24" i="12" s="1"/>
  <c r="T24" i="12"/>
  <c r="S24" i="12"/>
  <c r="Y24" i="12" s="1"/>
  <c r="Z24" i="12" s="1"/>
  <c r="Q24" i="12"/>
  <c r="O24" i="12"/>
  <c r="K24" i="12"/>
  <c r="N24" i="12" s="1"/>
  <c r="AG24" i="12" s="1"/>
  <c r="I24" i="12"/>
  <c r="H24" i="12"/>
  <c r="AO23" i="12"/>
  <c r="AD23" i="12"/>
  <c r="AB23" i="12"/>
  <c r="V23" i="12"/>
  <c r="T23" i="12"/>
  <c r="S23" i="12"/>
  <c r="O23" i="12"/>
  <c r="Q23" i="12" s="1"/>
  <c r="K23" i="12"/>
  <c r="N23" i="12" s="1"/>
  <c r="AG23" i="12" s="1"/>
  <c r="I23" i="12"/>
  <c r="H23" i="12"/>
  <c r="AO22" i="12"/>
  <c r="AD22" i="12"/>
  <c r="AB22" i="12"/>
  <c r="Y22" i="12"/>
  <c r="Z22" i="12" s="1"/>
  <c r="V22" i="12"/>
  <c r="W22" i="12" s="1"/>
  <c r="T22" i="12"/>
  <c r="S22" i="12"/>
  <c r="Q22" i="12"/>
  <c r="O22" i="12"/>
  <c r="L22" i="12"/>
  <c r="K22" i="12"/>
  <c r="N22" i="12" s="1"/>
  <c r="AG22" i="12" s="1"/>
  <c r="I22" i="12"/>
  <c r="H22" i="12"/>
  <c r="AO21" i="12"/>
  <c r="AD21" i="12"/>
  <c r="AB21" i="12"/>
  <c r="V21" i="12"/>
  <c r="W21" i="12" s="1"/>
  <c r="T21" i="12"/>
  <c r="S21" i="12"/>
  <c r="Y21" i="12" s="1"/>
  <c r="Z21" i="12" s="1"/>
  <c r="O21" i="12"/>
  <c r="Q21" i="12" s="1"/>
  <c r="K21" i="12"/>
  <c r="N21" i="12" s="1"/>
  <c r="AG21" i="12" s="1"/>
  <c r="I21" i="12"/>
  <c r="H21" i="12"/>
  <c r="AO20" i="12"/>
  <c r="AD20" i="12"/>
  <c r="AB20" i="12"/>
  <c r="W20" i="12"/>
  <c r="V20" i="12"/>
  <c r="T20" i="12"/>
  <c r="S20" i="12"/>
  <c r="O20" i="12"/>
  <c r="Q20" i="12" s="1"/>
  <c r="K20" i="12"/>
  <c r="I20" i="12"/>
  <c r="H20" i="12"/>
  <c r="AO19" i="12"/>
  <c r="AD19" i="12"/>
  <c r="AB19" i="12"/>
  <c r="Y19" i="12"/>
  <c r="Z19" i="12" s="1"/>
  <c r="V19" i="12"/>
  <c r="W19" i="12" s="1"/>
  <c r="T19" i="12"/>
  <c r="S19" i="12"/>
  <c r="Q19" i="12"/>
  <c r="O19" i="12"/>
  <c r="N19" i="12"/>
  <c r="AG19" i="12" s="1"/>
  <c r="L19" i="12"/>
  <c r="K19" i="12"/>
  <c r="I19" i="12"/>
  <c r="H19" i="12"/>
  <c r="AO18" i="12"/>
  <c r="AD18" i="12"/>
  <c r="AB18" i="12"/>
  <c r="V18" i="12"/>
  <c r="T18" i="12"/>
  <c r="S18" i="12"/>
  <c r="Y18" i="12" s="1"/>
  <c r="Z18" i="12" s="1"/>
  <c r="O18" i="12"/>
  <c r="Q18" i="12" s="1"/>
  <c r="N18" i="12"/>
  <c r="AG18" i="12" s="1"/>
  <c r="K18" i="12"/>
  <c r="L18" i="12" s="1"/>
  <c r="I18" i="12"/>
  <c r="H18" i="12"/>
  <c r="AO17" i="12"/>
  <c r="AG17" i="12"/>
  <c r="AD17" i="12"/>
  <c r="AB17" i="12"/>
  <c r="Y17" i="12"/>
  <c r="Z17" i="12" s="1"/>
  <c r="V17" i="12"/>
  <c r="W17" i="12" s="1"/>
  <c r="T17" i="12"/>
  <c r="S17" i="12"/>
  <c r="O17" i="12"/>
  <c r="Q17" i="12" s="1"/>
  <c r="L17" i="12"/>
  <c r="K17" i="12"/>
  <c r="N17" i="12" s="1"/>
  <c r="I17" i="12"/>
  <c r="H17" i="12"/>
  <c r="AO16" i="12"/>
  <c r="AG16" i="12"/>
  <c r="AD16" i="12"/>
  <c r="AB16" i="12"/>
  <c r="V16" i="12"/>
  <c r="W16" i="12" s="1"/>
  <c r="T16" i="12"/>
  <c r="S16" i="12"/>
  <c r="Y16" i="12" s="1"/>
  <c r="Z16" i="12" s="1"/>
  <c r="Q16" i="12"/>
  <c r="O16" i="12"/>
  <c r="N16" i="12"/>
  <c r="K16" i="12"/>
  <c r="L16" i="12" s="1"/>
  <c r="I16" i="12"/>
  <c r="H16" i="12"/>
  <c r="AO15" i="12"/>
  <c r="AG15" i="12"/>
  <c r="AD15" i="12"/>
  <c r="AB15" i="12"/>
  <c r="V15" i="12"/>
  <c r="T15" i="12"/>
  <c r="S15" i="12"/>
  <c r="O15" i="12"/>
  <c r="Q15" i="12" s="1"/>
  <c r="K15" i="12"/>
  <c r="N15" i="12" s="1"/>
  <c r="I15" i="12"/>
  <c r="H15" i="12"/>
  <c r="AO14" i="12"/>
  <c r="AD14" i="12"/>
  <c r="AD31" i="12" s="1"/>
  <c r="AB14" i="12"/>
  <c r="Y14" i="12"/>
  <c r="Z14" i="12" s="1"/>
  <c r="V14" i="12"/>
  <c r="W14" i="12" s="1"/>
  <c r="T14" i="12"/>
  <c r="S14" i="12"/>
  <c r="Q14" i="12"/>
  <c r="Q31" i="12" s="1"/>
  <c r="O14" i="12"/>
  <c r="L14" i="12"/>
  <c r="K14" i="12"/>
  <c r="N14" i="12" s="1"/>
  <c r="AG14" i="12" s="1"/>
  <c r="I14" i="12"/>
  <c r="H14" i="12"/>
  <c r="AN12" i="12"/>
  <c r="AM12" i="12"/>
  <c r="AL12" i="12"/>
  <c r="AK12" i="12"/>
  <c r="AJ12" i="12"/>
  <c r="AH12" i="12"/>
  <c r="X12" i="12"/>
  <c r="U12" i="12"/>
  <c r="R12" i="12"/>
  <c r="R33" i="12" s="1"/>
  <c r="P12" i="12"/>
  <c r="M12" i="12"/>
  <c r="J12" i="12"/>
  <c r="T12" i="12" s="1"/>
  <c r="G12" i="12"/>
  <c r="H12" i="12" s="1"/>
  <c r="F12" i="12"/>
  <c r="E12" i="12"/>
  <c r="D12" i="12"/>
  <c r="S12" i="12" s="1"/>
  <c r="AO11" i="12"/>
  <c r="AD11" i="12"/>
  <c r="AB11" i="12"/>
  <c r="Y11" i="12"/>
  <c r="Z11" i="12" s="1"/>
  <c r="V11" i="12"/>
  <c r="W11" i="12" s="1"/>
  <c r="T11" i="12"/>
  <c r="S11" i="12"/>
  <c r="Q11" i="12"/>
  <c r="O11" i="12"/>
  <c r="L11" i="12"/>
  <c r="K11" i="12"/>
  <c r="N11" i="12" s="1"/>
  <c r="AG11" i="12" s="1"/>
  <c r="I11" i="12"/>
  <c r="H11" i="12"/>
  <c r="AO10" i="12"/>
  <c r="AD10" i="12"/>
  <c r="AB10" i="12"/>
  <c r="V10" i="12"/>
  <c r="W10" i="12" s="1"/>
  <c r="T10" i="12"/>
  <c r="S10" i="12"/>
  <c r="Y10" i="12" s="1"/>
  <c r="Z10" i="12" s="1"/>
  <c r="O10" i="12"/>
  <c r="Q10" i="12" s="1"/>
  <c r="K10" i="12"/>
  <c r="N10" i="12" s="1"/>
  <c r="AG10" i="12" s="1"/>
  <c r="I10" i="12"/>
  <c r="H10" i="12"/>
  <c r="AO9" i="12"/>
  <c r="AD9" i="12"/>
  <c r="AB9" i="12"/>
  <c r="W9" i="12"/>
  <c r="V9" i="12"/>
  <c r="T9" i="12"/>
  <c r="S9" i="12"/>
  <c r="O9" i="12"/>
  <c r="Q9" i="12" s="1"/>
  <c r="K9" i="12"/>
  <c r="I9" i="12"/>
  <c r="H9" i="12"/>
  <c r="AO8" i="12"/>
  <c r="AD8" i="12"/>
  <c r="AB8" i="12"/>
  <c r="Y8" i="12"/>
  <c r="Z8" i="12" s="1"/>
  <c r="V8" i="12"/>
  <c r="W8" i="12" s="1"/>
  <c r="T8" i="12"/>
  <c r="S8" i="12"/>
  <c r="Q8" i="12"/>
  <c r="O8" i="12"/>
  <c r="N8" i="12"/>
  <c r="AG8" i="12" s="1"/>
  <c r="L8" i="12"/>
  <c r="K8" i="12"/>
  <c r="I8" i="12"/>
  <c r="H8" i="12"/>
  <c r="AO7" i="12"/>
  <c r="AD7" i="12"/>
  <c r="AB7" i="12"/>
  <c r="V7" i="12"/>
  <c r="T7" i="12"/>
  <c r="S7" i="12"/>
  <c r="Y7" i="12" s="1"/>
  <c r="Z7" i="12" s="1"/>
  <c r="O7" i="12"/>
  <c r="Q7" i="12" s="1"/>
  <c r="N7" i="12"/>
  <c r="AG7" i="12" s="1"/>
  <c r="K7" i="12"/>
  <c r="L7" i="12" s="1"/>
  <c r="I7" i="12"/>
  <c r="H7" i="12"/>
  <c r="AO6" i="12"/>
  <c r="AD6" i="12"/>
  <c r="AD12" i="12" s="1"/>
  <c r="AB6" i="12"/>
  <c r="Y6" i="12"/>
  <c r="Z6" i="12" s="1"/>
  <c r="V6" i="12"/>
  <c r="W6" i="12" s="1"/>
  <c r="T6" i="12"/>
  <c r="S6" i="12"/>
  <c r="O6" i="12"/>
  <c r="Q6" i="12" s="1"/>
  <c r="L6" i="12"/>
  <c r="K6" i="12"/>
  <c r="N6" i="12" s="1"/>
  <c r="AG6" i="12" s="1"/>
  <c r="I6" i="12"/>
  <c r="H6" i="12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E33" i="11"/>
  <c r="AN31" i="11"/>
  <c r="AM31" i="11"/>
  <c r="AL31" i="11"/>
  <c r="AK31" i="11"/>
  <c r="AJ31" i="11"/>
  <c r="AH31" i="11"/>
  <c r="AI31" i="11" s="1"/>
  <c r="X31" i="11"/>
  <c r="U31" i="11"/>
  <c r="V31" i="11" s="1"/>
  <c r="R31" i="11"/>
  <c r="P31" i="11"/>
  <c r="M31" i="11"/>
  <c r="J31" i="11"/>
  <c r="T31" i="11" s="1"/>
  <c r="G31" i="11"/>
  <c r="H31" i="11" s="1"/>
  <c r="F31" i="11"/>
  <c r="AB31" i="11" s="1"/>
  <c r="E31" i="11"/>
  <c r="D31" i="11"/>
  <c r="S31" i="11" s="1"/>
  <c r="AO30" i="11"/>
  <c r="AD30" i="11"/>
  <c r="AB30" i="11"/>
  <c r="Y30" i="11"/>
  <c r="Z30" i="11" s="1"/>
  <c r="V30" i="11"/>
  <c r="W30" i="11" s="1"/>
  <c r="T30" i="11"/>
  <c r="S30" i="11"/>
  <c r="Q30" i="11"/>
  <c r="O30" i="11"/>
  <c r="L30" i="11"/>
  <c r="K30" i="11"/>
  <c r="N30" i="11" s="1"/>
  <c r="AG30" i="11" s="1"/>
  <c r="I30" i="11"/>
  <c r="H30" i="11"/>
  <c r="AO29" i="11"/>
  <c r="AD29" i="11"/>
  <c r="AB29" i="11"/>
  <c r="V29" i="11"/>
  <c r="W29" i="11" s="1"/>
  <c r="T29" i="11"/>
  <c r="S29" i="11"/>
  <c r="Y29" i="11" s="1"/>
  <c r="Z29" i="11" s="1"/>
  <c r="O29" i="11"/>
  <c r="Q29" i="11" s="1"/>
  <c r="K29" i="11"/>
  <c r="N29" i="11" s="1"/>
  <c r="AG29" i="11" s="1"/>
  <c r="I29" i="11"/>
  <c r="H29" i="11"/>
  <c r="AO28" i="11"/>
  <c r="AD28" i="11"/>
  <c r="AB28" i="11"/>
  <c r="W28" i="11"/>
  <c r="V28" i="11"/>
  <c r="T28" i="11"/>
  <c r="S28" i="11"/>
  <c r="O28" i="11"/>
  <c r="Q28" i="11" s="1"/>
  <c r="K28" i="11"/>
  <c r="I28" i="11"/>
  <c r="H28" i="11"/>
  <c r="AO27" i="11"/>
  <c r="AD27" i="11"/>
  <c r="AB27" i="11"/>
  <c r="Y27" i="11"/>
  <c r="Z27" i="11" s="1"/>
  <c r="V27" i="11"/>
  <c r="W27" i="11" s="1"/>
  <c r="T27" i="11"/>
  <c r="S27" i="11"/>
  <c r="Q27" i="11"/>
  <c r="O27" i="11"/>
  <c r="N27" i="11"/>
  <c r="AG27" i="11" s="1"/>
  <c r="L27" i="11"/>
  <c r="K27" i="11"/>
  <c r="I27" i="11"/>
  <c r="H27" i="11"/>
  <c r="AO26" i="11"/>
  <c r="AD26" i="11"/>
  <c r="AB26" i="11"/>
  <c r="V26" i="11"/>
  <c r="T26" i="11"/>
  <c r="S26" i="11"/>
  <c r="Y26" i="11" s="1"/>
  <c r="Z26" i="11" s="1"/>
  <c r="O26" i="11"/>
  <c r="Q26" i="11" s="1"/>
  <c r="N26" i="11"/>
  <c r="AG26" i="11" s="1"/>
  <c r="K26" i="11"/>
  <c r="L26" i="11" s="1"/>
  <c r="I26" i="11"/>
  <c r="H26" i="11"/>
  <c r="AO25" i="11"/>
  <c r="AD25" i="11"/>
  <c r="AB25" i="11"/>
  <c r="Y25" i="11"/>
  <c r="Z25" i="11" s="1"/>
  <c r="V25" i="11"/>
  <c r="W25" i="11" s="1"/>
  <c r="T25" i="11"/>
  <c r="S25" i="11"/>
  <c r="Q25" i="11"/>
  <c r="O25" i="11"/>
  <c r="L25" i="11"/>
  <c r="K25" i="11"/>
  <c r="N25" i="11" s="1"/>
  <c r="AG25" i="11" s="1"/>
  <c r="I25" i="11"/>
  <c r="H25" i="11"/>
  <c r="AO24" i="11"/>
  <c r="AG24" i="11"/>
  <c r="AD24" i="11"/>
  <c r="AB24" i="11"/>
  <c r="V24" i="11"/>
  <c r="W24" i="11" s="1"/>
  <c r="T24" i="11"/>
  <c r="S24" i="11"/>
  <c r="Y24" i="11" s="1"/>
  <c r="Z24" i="11" s="1"/>
  <c r="Q24" i="11"/>
  <c r="O24" i="11"/>
  <c r="N24" i="11"/>
  <c r="K24" i="11"/>
  <c r="L24" i="11" s="1"/>
  <c r="I24" i="11"/>
  <c r="H24" i="11"/>
  <c r="AO23" i="11"/>
  <c r="AD23" i="11"/>
  <c r="AB23" i="11"/>
  <c r="V23" i="11"/>
  <c r="T23" i="11"/>
  <c r="S23" i="11"/>
  <c r="O23" i="11"/>
  <c r="Q23" i="11" s="1"/>
  <c r="K23" i="11"/>
  <c r="N23" i="11" s="1"/>
  <c r="AG23" i="11" s="1"/>
  <c r="I23" i="11"/>
  <c r="H23" i="11"/>
  <c r="AO22" i="11"/>
  <c r="AD22" i="11"/>
  <c r="AB22" i="11"/>
  <c r="Y22" i="11"/>
  <c r="Z22" i="11" s="1"/>
  <c r="V22" i="11"/>
  <c r="W22" i="11" s="1"/>
  <c r="T22" i="11"/>
  <c r="S22" i="11"/>
  <c r="Q22" i="11"/>
  <c r="O22" i="11"/>
  <c r="L22" i="11"/>
  <c r="K22" i="11"/>
  <c r="N22" i="11" s="1"/>
  <c r="AG22" i="11" s="1"/>
  <c r="I22" i="11"/>
  <c r="H22" i="11"/>
  <c r="AO21" i="11"/>
  <c r="AD21" i="11"/>
  <c r="AB21" i="11"/>
  <c r="W21" i="11"/>
  <c r="V21" i="11"/>
  <c r="T21" i="11"/>
  <c r="S21" i="11"/>
  <c r="O21" i="11"/>
  <c r="Q21" i="11" s="1"/>
  <c r="K21" i="11"/>
  <c r="I21" i="11"/>
  <c r="H21" i="11"/>
  <c r="AO20" i="11"/>
  <c r="AD20" i="11"/>
  <c r="AB20" i="11"/>
  <c r="W20" i="11"/>
  <c r="V20" i="11"/>
  <c r="T20" i="11"/>
  <c r="S20" i="11"/>
  <c r="O20" i="11"/>
  <c r="Q20" i="11" s="1"/>
  <c r="L20" i="11"/>
  <c r="K20" i="11"/>
  <c r="N20" i="11" s="1"/>
  <c r="AG20" i="11" s="1"/>
  <c r="I20" i="11"/>
  <c r="H20" i="11"/>
  <c r="AO19" i="11"/>
  <c r="AD19" i="11"/>
  <c r="AB19" i="11"/>
  <c r="Z19" i="11"/>
  <c r="Y19" i="11"/>
  <c r="V19" i="11"/>
  <c r="W19" i="11" s="1"/>
  <c r="T19" i="11"/>
  <c r="S19" i="11"/>
  <c r="Q19" i="11"/>
  <c r="O19" i="11"/>
  <c r="N19" i="11"/>
  <c r="AG19" i="11" s="1"/>
  <c r="L19" i="11"/>
  <c r="K19" i="11"/>
  <c r="I19" i="11"/>
  <c r="H19" i="11"/>
  <c r="AO18" i="11"/>
  <c r="AD18" i="11"/>
  <c r="AB18" i="11"/>
  <c r="V18" i="11"/>
  <c r="T18" i="11"/>
  <c r="S18" i="11"/>
  <c r="Y18" i="11" s="1"/>
  <c r="Z18" i="11" s="1"/>
  <c r="O18" i="11"/>
  <c r="Q18" i="11" s="1"/>
  <c r="N18" i="11"/>
  <c r="AG18" i="11" s="1"/>
  <c r="K18" i="11"/>
  <c r="L18" i="11" s="1"/>
  <c r="I18" i="11"/>
  <c r="H18" i="11"/>
  <c r="AO17" i="11"/>
  <c r="AG17" i="11"/>
  <c r="AD17" i="11"/>
  <c r="AB17" i="11"/>
  <c r="Y17" i="11"/>
  <c r="Z17" i="11" s="1"/>
  <c r="V17" i="11"/>
  <c r="W17" i="11" s="1"/>
  <c r="T17" i="11"/>
  <c r="S17" i="11"/>
  <c r="Q17" i="11"/>
  <c r="O17" i="11"/>
  <c r="L17" i="11"/>
  <c r="K17" i="11"/>
  <c r="N17" i="11" s="1"/>
  <c r="I17" i="11"/>
  <c r="H17" i="11"/>
  <c r="AO16" i="11"/>
  <c r="AG16" i="11"/>
  <c r="AD16" i="11"/>
  <c r="AB16" i="11"/>
  <c r="V16" i="11"/>
  <c r="T16" i="11"/>
  <c r="S16" i="11"/>
  <c r="Y16" i="11" s="1"/>
  <c r="Z16" i="11" s="1"/>
  <c r="Q16" i="11"/>
  <c r="O16" i="11"/>
  <c r="N16" i="11"/>
  <c r="K16" i="11"/>
  <c r="L16" i="11" s="1"/>
  <c r="I16" i="11"/>
  <c r="H16" i="11"/>
  <c r="AO15" i="11"/>
  <c r="AG15" i="11"/>
  <c r="AD15" i="11"/>
  <c r="AB15" i="11"/>
  <c r="V15" i="11"/>
  <c r="T15" i="11"/>
  <c r="S15" i="11"/>
  <c r="O15" i="11"/>
  <c r="Q15" i="11" s="1"/>
  <c r="K15" i="11"/>
  <c r="N15" i="11" s="1"/>
  <c r="I15" i="11"/>
  <c r="H15" i="11"/>
  <c r="AO14" i="11"/>
  <c r="AD14" i="11"/>
  <c r="AB14" i="11"/>
  <c r="Y14" i="11"/>
  <c r="Z14" i="11" s="1"/>
  <c r="V14" i="11"/>
  <c r="W14" i="11" s="1"/>
  <c r="T14" i="11"/>
  <c r="S14" i="11"/>
  <c r="Q14" i="11"/>
  <c r="O14" i="11"/>
  <c r="L14" i="11"/>
  <c r="K14" i="11"/>
  <c r="N14" i="11" s="1"/>
  <c r="AG14" i="11" s="1"/>
  <c r="I14" i="11"/>
  <c r="H14" i="11"/>
  <c r="AN12" i="11"/>
  <c r="AM12" i="11"/>
  <c r="AL12" i="11"/>
  <c r="AK12" i="11"/>
  <c r="AJ12" i="11"/>
  <c r="AH12" i="11"/>
  <c r="X12" i="11"/>
  <c r="U12" i="11"/>
  <c r="U33" i="11" s="1"/>
  <c r="R12" i="11"/>
  <c r="R33" i="11" s="1"/>
  <c r="P12" i="11"/>
  <c r="M12" i="11"/>
  <c r="J12" i="11"/>
  <c r="T12" i="11" s="1"/>
  <c r="G12" i="11"/>
  <c r="H12" i="11" s="1"/>
  <c r="F12" i="11"/>
  <c r="E12" i="11"/>
  <c r="D12" i="11"/>
  <c r="S12" i="11" s="1"/>
  <c r="AO11" i="11"/>
  <c r="AD11" i="11"/>
  <c r="AB11" i="11"/>
  <c r="Y11" i="11"/>
  <c r="Z11" i="11" s="1"/>
  <c r="V11" i="11"/>
  <c r="W11" i="11" s="1"/>
  <c r="T11" i="11"/>
  <c r="S11" i="11"/>
  <c r="Q11" i="11"/>
  <c r="O11" i="11"/>
  <c r="L11" i="11"/>
  <c r="K11" i="11"/>
  <c r="N11" i="11" s="1"/>
  <c r="AG11" i="11" s="1"/>
  <c r="I11" i="11"/>
  <c r="H11" i="11"/>
  <c r="AO10" i="11"/>
  <c r="AD10" i="11"/>
  <c r="AB10" i="11"/>
  <c r="V10" i="11"/>
  <c r="W10" i="11" s="1"/>
  <c r="T10" i="11"/>
  <c r="S10" i="11"/>
  <c r="Y10" i="11" s="1"/>
  <c r="Z10" i="11" s="1"/>
  <c r="O10" i="11"/>
  <c r="Q10" i="11" s="1"/>
  <c r="K10" i="11"/>
  <c r="I10" i="11"/>
  <c r="H10" i="11"/>
  <c r="AO9" i="11"/>
  <c r="AD9" i="11"/>
  <c r="AB9" i="11"/>
  <c r="W9" i="11"/>
  <c r="V9" i="11"/>
  <c r="T9" i="11"/>
  <c r="S9" i="11"/>
  <c r="O9" i="11"/>
  <c r="Q9" i="11" s="1"/>
  <c r="K9" i="11"/>
  <c r="I9" i="11"/>
  <c r="H9" i="11"/>
  <c r="AO8" i="11"/>
  <c r="AD8" i="11"/>
  <c r="AB8" i="11"/>
  <c r="Y8" i="11"/>
  <c r="Z8" i="11" s="1"/>
  <c r="V8" i="11"/>
  <c r="W8" i="11" s="1"/>
  <c r="T8" i="11"/>
  <c r="S8" i="11"/>
  <c r="Q8" i="11"/>
  <c r="O8" i="11"/>
  <c r="N8" i="11"/>
  <c r="AG8" i="11" s="1"/>
  <c r="L8" i="11"/>
  <c r="K8" i="11"/>
  <c r="I8" i="11"/>
  <c r="H8" i="11"/>
  <c r="AO7" i="11"/>
  <c r="AD7" i="11"/>
  <c r="AB7" i="11"/>
  <c r="V7" i="11"/>
  <c r="T7" i="11"/>
  <c r="S7" i="11"/>
  <c r="Y7" i="11" s="1"/>
  <c r="Z7" i="11" s="1"/>
  <c r="O7" i="11"/>
  <c r="Q7" i="11" s="1"/>
  <c r="N7" i="11"/>
  <c r="AG7" i="11" s="1"/>
  <c r="K7" i="11"/>
  <c r="L7" i="11" s="1"/>
  <c r="I7" i="11"/>
  <c r="H7" i="11"/>
  <c r="AO6" i="11"/>
  <c r="AD6" i="11"/>
  <c r="AD12" i="11" s="1"/>
  <c r="AB6" i="11"/>
  <c r="Y6" i="11"/>
  <c r="Z6" i="11" s="1"/>
  <c r="V6" i="11"/>
  <c r="W6" i="11" s="1"/>
  <c r="T6" i="11"/>
  <c r="S6" i="11"/>
  <c r="Q6" i="11"/>
  <c r="O6" i="11"/>
  <c r="L6" i="11"/>
  <c r="K6" i="11"/>
  <c r="N6" i="11" s="1"/>
  <c r="AG6" i="11" s="1"/>
  <c r="I6" i="11"/>
  <c r="H6" i="11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E31" i="10"/>
  <c r="AN29" i="10"/>
  <c r="AM29" i="10"/>
  <c r="AL29" i="10"/>
  <c r="AK29" i="10"/>
  <c r="AJ29" i="10"/>
  <c r="AH29" i="10"/>
  <c r="AI29" i="10" s="1"/>
  <c r="X29" i="10"/>
  <c r="V29" i="10"/>
  <c r="W29" i="10" s="1"/>
  <c r="U29" i="10"/>
  <c r="R29" i="10"/>
  <c r="P29" i="10"/>
  <c r="M29" i="10"/>
  <c r="J29" i="10"/>
  <c r="T29" i="10" s="1"/>
  <c r="G29" i="10"/>
  <c r="H29" i="10" s="1"/>
  <c r="F29" i="10"/>
  <c r="E29" i="10"/>
  <c r="D29" i="10"/>
  <c r="S29" i="10" s="1"/>
  <c r="AO28" i="10"/>
  <c r="AD28" i="10"/>
  <c r="AB28" i="10"/>
  <c r="Y28" i="10"/>
  <c r="Z28" i="10" s="1"/>
  <c r="V28" i="10"/>
  <c r="W28" i="10" s="1"/>
  <c r="T28" i="10"/>
  <c r="S28" i="10"/>
  <c r="Q28" i="10"/>
  <c r="O28" i="10"/>
  <c r="L28" i="10"/>
  <c r="K28" i="10"/>
  <c r="N28" i="10" s="1"/>
  <c r="AG28" i="10" s="1"/>
  <c r="I28" i="10"/>
  <c r="H28" i="10"/>
  <c r="AO27" i="10"/>
  <c r="AD27" i="10"/>
  <c r="AB27" i="10"/>
  <c r="V27" i="10"/>
  <c r="W27" i="10" s="1"/>
  <c r="T27" i="10"/>
  <c r="S27" i="10"/>
  <c r="O27" i="10"/>
  <c r="Q27" i="10" s="1"/>
  <c r="K27" i="10"/>
  <c r="I27" i="10"/>
  <c r="H27" i="10"/>
  <c r="AO26" i="10"/>
  <c r="AD26" i="10"/>
  <c r="AB26" i="10"/>
  <c r="W26" i="10"/>
  <c r="V26" i="10"/>
  <c r="T26" i="10"/>
  <c r="S26" i="10"/>
  <c r="O26" i="10"/>
  <c r="Q26" i="10" s="1"/>
  <c r="L26" i="10"/>
  <c r="K26" i="10"/>
  <c r="N26" i="10" s="1"/>
  <c r="AG26" i="10" s="1"/>
  <c r="I26" i="10"/>
  <c r="H26" i="10"/>
  <c r="AO25" i="10"/>
  <c r="AD25" i="10"/>
  <c r="AB25" i="10"/>
  <c r="Y25" i="10"/>
  <c r="Z25" i="10" s="1"/>
  <c r="V25" i="10"/>
  <c r="W25" i="10" s="1"/>
  <c r="T25" i="10"/>
  <c r="S25" i="10"/>
  <c r="Q25" i="10"/>
  <c r="O25" i="10"/>
  <c r="N25" i="10"/>
  <c r="AG25" i="10" s="1"/>
  <c r="L25" i="10"/>
  <c r="K25" i="10"/>
  <c r="I25" i="10"/>
  <c r="H25" i="10"/>
  <c r="AO24" i="10"/>
  <c r="AD24" i="10"/>
  <c r="AB24" i="10"/>
  <c r="V24" i="10"/>
  <c r="T24" i="10"/>
  <c r="S24" i="10"/>
  <c r="Y24" i="10" s="1"/>
  <c r="Z24" i="10" s="1"/>
  <c r="O24" i="10"/>
  <c r="Q24" i="10" s="1"/>
  <c r="N24" i="10"/>
  <c r="AG24" i="10" s="1"/>
  <c r="K24" i="10"/>
  <c r="L24" i="10" s="1"/>
  <c r="I24" i="10"/>
  <c r="H24" i="10"/>
  <c r="AO23" i="10"/>
  <c r="AD23" i="10"/>
  <c r="AB23" i="10"/>
  <c r="Y23" i="10"/>
  <c r="Z23" i="10" s="1"/>
  <c r="V23" i="10"/>
  <c r="W23" i="10" s="1"/>
  <c r="T23" i="10"/>
  <c r="S23" i="10"/>
  <c r="O23" i="10"/>
  <c r="Q23" i="10" s="1"/>
  <c r="L23" i="10"/>
  <c r="K23" i="10"/>
  <c r="N23" i="10" s="1"/>
  <c r="AG23" i="10" s="1"/>
  <c r="I23" i="10"/>
  <c r="H23" i="10"/>
  <c r="AO22" i="10"/>
  <c r="AG22" i="10"/>
  <c r="AD22" i="10"/>
  <c r="AB22" i="10"/>
  <c r="V22" i="10"/>
  <c r="W22" i="10" s="1"/>
  <c r="T22" i="10"/>
  <c r="S22" i="10"/>
  <c r="Y22" i="10" s="1"/>
  <c r="Z22" i="10" s="1"/>
  <c r="Q22" i="10"/>
  <c r="O22" i="10"/>
  <c r="N22" i="10"/>
  <c r="K22" i="10"/>
  <c r="L22" i="10" s="1"/>
  <c r="I22" i="10"/>
  <c r="H22" i="10"/>
  <c r="AO21" i="10"/>
  <c r="AD21" i="10"/>
  <c r="AB21" i="10"/>
  <c r="V21" i="10"/>
  <c r="T21" i="10"/>
  <c r="S21" i="10"/>
  <c r="O21" i="10"/>
  <c r="Q21" i="10" s="1"/>
  <c r="K21" i="10"/>
  <c r="N21" i="10" s="1"/>
  <c r="AG21" i="10" s="1"/>
  <c r="I21" i="10"/>
  <c r="H21" i="10"/>
  <c r="AO20" i="10"/>
  <c r="AD20" i="10"/>
  <c r="AB20" i="10"/>
  <c r="Y20" i="10"/>
  <c r="Z20" i="10" s="1"/>
  <c r="V20" i="10"/>
  <c r="W20" i="10" s="1"/>
  <c r="T20" i="10"/>
  <c r="S20" i="10"/>
  <c r="Q20" i="10"/>
  <c r="O20" i="10"/>
  <c r="L20" i="10"/>
  <c r="K20" i="10"/>
  <c r="N20" i="10" s="1"/>
  <c r="AG20" i="10" s="1"/>
  <c r="I20" i="10"/>
  <c r="H20" i="10"/>
  <c r="AO19" i="10"/>
  <c r="AD19" i="10"/>
  <c r="AB19" i="10"/>
  <c r="W19" i="10"/>
  <c r="V19" i="10"/>
  <c r="T19" i="10"/>
  <c r="S19" i="10"/>
  <c r="O19" i="10"/>
  <c r="Q19" i="10" s="1"/>
  <c r="K19" i="10"/>
  <c r="I19" i="10"/>
  <c r="H19" i="10"/>
  <c r="AO18" i="10"/>
  <c r="AD18" i="10"/>
  <c r="AB18" i="10"/>
  <c r="Y18" i="10"/>
  <c r="Z18" i="10" s="1"/>
  <c r="W18" i="10"/>
  <c r="V18" i="10"/>
  <c r="T18" i="10"/>
  <c r="S18" i="10"/>
  <c r="O18" i="10"/>
  <c r="Q18" i="10" s="1"/>
  <c r="L18" i="10"/>
  <c r="K18" i="10"/>
  <c r="N18" i="10" s="1"/>
  <c r="AG18" i="10" s="1"/>
  <c r="I18" i="10"/>
  <c r="H18" i="10"/>
  <c r="AO17" i="10"/>
  <c r="AD17" i="10"/>
  <c r="AB17" i="10"/>
  <c r="Z17" i="10"/>
  <c r="Y17" i="10"/>
  <c r="V17" i="10"/>
  <c r="W17" i="10" s="1"/>
  <c r="T17" i="10"/>
  <c r="S17" i="10"/>
  <c r="Q17" i="10"/>
  <c r="O17" i="10"/>
  <c r="N17" i="10"/>
  <c r="AG17" i="10" s="1"/>
  <c r="L17" i="10"/>
  <c r="K17" i="10"/>
  <c r="I17" i="10"/>
  <c r="H17" i="10"/>
  <c r="AO16" i="10"/>
  <c r="AD16" i="10"/>
  <c r="AB16" i="10"/>
  <c r="Z16" i="10"/>
  <c r="V16" i="10"/>
  <c r="T16" i="10"/>
  <c r="S16" i="10"/>
  <c r="Y16" i="10" s="1"/>
  <c r="O16" i="10"/>
  <c r="Q16" i="10" s="1"/>
  <c r="N16" i="10"/>
  <c r="AG16" i="10" s="1"/>
  <c r="K16" i="10"/>
  <c r="L16" i="10" s="1"/>
  <c r="I16" i="10"/>
  <c r="H16" i="10"/>
  <c r="AO15" i="10"/>
  <c r="AD15" i="10"/>
  <c r="AB15" i="10"/>
  <c r="Y15" i="10"/>
  <c r="Z15" i="10" s="1"/>
  <c r="V15" i="10"/>
  <c r="W15" i="10" s="1"/>
  <c r="T15" i="10"/>
  <c r="S15" i="10"/>
  <c r="O15" i="10"/>
  <c r="Q15" i="10" s="1"/>
  <c r="L15" i="10"/>
  <c r="K15" i="10"/>
  <c r="N15" i="10" s="1"/>
  <c r="AG15" i="10" s="1"/>
  <c r="I15" i="10"/>
  <c r="H15" i="10"/>
  <c r="AO14" i="10"/>
  <c r="AG14" i="10"/>
  <c r="AD14" i="10"/>
  <c r="AB14" i="10"/>
  <c r="V14" i="10"/>
  <c r="W14" i="10" s="1"/>
  <c r="T14" i="10"/>
  <c r="S14" i="10"/>
  <c r="Y14" i="10" s="1"/>
  <c r="Z14" i="10" s="1"/>
  <c r="Q14" i="10"/>
  <c r="O14" i="10"/>
  <c r="N14" i="10"/>
  <c r="K14" i="10"/>
  <c r="L14" i="10" s="1"/>
  <c r="I14" i="10"/>
  <c r="H14" i="10"/>
  <c r="AN12" i="10"/>
  <c r="AM12" i="10"/>
  <c r="AL12" i="10"/>
  <c r="AK12" i="10"/>
  <c r="AJ12" i="10"/>
  <c r="AH12" i="10"/>
  <c r="AD12" i="10"/>
  <c r="AB12" i="10"/>
  <c r="X12" i="10"/>
  <c r="U12" i="10"/>
  <c r="T12" i="10"/>
  <c r="S12" i="10"/>
  <c r="R12" i="10"/>
  <c r="R31" i="10" s="1"/>
  <c r="J12" i="10"/>
  <c r="J31" i="10" s="1"/>
  <c r="G12" i="10"/>
  <c r="H12" i="10" s="1"/>
  <c r="F12" i="10"/>
  <c r="E12" i="10"/>
  <c r="P12" i="10" s="1"/>
  <c r="D12" i="10"/>
  <c r="V12" i="10" s="1"/>
  <c r="W12" i="10" s="1"/>
  <c r="AO11" i="10"/>
  <c r="AG11" i="10"/>
  <c r="AD11" i="10"/>
  <c r="AB11" i="10"/>
  <c r="V11" i="10"/>
  <c r="W11" i="10" s="1"/>
  <c r="T11" i="10"/>
  <c r="S11" i="10"/>
  <c r="Y11" i="10" s="1"/>
  <c r="Z11" i="10" s="1"/>
  <c r="Q11" i="10"/>
  <c r="O11" i="10"/>
  <c r="N11" i="10"/>
  <c r="K11" i="10"/>
  <c r="L11" i="10" s="1"/>
  <c r="I11" i="10"/>
  <c r="H11" i="10"/>
  <c r="AO10" i="10"/>
  <c r="AD10" i="10"/>
  <c r="AB10" i="10"/>
  <c r="V10" i="10"/>
  <c r="T10" i="10"/>
  <c r="S10" i="10"/>
  <c r="Y10" i="10" s="1"/>
  <c r="Z10" i="10" s="1"/>
  <c r="O10" i="10"/>
  <c r="Q10" i="10" s="1"/>
  <c r="K10" i="10"/>
  <c r="I10" i="10"/>
  <c r="H10" i="10"/>
  <c r="AO9" i="10"/>
  <c r="AD9" i="10"/>
  <c r="AB9" i="10"/>
  <c r="Y9" i="10"/>
  <c r="Z9" i="10" s="1"/>
  <c r="V9" i="10"/>
  <c r="W9" i="10" s="1"/>
  <c r="T9" i="10"/>
  <c r="S9" i="10"/>
  <c r="Q9" i="10"/>
  <c r="O9" i="10"/>
  <c r="L9" i="10"/>
  <c r="K9" i="10"/>
  <c r="N9" i="10" s="1"/>
  <c r="AG9" i="10" s="1"/>
  <c r="I9" i="10"/>
  <c r="H9" i="10"/>
  <c r="AO8" i="10"/>
  <c r="AD8" i="10"/>
  <c r="AB8" i="10"/>
  <c r="V8" i="10"/>
  <c r="W8" i="10" s="1"/>
  <c r="T8" i="10"/>
  <c r="S8" i="10"/>
  <c r="O8" i="10"/>
  <c r="Q8" i="10" s="1"/>
  <c r="N8" i="10"/>
  <c r="AG8" i="10" s="1"/>
  <c r="K8" i="10"/>
  <c r="L8" i="10" s="1"/>
  <c r="I8" i="10"/>
  <c r="H8" i="10"/>
  <c r="AO7" i="10"/>
  <c r="AD7" i="10"/>
  <c r="AB7" i="10"/>
  <c r="Y7" i="10"/>
  <c r="Z7" i="10" s="1"/>
  <c r="W7" i="10"/>
  <c r="V7" i="10"/>
  <c r="T7" i="10"/>
  <c r="S7" i="10"/>
  <c r="O7" i="10"/>
  <c r="Q7" i="10" s="1"/>
  <c r="L7" i="10"/>
  <c r="K7" i="10"/>
  <c r="N7" i="10" s="1"/>
  <c r="AG7" i="10" s="1"/>
  <c r="I7" i="10"/>
  <c r="H7" i="10"/>
  <c r="AO6" i="10"/>
  <c r="AD6" i="10"/>
  <c r="AB6" i="10"/>
  <c r="Z6" i="10"/>
  <c r="Y6" i="10"/>
  <c r="V6" i="10"/>
  <c r="W6" i="10" s="1"/>
  <c r="T6" i="10"/>
  <c r="S6" i="10"/>
  <c r="Q6" i="10"/>
  <c r="O6" i="10"/>
  <c r="N6" i="10"/>
  <c r="AG6" i="10" s="1"/>
  <c r="L6" i="10"/>
  <c r="K6" i="10"/>
  <c r="I6" i="10"/>
  <c r="H6" i="10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AN28" i="9"/>
  <c r="AM28" i="9"/>
  <c r="AL28" i="9"/>
  <c r="AK28" i="9"/>
  <c r="AJ28" i="9"/>
  <c r="AH28" i="9"/>
  <c r="AI28" i="9" s="1"/>
  <c r="X28" i="9"/>
  <c r="U28" i="9"/>
  <c r="S28" i="9"/>
  <c r="R28" i="9"/>
  <c r="P28" i="9"/>
  <c r="J28" i="9"/>
  <c r="T28" i="9" s="1"/>
  <c r="G28" i="9"/>
  <c r="H28" i="9" s="1"/>
  <c r="F28" i="9"/>
  <c r="E28" i="9"/>
  <c r="D28" i="9"/>
  <c r="K28" i="9" s="1"/>
  <c r="AO27" i="9"/>
  <c r="AG27" i="9"/>
  <c r="AD27" i="9"/>
  <c r="AB27" i="9"/>
  <c r="V27" i="9"/>
  <c r="T27" i="9"/>
  <c r="S27" i="9"/>
  <c r="Y27" i="9" s="1"/>
  <c r="Z27" i="9" s="1"/>
  <c r="Q27" i="9"/>
  <c r="O27" i="9"/>
  <c r="N27" i="9"/>
  <c r="L27" i="9"/>
  <c r="K27" i="9"/>
  <c r="I27" i="9"/>
  <c r="H27" i="9"/>
  <c r="AO26" i="9"/>
  <c r="AD26" i="9"/>
  <c r="AB26" i="9"/>
  <c r="W26" i="9"/>
  <c r="V26" i="9"/>
  <c r="T26" i="9"/>
  <c r="S26" i="9"/>
  <c r="O26" i="9"/>
  <c r="Q26" i="9" s="1"/>
  <c r="K26" i="9"/>
  <c r="I26" i="9"/>
  <c r="H26" i="9"/>
  <c r="AO25" i="9"/>
  <c r="AD25" i="9"/>
  <c r="AB25" i="9"/>
  <c r="Y25" i="9"/>
  <c r="Z25" i="9" s="1"/>
  <c r="V25" i="9"/>
  <c r="W25" i="9" s="1"/>
  <c r="T25" i="9"/>
  <c r="S25" i="9"/>
  <c r="O25" i="9"/>
  <c r="Q25" i="9" s="1"/>
  <c r="L25" i="9"/>
  <c r="K25" i="9"/>
  <c r="N25" i="9" s="1"/>
  <c r="AG25" i="9" s="1"/>
  <c r="I25" i="9"/>
  <c r="H25" i="9"/>
  <c r="AO24" i="9"/>
  <c r="AD24" i="9"/>
  <c r="AB24" i="9"/>
  <c r="V24" i="9"/>
  <c r="T24" i="9"/>
  <c r="S24" i="9"/>
  <c r="Q24" i="9"/>
  <c r="O24" i="9"/>
  <c r="K24" i="9"/>
  <c r="L24" i="9" s="1"/>
  <c r="I24" i="9"/>
  <c r="H24" i="9"/>
  <c r="AO23" i="9"/>
  <c r="AG23" i="9"/>
  <c r="AD23" i="9"/>
  <c r="AB23" i="9"/>
  <c r="W23" i="9"/>
  <c r="V23" i="9"/>
  <c r="T23" i="9"/>
  <c r="S23" i="9"/>
  <c r="O23" i="9"/>
  <c r="Q23" i="9" s="1"/>
  <c r="L23" i="9"/>
  <c r="K23" i="9"/>
  <c r="N23" i="9" s="1"/>
  <c r="I23" i="9"/>
  <c r="H23" i="9"/>
  <c r="AO22" i="9"/>
  <c r="AD22" i="9"/>
  <c r="AB22" i="9"/>
  <c r="Z22" i="9"/>
  <c r="Y22" i="9"/>
  <c r="V22" i="9"/>
  <c r="W22" i="9" s="1"/>
  <c r="T22" i="9"/>
  <c r="S22" i="9"/>
  <c r="Q22" i="9"/>
  <c r="O22" i="9"/>
  <c r="N22" i="9"/>
  <c r="AG22" i="9" s="1"/>
  <c r="L22" i="9"/>
  <c r="K22" i="9"/>
  <c r="I22" i="9"/>
  <c r="H22" i="9"/>
  <c r="AO21" i="9"/>
  <c r="AD21" i="9"/>
  <c r="AB21" i="9"/>
  <c r="W21" i="9"/>
  <c r="V21" i="9"/>
  <c r="T21" i="9"/>
  <c r="S21" i="9"/>
  <c r="Q21" i="9"/>
  <c r="O21" i="9"/>
  <c r="K21" i="9"/>
  <c r="I21" i="9"/>
  <c r="H21" i="9"/>
  <c r="AO20" i="9"/>
  <c r="AD20" i="9"/>
  <c r="AB20" i="9"/>
  <c r="Y20" i="9"/>
  <c r="Z20" i="9" s="1"/>
  <c r="W20" i="9"/>
  <c r="V20" i="9"/>
  <c r="T20" i="9"/>
  <c r="S20" i="9"/>
  <c r="Q20" i="9"/>
  <c r="O20" i="9"/>
  <c r="L20" i="9"/>
  <c r="K20" i="9"/>
  <c r="N20" i="9" s="1"/>
  <c r="AG20" i="9" s="1"/>
  <c r="I20" i="9"/>
  <c r="H20" i="9"/>
  <c r="AO19" i="9"/>
  <c r="AD19" i="9"/>
  <c r="AB19" i="9"/>
  <c r="Z19" i="9"/>
  <c r="Y19" i="9"/>
  <c r="V19" i="9"/>
  <c r="T19" i="9"/>
  <c r="S19" i="9"/>
  <c r="W19" i="9" s="1"/>
  <c r="O19" i="9"/>
  <c r="Q19" i="9" s="1"/>
  <c r="N19" i="9"/>
  <c r="AG19" i="9" s="1"/>
  <c r="L19" i="9"/>
  <c r="K19" i="9"/>
  <c r="I19" i="9"/>
  <c r="H19" i="9"/>
  <c r="AO18" i="9"/>
  <c r="AD18" i="9"/>
  <c r="AB18" i="9"/>
  <c r="Z18" i="9"/>
  <c r="Y18" i="9"/>
  <c r="V18" i="9"/>
  <c r="W18" i="9" s="1"/>
  <c r="T18" i="9"/>
  <c r="S18" i="9"/>
  <c r="O18" i="9"/>
  <c r="Q18" i="9" s="1"/>
  <c r="N18" i="9"/>
  <c r="AG18" i="9" s="1"/>
  <c r="L18" i="9"/>
  <c r="K18" i="9"/>
  <c r="I18" i="9"/>
  <c r="H18" i="9"/>
  <c r="AO17" i="9"/>
  <c r="AD17" i="9"/>
  <c r="AB17" i="9"/>
  <c r="W17" i="9"/>
  <c r="V17" i="9"/>
  <c r="T17" i="9"/>
  <c r="S17" i="9"/>
  <c r="Q17" i="9"/>
  <c r="O17" i="9"/>
  <c r="K17" i="9"/>
  <c r="N17" i="9" s="1"/>
  <c r="AG17" i="9" s="1"/>
  <c r="I17" i="9"/>
  <c r="H17" i="9"/>
  <c r="AO16" i="9"/>
  <c r="AG16" i="9"/>
  <c r="AD16" i="9"/>
  <c r="AB16" i="9"/>
  <c r="V16" i="9"/>
  <c r="T16" i="9"/>
  <c r="S16" i="9"/>
  <c r="Q16" i="9"/>
  <c r="O16" i="9"/>
  <c r="L16" i="9"/>
  <c r="K16" i="9"/>
  <c r="N16" i="9" s="1"/>
  <c r="I16" i="9"/>
  <c r="H16" i="9"/>
  <c r="AO15" i="9"/>
  <c r="AG15" i="9"/>
  <c r="AD15" i="9"/>
  <c r="AB15" i="9"/>
  <c r="V15" i="9"/>
  <c r="W15" i="9" s="1"/>
  <c r="T15" i="9"/>
  <c r="S15" i="9"/>
  <c r="Y15" i="9" s="1"/>
  <c r="Z15" i="9" s="1"/>
  <c r="Q15" i="9"/>
  <c r="O15" i="9"/>
  <c r="N15" i="9"/>
  <c r="L15" i="9"/>
  <c r="K15" i="9"/>
  <c r="I15" i="9"/>
  <c r="H15" i="9"/>
  <c r="AO14" i="9"/>
  <c r="AD14" i="9"/>
  <c r="AB14" i="9"/>
  <c r="V14" i="9"/>
  <c r="W14" i="9" s="1"/>
  <c r="T14" i="9"/>
  <c r="S14" i="9"/>
  <c r="Y14" i="9" s="1"/>
  <c r="Z14" i="9" s="1"/>
  <c r="O14" i="9"/>
  <c r="Q14" i="9" s="1"/>
  <c r="N14" i="9"/>
  <c r="AG14" i="9" s="1"/>
  <c r="K14" i="9"/>
  <c r="L14" i="9" s="1"/>
  <c r="I14" i="9"/>
  <c r="H14" i="9"/>
  <c r="AO13" i="9"/>
  <c r="AD13" i="9"/>
  <c r="AD28" i="9" s="1"/>
  <c r="AB13" i="9"/>
  <c r="AB28" i="9" s="1"/>
  <c r="W13" i="9"/>
  <c r="V13" i="9"/>
  <c r="T13" i="9"/>
  <c r="S13" i="9"/>
  <c r="Q13" i="9"/>
  <c r="O13" i="9"/>
  <c r="K13" i="9"/>
  <c r="I13" i="9"/>
  <c r="H13" i="9"/>
  <c r="AN11" i="9"/>
  <c r="AM11" i="9"/>
  <c r="AL11" i="9"/>
  <c r="AK11" i="9"/>
  <c r="AJ11" i="9"/>
  <c r="AI11" i="9"/>
  <c r="AH11" i="9"/>
  <c r="W11" i="9"/>
  <c r="U11" i="9"/>
  <c r="U30" i="9" s="1"/>
  <c r="S11" i="9"/>
  <c r="R11" i="9"/>
  <c r="R30" i="9" s="1"/>
  <c r="M11" i="9"/>
  <c r="J11" i="9"/>
  <c r="J30" i="9" s="1"/>
  <c r="H11" i="9"/>
  <c r="G11" i="9"/>
  <c r="G30" i="9" s="1"/>
  <c r="F11" i="9"/>
  <c r="E11" i="9"/>
  <c r="O11" i="9" s="1"/>
  <c r="D11" i="9"/>
  <c r="V11" i="9" s="1"/>
  <c r="AO10" i="9"/>
  <c r="AD10" i="9"/>
  <c r="AB10" i="9"/>
  <c r="W10" i="9"/>
  <c r="V10" i="9"/>
  <c r="T10" i="9"/>
  <c r="S10" i="9"/>
  <c r="Y10" i="9" s="1"/>
  <c r="Z10" i="9" s="1"/>
  <c r="Q10" i="9"/>
  <c r="O10" i="9"/>
  <c r="K10" i="9"/>
  <c r="I10" i="9"/>
  <c r="H10" i="9"/>
  <c r="AO9" i="9"/>
  <c r="AD9" i="9"/>
  <c r="AB9" i="9"/>
  <c r="Y9" i="9"/>
  <c r="Z9" i="9" s="1"/>
  <c r="V9" i="9"/>
  <c r="T9" i="9"/>
  <c r="S9" i="9"/>
  <c r="W9" i="9" s="1"/>
  <c r="Q9" i="9"/>
  <c r="O9" i="9"/>
  <c r="L9" i="9"/>
  <c r="K9" i="9"/>
  <c r="N9" i="9" s="1"/>
  <c r="AG9" i="9" s="1"/>
  <c r="I9" i="9"/>
  <c r="H9" i="9"/>
  <c r="AO8" i="9"/>
  <c r="AD8" i="9"/>
  <c r="AB8" i="9"/>
  <c r="Z8" i="9"/>
  <c r="Y8" i="9"/>
  <c r="V8" i="9"/>
  <c r="T8" i="9"/>
  <c r="S8" i="9"/>
  <c r="W8" i="9" s="1"/>
  <c r="O8" i="9"/>
  <c r="Q8" i="9" s="1"/>
  <c r="N8" i="9"/>
  <c r="AG8" i="9" s="1"/>
  <c r="L8" i="9"/>
  <c r="K8" i="9"/>
  <c r="I8" i="9"/>
  <c r="H8" i="9"/>
  <c r="AO7" i="9"/>
  <c r="AD7" i="9"/>
  <c r="AB7" i="9"/>
  <c r="Z7" i="9"/>
  <c r="Y7" i="9"/>
  <c r="V7" i="9"/>
  <c r="W7" i="9" s="1"/>
  <c r="T7" i="9"/>
  <c r="S7" i="9"/>
  <c r="O7" i="9"/>
  <c r="Q7" i="9" s="1"/>
  <c r="N7" i="9"/>
  <c r="AG7" i="9" s="1"/>
  <c r="L7" i="9"/>
  <c r="K7" i="9"/>
  <c r="I7" i="9"/>
  <c r="H7" i="9"/>
  <c r="AO6" i="9"/>
  <c r="AD6" i="9"/>
  <c r="AD11" i="9" s="1"/>
  <c r="AB6" i="9"/>
  <c r="W6" i="9"/>
  <c r="V6" i="9"/>
  <c r="T6" i="9"/>
  <c r="S6" i="9"/>
  <c r="Q6" i="9"/>
  <c r="Q11" i="9" s="1"/>
  <c r="O6" i="9"/>
  <c r="K6" i="9"/>
  <c r="N6" i="9" s="1"/>
  <c r="AG6" i="9" s="1"/>
  <c r="I6" i="9"/>
  <c r="H6" i="9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F31" i="8"/>
  <c r="AN29" i="8"/>
  <c r="AM29" i="8"/>
  <c r="AL29" i="8"/>
  <c r="AK29" i="8"/>
  <c r="AJ29" i="8"/>
  <c r="AI29" i="8"/>
  <c r="AH29" i="8"/>
  <c r="U29" i="8"/>
  <c r="S29" i="8"/>
  <c r="R29" i="8"/>
  <c r="X29" i="8" s="1"/>
  <c r="M29" i="8"/>
  <c r="J29" i="8"/>
  <c r="T29" i="8" s="1"/>
  <c r="H29" i="8"/>
  <c r="G29" i="8"/>
  <c r="F29" i="8"/>
  <c r="E29" i="8"/>
  <c r="D29" i="8"/>
  <c r="V29" i="8" s="1"/>
  <c r="W29" i="8" s="1"/>
  <c r="AO28" i="8"/>
  <c r="AD28" i="8"/>
  <c r="AB28" i="8"/>
  <c r="W28" i="8"/>
  <c r="V28" i="8"/>
  <c r="T28" i="8"/>
  <c r="S28" i="8"/>
  <c r="Q28" i="8"/>
  <c r="O28" i="8"/>
  <c r="K28" i="8"/>
  <c r="I28" i="8"/>
  <c r="H28" i="8"/>
  <c r="AO27" i="8"/>
  <c r="AD27" i="8"/>
  <c r="AB27" i="8"/>
  <c r="Y27" i="8"/>
  <c r="Z27" i="8" s="1"/>
  <c r="V27" i="8"/>
  <c r="T27" i="8"/>
  <c r="S27" i="8"/>
  <c r="W27" i="8" s="1"/>
  <c r="Q27" i="8"/>
  <c r="O27" i="8"/>
  <c r="L27" i="8"/>
  <c r="K27" i="8"/>
  <c r="N27" i="8" s="1"/>
  <c r="AG27" i="8" s="1"/>
  <c r="I27" i="8"/>
  <c r="H27" i="8"/>
  <c r="AO26" i="8"/>
  <c r="AD26" i="8"/>
  <c r="AB26" i="8"/>
  <c r="Z26" i="8"/>
  <c r="Y26" i="8"/>
  <c r="V26" i="8"/>
  <c r="T26" i="8"/>
  <c r="S26" i="8"/>
  <c r="W26" i="8" s="1"/>
  <c r="O26" i="8"/>
  <c r="Q26" i="8" s="1"/>
  <c r="N26" i="8"/>
  <c r="AG26" i="8" s="1"/>
  <c r="L26" i="8"/>
  <c r="K26" i="8"/>
  <c r="I26" i="8"/>
  <c r="H26" i="8"/>
  <c r="AO25" i="8"/>
  <c r="AD25" i="8"/>
  <c r="AB25" i="8"/>
  <c r="Z25" i="8"/>
  <c r="Y25" i="8"/>
  <c r="V25" i="8"/>
  <c r="W25" i="8" s="1"/>
  <c r="T25" i="8"/>
  <c r="S25" i="8"/>
  <c r="O25" i="8"/>
  <c r="Q25" i="8" s="1"/>
  <c r="N25" i="8"/>
  <c r="AG25" i="8" s="1"/>
  <c r="L25" i="8"/>
  <c r="K25" i="8"/>
  <c r="I25" i="8"/>
  <c r="H25" i="8"/>
  <c r="AO24" i="8"/>
  <c r="AD24" i="8"/>
  <c r="AB24" i="8"/>
  <c r="W24" i="8"/>
  <c r="V24" i="8"/>
  <c r="T24" i="8"/>
  <c r="S24" i="8"/>
  <c r="Y24" i="8" s="1"/>
  <c r="Z24" i="8" s="1"/>
  <c r="Q24" i="8"/>
  <c r="O24" i="8"/>
  <c r="K24" i="8"/>
  <c r="N24" i="8" s="1"/>
  <c r="AG24" i="8" s="1"/>
  <c r="I24" i="8"/>
  <c r="H24" i="8"/>
  <c r="AO23" i="8"/>
  <c r="AD23" i="8"/>
  <c r="AB23" i="8"/>
  <c r="V23" i="8"/>
  <c r="T23" i="8"/>
  <c r="S23" i="8"/>
  <c r="Q23" i="8"/>
  <c r="O23" i="8"/>
  <c r="L23" i="8"/>
  <c r="K23" i="8"/>
  <c r="N23" i="8" s="1"/>
  <c r="AG23" i="8" s="1"/>
  <c r="I23" i="8"/>
  <c r="H23" i="8"/>
  <c r="AO22" i="8"/>
  <c r="AD22" i="8"/>
  <c r="AB22" i="8"/>
  <c r="V22" i="8"/>
  <c r="W22" i="8" s="1"/>
  <c r="T22" i="8"/>
  <c r="S22" i="8"/>
  <c r="Y22" i="8" s="1"/>
  <c r="Z22" i="8" s="1"/>
  <c r="Q22" i="8"/>
  <c r="O22" i="8"/>
  <c r="N22" i="8"/>
  <c r="AG22" i="8" s="1"/>
  <c r="L22" i="8"/>
  <c r="K22" i="8"/>
  <c r="I22" i="8"/>
  <c r="H22" i="8"/>
  <c r="AO21" i="8"/>
  <c r="AD21" i="8"/>
  <c r="AB21" i="8"/>
  <c r="V21" i="8"/>
  <c r="W21" i="8" s="1"/>
  <c r="T21" i="8"/>
  <c r="S21" i="8"/>
  <c r="Y21" i="8" s="1"/>
  <c r="Z21" i="8" s="1"/>
  <c r="O21" i="8"/>
  <c r="Q21" i="8" s="1"/>
  <c r="N21" i="8"/>
  <c r="AG21" i="8" s="1"/>
  <c r="K21" i="8"/>
  <c r="L21" i="8" s="1"/>
  <c r="I21" i="8"/>
  <c r="H21" i="8"/>
  <c r="AO20" i="8"/>
  <c r="AD20" i="8"/>
  <c r="AB20" i="8"/>
  <c r="W20" i="8"/>
  <c r="V20" i="8"/>
  <c r="T20" i="8"/>
  <c r="S20" i="8"/>
  <c r="Q20" i="8"/>
  <c r="O20" i="8"/>
  <c r="K20" i="8"/>
  <c r="I20" i="8"/>
  <c r="H20" i="8"/>
  <c r="AO19" i="8"/>
  <c r="AD19" i="8"/>
  <c r="AB19" i="8"/>
  <c r="Y19" i="8"/>
  <c r="Z19" i="8" s="1"/>
  <c r="V19" i="8"/>
  <c r="T19" i="8"/>
  <c r="S19" i="8"/>
  <c r="W19" i="8" s="1"/>
  <c r="Q19" i="8"/>
  <c r="O19" i="8"/>
  <c r="L19" i="8"/>
  <c r="K19" i="8"/>
  <c r="N19" i="8" s="1"/>
  <c r="AG19" i="8" s="1"/>
  <c r="I19" i="8"/>
  <c r="H19" i="8"/>
  <c r="AO18" i="8"/>
  <c r="AD18" i="8"/>
  <c r="AB18" i="8"/>
  <c r="Z18" i="8"/>
  <c r="Y18" i="8"/>
  <c r="V18" i="8"/>
  <c r="T18" i="8"/>
  <c r="S18" i="8"/>
  <c r="W18" i="8" s="1"/>
  <c r="O18" i="8"/>
  <c r="Q18" i="8" s="1"/>
  <c r="N18" i="8"/>
  <c r="AG18" i="8" s="1"/>
  <c r="L18" i="8"/>
  <c r="K18" i="8"/>
  <c r="I18" i="8"/>
  <c r="H18" i="8"/>
  <c r="AO17" i="8"/>
  <c r="AD17" i="8"/>
  <c r="AB17" i="8"/>
  <c r="Z17" i="8"/>
  <c r="Y17" i="8"/>
  <c r="V17" i="8"/>
  <c r="W17" i="8" s="1"/>
  <c r="T17" i="8"/>
  <c r="S17" i="8"/>
  <c r="O17" i="8"/>
  <c r="Q17" i="8" s="1"/>
  <c r="N17" i="8"/>
  <c r="AG17" i="8" s="1"/>
  <c r="L17" i="8"/>
  <c r="K17" i="8"/>
  <c r="I17" i="8"/>
  <c r="H17" i="8"/>
  <c r="AO16" i="8"/>
  <c r="AD16" i="8"/>
  <c r="AB16" i="8"/>
  <c r="W16" i="8"/>
  <c r="V16" i="8"/>
  <c r="T16" i="8"/>
  <c r="S16" i="8"/>
  <c r="Y16" i="8" s="1"/>
  <c r="Z16" i="8" s="1"/>
  <c r="Q16" i="8"/>
  <c r="O16" i="8"/>
  <c r="K16" i="8"/>
  <c r="N16" i="8" s="1"/>
  <c r="AG16" i="8" s="1"/>
  <c r="I16" i="8"/>
  <c r="H16" i="8"/>
  <c r="AO15" i="8"/>
  <c r="AD15" i="8"/>
  <c r="AB15" i="8"/>
  <c r="V15" i="8"/>
  <c r="T15" i="8"/>
  <c r="S15" i="8"/>
  <c r="Q15" i="8"/>
  <c r="O15" i="8"/>
  <c r="L15" i="8"/>
  <c r="K15" i="8"/>
  <c r="N15" i="8" s="1"/>
  <c r="AG15" i="8" s="1"/>
  <c r="I15" i="8"/>
  <c r="H15" i="8"/>
  <c r="AO14" i="8"/>
  <c r="AD14" i="8"/>
  <c r="AB14" i="8"/>
  <c r="V14" i="8"/>
  <c r="W14" i="8" s="1"/>
  <c r="T14" i="8"/>
  <c r="S14" i="8"/>
  <c r="Y14" i="8" s="1"/>
  <c r="Z14" i="8" s="1"/>
  <c r="Q14" i="8"/>
  <c r="O14" i="8"/>
  <c r="N14" i="8"/>
  <c r="AG14" i="8" s="1"/>
  <c r="L14" i="8"/>
  <c r="K14" i="8"/>
  <c r="I14" i="8"/>
  <c r="H14" i="8"/>
  <c r="AO13" i="8"/>
  <c r="AD13" i="8"/>
  <c r="AB13" i="8"/>
  <c r="V13" i="8"/>
  <c r="W13" i="8" s="1"/>
  <c r="T13" i="8"/>
  <c r="S13" i="8"/>
  <c r="Y13" i="8" s="1"/>
  <c r="Z13" i="8" s="1"/>
  <c r="O13" i="8"/>
  <c r="Q13" i="8" s="1"/>
  <c r="N13" i="8"/>
  <c r="AG13" i="8" s="1"/>
  <c r="K13" i="8"/>
  <c r="L13" i="8" s="1"/>
  <c r="I13" i="8"/>
  <c r="H13" i="8"/>
  <c r="AN11" i="8"/>
  <c r="AM11" i="8"/>
  <c r="AL11" i="8"/>
  <c r="AK11" i="8"/>
  <c r="AJ11" i="8"/>
  <c r="AH11" i="8"/>
  <c r="U11" i="8"/>
  <c r="U31" i="8" s="1"/>
  <c r="R11" i="8"/>
  <c r="T11" i="8" s="1"/>
  <c r="M11" i="8"/>
  <c r="J11" i="8"/>
  <c r="J31" i="8" s="1"/>
  <c r="H11" i="8"/>
  <c r="G11" i="8"/>
  <c r="G31" i="8" s="1"/>
  <c r="H31" i="8" s="1"/>
  <c r="F11" i="8"/>
  <c r="E11" i="8"/>
  <c r="P11" i="8" s="1"/>
  <c r="D11" i="8"/>
  <c r="K11" i="8" s="1"/>
  <c r="N11" i="8" s="1"/>
  <c r="AO10" i="8"/>
  <c r="AD10" i="8"/>
  <c r="AB10" i="8"/>
  <c r="V10" i="8"/>
  <c r="W10" i="8" s="1"/>
  <c r="T10" i="8"/>
  <c r="S10" i="8"/>
  <c r="Y10" i="8" s="1"/>
  <c r="Z10" i="8" s="1"/>
  <c r="O10" i="8"/>
  <c r="Q10" i="8" s="1"/>
  <c r="N10" i="8"/>
  <c r="AG10" i="8" s="1"/>
  <c r="K10" i="8"/>
  <c r="L10" i="8" s="1"/>
  <c r="I10" i="8"/>
  <c r="H10" i="8"/>
  <c r="AO9" i="8"/>
  <c r="AD9" i="8"/>
  <c r="AB9" i="8"/>
  <c r="W9" i="8"/>
  <c r="V9" i="8"/>
  <c r="T9" i="8"/>
  <c r="S9" i="8"/>
  <c r="Q9" i="8"/>
  <c r="O9" i="8"/>
  <c r="K9" i="8"/>
  <c r="I9" i="8"/>
  <c r="H9" i="8"/>
  <c r="AO8" i="8"/>
  <c r="AD8" i="8"/>
  <c r="AD11" i="8" s="1"/>
  <c r="AB8" i="8"/>
  <c r="Y8" i="8"/>
  <c r="Z8" i="8" s="1"/>
  <c r="V8" i="8"/>
  <c r="T8" i="8"/>
  <c r="S8" i="8"/>
  <c r="W8" i="8" s="1"/>
  <c r="Q8" i="8"/>
  <c r="O8" i="8"/>
  <c r="L8" i="8"/>
  <c r="K8" i="8"/>
  <c r="N8" i="8" s="1"/>
  <c r="AG8" i="8" s="1"/>
  <c r="I8" i="8"/>
  <c r="H8" i="8"/>
  <c r="AO7" i="8"/>
  <c r="AD7" i="8"/>
  <c r="AB7" i="8"/>
  <c r="Z7" i="8"/>
  <c r="Y7" i="8"/>
  <c r="V7" i="8"/>
  <c r="T7" i="8"/>
  <c r="S7" i="8"/>
  <c r="W7" i="8" s="1"/>
  <c r="O7" i="8"/>
  <c r="Q7" i="8" s="1"/>
  <c r="N7" i="8"/>
  <c r="AG7" i="8" s="1"/>
  <c r="L7" i="8"/>
  <c r="K7" i="8"/>
  <c r="I7" i="8"/>
  <c r="H7" i="8"/>
  <c r="AO6" i="8"/>
  <c r="AG6" i="8"/>
  <c r="AD6" i="8"/>
  <c r="AB6" i="8"/>
  <c r="AB11" i="8" s="1"/>
  <c r="Z6" i="8"/>
  <c r="Y6" i="8"/>
  <c r="V6" i="8"/>
  <c r="W6" i="8" s="1"/>
  <c r="T6" i="8"/>
  <c r="S6" i="8"/>
  <c r="O6" i="8"/>
  <c r="N6" i="8"/>
  <c r="L6" i="8"/>
  <c r="K6" i="8"/>
  <c r="I6" i="8"/>
  <c r="H6" i="8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E30" i="7"/>
  <c r="AN28" i="7"/>
  <c r="AM28" i="7"/>
  <c r="AL28" i="7"/>
  <c r="AK28" i="7"/>
  <c r="AJ28" i="7"/>
  <c r="AI28" i="7"/>
  <c r="AH28" i="7"/>
  <c r="X28" i="7"/>
  <c r="U28" i="7"/>
  <c r="V28" i="7" s="1"/>
  <c r="T28" i="7"/>
  <c r="R28" i="7"/>
  <c r="P28" i="7"/>
  <c r="M28" i="7"/>
  <c r="K28" i="7"/>
  <c r="N28" i="7" s="1"/>
  <c r="J28" i="7"/>
  <c r="G28" i="7"/>
  <c r="H28" i="7" s="1"/>
  <c r="F28" i="7"/>
  <c r="E28" i="7"/>
  <c r="O28" i="7" s="1"/>
  <c r="D28" i="7"/>
  <c r="AO27" i="7"/>
  <c r="AD27" i="7"/>
  <c r="AB27" i="7"/>
  <c r="V27" i="7"/>
  <c r="T27" i="7"/>
  <c r="S27" i="7"/>
  <c r="Y27" i="7" s="1"/>
  <c r="Z27" i="7" s="1"/>
  <c r="Q27" i="7"/>
  <c r="O27" i="7"/>
  <c r="N27" i="7"/>
  <c r="AG27" i="7" s="1"/>
  <c r="L27" i="7"/>
  <c r="K27" i="7"/>
  <c r="I27" i="7"/>
  <c r="H27" i="7"/>
  <c r="AO26" i="7"/>
  <c r="AD26" i="7"/>
  <c r="AB26" i="7"/>
  <c r="V26" i="7"/>
  <c r="W26" i="7" s="1"/>
  <c r="T26" i="7"/>
  <c r="S26" i="7"/>
  <c r="Y26" i="7" s="1"/>
  <c r="Z26" i="7" s="1"/>
  <c r="O26" i="7"/>
  <c r="Q26" i="7" s="1"/>
  <c r="N26" i="7"/>
  <c r="AG26" i="7" s="1"/>
  <c r="L26" i="7"/>
  <c r="K26" i="7"/>
  <c r="I26" i="7"/>
  <c r="H26" i="7"/>
  <c r="AO25" i="7"/>
  <c r="AD25" i="7"/>
  <c r="AB25" i="7"/>
  <c r="W25" i="7"/>
  <c r="V25" i="7"/>
  <c r="T25" i="7"/>
  <c r="S25" i="7"/>
  <c r="Q25" i="7"/>
  <c r="O25" i="7"/>
  <c r="K25" i="7"/>
  <c r="I25" i="7"/>
  <c r="H25" i="7"/>
  <c r="AO24" i="7"/>
  <c r="AD24" i="7"/>
  <c r="AB24" i="7"/>
  <c r="Y24" i="7"/>
  <c r="Z24" i="7" s="1"/>
  <c r="V24" i="7"/>
  <c r="T24" i="7"/>
  <c r="S24" i="7"/>
  <c r="W24" i="7" s="1"/>
  <c r="Q24" i="7"/>
  <c r="O24" i="7"/>
  <c r="L24" i="7"/>
  <c r="K24" i="7"/>
  <c r="N24" i="7" s="1"/>
  <c r="AG24" i="7" s="1"/>
  <c r="I24" i="7"/>
  <c r="H24" i="7"/>
  <c r="AO23" i="7"/>
  <c r="AD23" i="7"/>
  <c r="AB23" i="7"/>
  <c r="Z23" i="7"/>
  <c r="Y23" i="7"/>
  <c r="V23" i="7"/>
  <c r="T23" i="7"/>
  <c r="S23" i="7"/>
  <c r="W23" i="7" s="1"/>
  <c r="Q23" i="7"/>
  <c r="O23" i="7"/>
  <c r="N23" i="7"/>
  <c r="AG23" i="7" s="1"/>
  <c r="L23" i="7"/>
  <c r="K23" i="7"/>
  <c r="I23" i="7"/>
  <c r="H23" i="7"/>
  <c r="AO22" i="7"/>
  <c r="AD22" i="7"/>
  <c r="AB22" i="7"/>
  <c r="Z22" i="7"/>
  <c r="Y22" i="7"/>
  <c r="V22" i="7"/>
  <c r="W22" i="7" s="1"/>
  <c r="T22" i="7"/>
  <c r="S22" i="7"/>
  <c r="O22" i="7"/>
  <c r="Q22" i="7" s="1"/>
  <c r="N22" i="7"/>
  <c r="AG22" i="7" s="1"/>
  <c r="L22" i="7"/>
  <c r="K22" i="7"/>
  <c r="I22" i="7"/>
  <c r="H22" i="7"/>
  <c r="AO21" i="7"/>
  <c r="AD21" i="7"/>
  <c r="AB21" i="7"/>
  <c r="W21" i="7"/>
  <c r="V21" i="7"/>
  <c r="T21" i="7"/>
  <c r="S21" i="7"/>
  <c r="Q21" i="7"/>
  <c r="O21" i="7"/>
  <c r="K21" i="7"/>
  <c r="N21" i="7" s="1"/>
  <c r="AG21" i="7" s="1"/>
  <c r="I21" i="7"/>
  <c r="H21" i="7"/>
  <c r="AO20" i="7"/>
  <c r="AD20" i="7"/>
  <c r="AB20" i="7"/>
  <c r="V20" i="7"/>
  <c r="T20" i="7"/>
  <c r="S20" i="7"/>
  <c r="Q20" i="7"/>
  <c r="O20" i="7"/>
  <c r="L20" i="7"/>
  <c r="K20" i="7"/>
  <c r="N20" i="7" s="1"/>
  <c r="AG20" i="7" s="1"/>
  <c r="I20" i="7"/>
  <c r="H20" i="7"/>
  <c r="AO19" i="7"/>
  <c r="AD19" i="7"/>
  <c r="AB19" i="7"/>
  <c r="V19" i="7"/>
  <c r="T19" i="7"/>
  <c r="S19" i="7"/>
  <c r="Y19" i="7" s="1"/>
  <c r="Z19" i="7" s="1"/>
  <c r="Q19" i="7"/>
  <c r="O19" i="7"/>
  <c r="N19" i="7"/>
  <c r="AG19" i="7" s="1"/>
  <c r="L19" i="7"/>
  <c r="K19" i="7"/>
  <c r="I19" i="7"/>
  <c r="H19" i="7"/>
  <c r="AO18" i="7"/>
  <c r="AD18" i="7"/>
  <c r="AB18" i="7"/>
  <c r="V18" i="7"/>
  <c r="W18" i="7" s="1"/>
  <c r="T18" i="7"/>
  <c r="S18" i="7"/>
  <c r="Y18" i="7" s="1"/>
  <c r="Z18" i="7" s="1"/>
  <c r="O18" i="7"/>
  <c r="Q18" i="7" s="1"/>
  <c r="N18" i="7"/>
  <c r="AG18" i="7" s="1"/>
  <c r="L18" i="7"/>
  <c r="K18" i="7"/>
  <c r="I18" i="7"/>
  <c r="H18" i="7"/>
  <c r="AO17" i="7"/>
  <c r="AD17" i="7"/>
  <c r="AB17" i="7"/>
  <c r="W17" i="7"/>
  <c r="V17" i="7"/>
  <c r="T17" i="7"/>
  <c r="S17" i="7"/>
  <c r="Q17" i="7"/>
  <c r="O17" i="7"/>
  <c r="K17" i="7"/>
  <c r="I17" i="7"/>
  <c r="H17" i="7"/>
  <c r="AO16" i="7"/>
  <c r="AD16" i="7"/>
  <c r="AB16" i="7"/>
  <c r="Y16" i="7"/>
  <c r="Z16" i="7" s="1"/>
  <c r="V16" i="7"/>
  <c r="T16" i="7"/>
  <c r="S16" i="7"/>
  <c r="W16" i="7" s="1"/>
  <c r="Q16" i="7"/>
  <c r="O16" i="7"/>
  <c r="L16" i="7"/>
  <c r="K16" i="7"/>
  <c r="N16" i="7" s="1"/>
  <c r="AG16" i="7" s="1"/>
  <c r="I16" i="7"/>
  <c r="H16" i="7"/>
  <c r="AO15" i="7"/>
  <c r="AD15" i="7"/>
  <c r="AB15" i="7"/>
  <c r="Z15" i="7"/>
  <c r="Y15" i="7"/>
  <c r="V15" i="7"/>
  <c r="T15" i="7"/>
  <c r="S15" i="7"/>
  <c r="W15" i="7" s="1"/>
  <c r="Q15" i="7"/>
  <c r="O15" i="7"/>
  <c r="N15" i="7"/>
  <c r="AG15" i="7" s="1"/>
  <c r="L15" i="7"/>
  <c r="K15" i="7"/>
  <c r="I15" i="7"/>
  <c r="H15" i="7"/>
  <c r="AO14" i="7"/>
  <c r="AD14" i="7"/>
  <c r="AB14" i="7"/>
  <c r="Z14" i="7"/>
  <c r="Y14" i="7"/>
  <c r="V14" i="7"/>
  <c r="W14" i="7" s="1"/>
  <c r="T14" i="7"/>
  <c r="S14" i="7"/>
  <c r="O14" i="7"/>
  <c r="Q14" i="7" s="1"/>
  <c r="N14" i="7"/>
  <c r="AG14" i="7" s="1"/>
  <c r="L14" i="7"/>
  <c r="K14" i="7"/>
  <c r="I14" i="7"/>
  <c r="H14" i="7"/>
  <c r="AO13" i="7"/>
  <c r="AG13" i="7"/>
  <c r="AD13" i="7"/>
  <c r="AB13" i="7"/>
  <c r="W13" i="7"/>
  <c r="V13" i="7"/>
  <c r="T13" i="7"/>
  <c r="S13" i="7"/>
  <c r="Y13" i="7" s="1"/>
  <c r="Z13" i="7" s="1"/>
  <c r="Q13" i="7"/>
  <c r="O13" i="7"/>
  <c r="K13" i="7"/>
  <c r="N13" i="7" s="1"/>
  <c r="I13" i="7"/>
  <c r="H13" i="7"/>
  <c r="AN11" i="7"/>
  <c r="AM11" i="7"/>
  <c r="AL11" i="7"/>
  <c r="AK11" i="7"/>
  <c r="AJ11" i="7"/>
  <c r="AI11" i="7"/>
  <c r="AH11" i="7"/>
  <c r="AB11" i="7"/>
  <c r="U11" i="7"/>
  <c r="S11" i="7"/>
  <c r="R11" i="7"/>
  <c r="X11" i="7" s="1"/>
  <c r="M11" i="7"/>
  <c r="J11" i="7"/>
  <c r="H11" i="7"/>
  <c r="G11" i="7"/>
  <c r="G30" i="7" s="1"/>
  <c r="F11" i="7"/>
  <c r="E11" i="7"/>
  <c r="P11" i="7" s="1"/>
  <c r="D11" i="7"/>
  <c r="V11" i="7" s="1"/>
  <c r="W11" i="7" s="1"/>
  <c r="AO10" i="7"/>
  <c r="AD10" i="7"/>
  <c r="AB10" i="7"/>
  <c r="W10" i="7"/>
  <c r="V10" i="7"/>
  <c r="T10" i="7"/>
  <c r="S10" i="7"/>
  <c r="Q10" i="7"/>
  <c r="O10" i="7"/>
  <c r="K10" i="7"/>
  <c r="N10" i="7" s="1"/>
  <c r="AG10" i="7" s="1"/>
  <c r="I10" i="7"/>
  <c r="H10" i="7"/>
  <c r="AO9" i="7"/>
  <c r="AG9" i="7"/>
  <c r="AD9" i="7"/>
  <c r="AB9" i="7"/>
  <c r="V9" i="7"/>
  <c r="T9" i="7"/>
  <c r="S9" i="7"/>
  <c r="Q9" i="7"/>
  <c r="O9" i="7"/>
  <c r="L9" i="7"/>
  <c r="K9" i="7"/>
  <c r="N9" i="7" s="1"/>
  <c r="I9" i="7"/>
  <c r="H9" i="7"/>
  <c r="AO8" i="7"/>
  <c r="AD8" i="7"/>
  <c r="AB8" i="7"/>
  <c r="V8" i="7"/>
  <c r="T8" i="7"/>
  <c r="S8" i="7"/>
  <c r="Y8" i="7" s="1"/>
  <c r="Z8" i="7" s="1"/>
  <c r="Q8" i="7"/>
  <c r="O8" i="7"/>
  <c r="N8" i="7"/>
  <c r="AG8" i="7" s="1"/>
  <c r="L8" i="7"/>
  <c r="K8" i="7"/>
  <c r="I8" i="7"/>
  <c r="H8" i="7"/>
  <c r="AO7" i="7"/>
  <c r="AD7" i="7"/>
  <c r="AB7" i="7"/>
  <c r="V7" i="7"/>
  <c r="W7" i="7" s="1"/>
  <c r="T7" i="7"/>
  <c r="S7" i="7"/>
  <c r="Y7" i="7" s="1"/>
  <c r="Z7" i="7" s="1"/>
  <c r="O7" i="7"/>
  <c r="Q7" i="7" s="1"/>
  <c r="N7" i="7"/>
  <c r="AG7" i="7" s="1"/>
  <c r="L7" i="7"/>
  <c r="K7" i="7"/>
  <c r="I7" i="7"/>
  <c r="H7" i="7"/>
  <c r="AO6" i="7"/>
  <c r="AG6" i="7"/>
  <c r="AD6" i="7"/>
  <c r="AD11" i="7" s="1"/>
  <c r="AB6" i="7"/>
  <c r="W6" i="7"/>
  <c r="V6" i="7"/>
  <c r="T6" i="7"/>
  <c r="S6" i="7"/>
  <c r="Y6" i="7" s="1"/>
  <c r="Z6" i="7" s="1"/>
  <c r="Q6" i="7"/>
  <c r="Q11" i="7" s="1"/>
  <c r="O6" i="7"/>
  <c r="K6" i="7"/>
  <c r="I6" i="7"/>
  <c r="H6" i="7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AH30" i="6"/>
  <c r="F30" i="6"/>
  <c r="AN28" i="6"/>
  <c r="AM28" i="6"/>
  <c r="AL28" i="6"/>
  <c r="AK28" i="6"/>
  <c r="AJ28" i="6"/>
  <c r="AI28" i="6"/>
  <c r="AH28" i="6"/>
  <c r="AB28" i="6"/>
  <c r="W28" i="6"/>
  <c r="U28" i="6"/>
  <c r="S28" i="6"/>
  <c r="R28" i="6"/>
  <c r="X28" i="6" s="1"/>
  <c r="J28" i="6"/>
  <c r="H28" i="6"/>
  <c r="G28" i="6"/>
  <c r="F28" i="6"/>
  <c r="E28" i="6"/>
  <c r="P28" i="6" s="1"/>
  <c r="D28" i="6"/>
  <c r="V28" i="6" s="1"/>
  <c r="AO27" i="6"/>
  <c r="AD27" i="6"/>
  <c r="AB27" i="6"/>
  <c r="W27" i="6"/>
  <c r="V27" i="6"/>
  <c r="T27" i="6"/>
  <c r="S27" i="6"/>
  <c r="Q27" i="6"/>
  <c r="O27" i="6"/>
  <c r="K27" i="6"/>
  <c r="I27" i="6"/>
  <c r="H27" i="6"/>
  <c r="AO26" i="6"/>
  <c r="AG26" i="6"/>
  <c r="AD26" i="6"/>
  <c r="AB26" i="6"/>
  <c r="Y26" i="6"/>
  <c r="Z26" i="6" s="1"/>
  <c r="V26" i="6"/>
  <c r="T26" i="6"/>
  <c r="S26" i="6"/>
  <c r="W26" i="6" s="1"/>
  <c r="Q26" i="6"/>
  <c r="O26" i="6"/>
  <c r="L26" i="6"/>
  <c r="K26" i="6"/>
  <c r="N26" i="6" s="1"/>
  <c r="I26" i="6"/>
  <c r="H26" i="6"/>
  <c r="AO25" i="6"/>
  <c r="AD25" i="6"/>
  <c r="AB25" i="6"/>
  <c r="V25" i="6"/>
  <c r="T25" i="6"/>
  <c r="S25" i="6"/>
  <c r="Y25" i="6" s="1"/>
  <c r="Z25" i="6" s="1"/>
  <c r="Q25" i="6"/>
  <c r="O25" i="6"/>
  <c r="N25" i="6"/>
  <c r="AG25" i="6" s="1"/>
  <c r="L25" i="6"/>
  <c r="K25" i="6"/>
  <c r="I25" i="6"/>
  <c r="H25" i="6"/>
  <c r="AO24" i="6"/>
  <c r="AD24" i="6"/>
  <c r="AB24" i="6"/>
  <c r="V24" i="6"/>
  <c r="W24" i="6" s="1"/>
  <c r="T24" i="6"/>
  <c r="S24" i="6"/>
  <c r="Y24" i="6" s="1"/>
  <c r="Z24" i="6" s="1"/>
  <c r="O24" i="6"/>
  <c r="Q24" i="6" s="1"/>
  <c r="N24" i="6"/>
  <c r="AG24" i="6" s="1"/>
  <c r="L24" i="6"/>
  <c r="K24" i="6"/>
  <c r="I24" i="6"/>
  <c r="H24" i="6"/>
  <c r="AO23" i="6"/>
  <c r="AD23" i="6"/>
  <c r="AB23" i="6"/>
  <c r="W23" i="6"/>
  <c r="V23" i="6"/>
  <c r="T23" i="6"/>
  <c r="S23" i="6"/>
  <c r="Q23" i="6"/>
  <c r="O23" i="6"/>
  <c r="K23" i="6"/>
  <c r="I23" i="6"/>
  <c r="H23" i="6"/>
  <c r="AO22" i="6"/>
  <c r="AG22" i="6"/>
  <c r="AD22" i="6"/>
  <c r="AB22" i="6"/>
  <c r="Y22" i="6"/>
  <c r="Z22" i="6" s="1"/>
  <c r="V22" i="6"/>
  <c r="T22" i="6"/>
  <c r="S22" i="6"/>
  <c r="W22" i="6" s="1"/>
  <c r="Q22" i="6"/>
  <c r="O22" i="6"/>
  <c r="L22" i="6"/>
  <c r="K22" i="6"/>
  <c r="N22" i="6" s="1"/>
  <c r="I22" i="6"/>
  <c r="H22" i="6"/>
  <c r="AO21" i="6"/>
  <c r="AD21" i="6"/>
  <c r="AB21" i="6"/>
  <c r="Z21" i="6"/>
  <c r="Y21" i="6"/>
  <c r="V21" i="6"/>
  <c r="T21" i="6"/>
  <c r="S21" i="6"/>
  <c r="W21" i="6" s="1"/>
  <c r="Q21" i="6"/>
  <c r="O21" i="6"/>
  <c r="N21" i="6"/>
  <c r="AG21" i="6" s="1"/>
  <c r="L21" i="6"/>
  <c r="K21" i="6"/>
  <c r="I21" i="6"/>
  <c r="H21" i="6"/>
  <c r="AO20" i="6"/>
  <c r="AD20" i="6"/>
  <c r="AB20" i="6"/>
  <c r="Z20" i="6"/>
  <c r="Y20" i="6"/>
  <c r="V20" i="6"/>
  <c r="W20" i="6" s="1"/>
  <c r="T20" i="6"/>
  <c r="S20" i="6"/>
  <c r="O20" i="6"/>
  <c r="Q20" i="6" s="1"/>
  <c r="N20" i="6"/>
  <c r="AG20" i="6" s="1"/>
  <c r="L20" i="6"/>
  <c r="K20" i="6"/>
  <c r="I20" i="6"/>
  <c r="H20" i="6"/>
  <c r="AO19" i="6"/>
  <c r="AD19" i="6"/>
  <c r="AB19" i="6"/>
  <c r="W19" i="6"/>
  <c r="V19" i="6"/>
  <c r="T19" i="6"/>
  <c r="S19" i="6"/>
  <c r="Q19" i="6"/>
  <c r="O19" i="6"/>
  <c r="K19" i="6"/>
  <c r="I19" i="6"/>
  <c r="H19" i="6"/>
  <c r="AO18" i="6"/>
  <c r="AG18" i="6"/>
  <c r="AD18" i="6"/>
  <c r="AB18" i="6"/>
  <c r="V18" i="6"/>
  <c r="T18" i="6"/>
  <c r="S18" i="6"/>
  <c r="W18" i="6" s="1"/>
  <c r="Q18" i="6"/>
  <c r="O18" i="6"/>
  <c r="L18" i="6"/>
  <c r="K18" i="6"/>
  <c r="N18" i="6" s="1"/>
  <c r="I18" i="6"/>
  <c r="H18" i="6"/>
  <c r="AO17" i="6"/>
  <c r="AD17" i="6"/>
  <c r="AB17" i="6"/>
  <c r="Z17" i="6"/>
  <c r="V17" i="6"/>
  <c r="T17" i="6"/>
  <c r="S17" i="6"/>
  <c r="Y17" i="6" s="1"/>
  <c r="Q17" i="6"/>
  <c r="O17" i="6"/>
  <c r="N17" i="6"/>
  <c r="AG17" i="6" s="1"/>
  <c r="L17" i="6"/>
  <c r="K17" i="6"/>
  <c r="I17" i="6"/>
  <c r="H17" i="6"/>
  <c r="AO16" i="6"/>
  <c r="AD16" i="6"/>
  <c r="AB16" i="6"/>
  <c r="V16" i="6"/>
  <c r="W16" i="6" s="1"/>
  <c r="T16" i="6"/>
  <c r="S16" i="6"/>
  <c r="Y16" i="6" s="1"/>
  <c r="Z16" i="6" s="1"/>
  <c r="O16" i="6"/>
  <c r="Q16" i="6" s="1"/>
  <c r="N16" i="6"/>
  <c r="AG16" i="6" s="1"/>
  <c r="L16" i="6"/>
  <c r="K16" i="6"/>
  <c r="I16" i="6"/>
  <c r="H16" i="6"/>
  <c r="AO15" i="6"/>
  <c r="AD15" i="6"/>
  <c r="AB15" i="6"/>
  <c r="W15" i="6"/>
  <c r="V15" i="6"/>
  <c r="T15" i="6"/>
  <c r="S15" i="6"/>
  <c r="Q15" i="6"/>
  <c r="O15" i="6"/>
  <c r="K15" i="6"/>
  <c r="I15" i="6"/>
  <c r="H15" i="6"/>
  <c r="AO14" i="6"/>
  <c r="AD14" i="6"/>
  <c r="AB14" i="6"/>
  <c r="Y14" i="6"/>
  <c r="Z14" i="6" s="1"/>
  <c r="V14" i="6"/>
  <c r="T14" i="6"/>
  <c r="S14" i="6"/>
  <c r="W14" i="6" s="1"/>
  <c r="Q14" i="6"/>
  <c r="O14" i="6"/>
  <c r="L14" i="6"/>
  <c r="K14" i="6"/>
  <c r="N14" i="6" s="1"/>
  <c r="AG14" i="6" s="1"/>
  <c r="I14" i="6"/>
  <c r="H14" i="6"/>
  <c r="AO13" i="6"/>
  <c r="AG13" i="6"/>
  <c r="AD13" i="6"/>
  <c r="AB13" i="6"/>
  <c r="Z13" i="6"/>
  <c r="Y13" i="6"/>
  <c r="V13" i="6"/>
  <c r="T13" i="6"/>
  <c r="S13" i="6"/>
  <c r="W13" i="6" s="1"/>
  <c r="Q13" i="6"/>
  <c r="O13" i="6"/>
  <c r="N13" i="6"/>
  <c r="L13" i="6"/>
  <c r="K13" i="6"/>
  <c r="I13" i="6"/>
  <c r="H13" i="6"/>
  <c r="AN11" i="6"/>
  <c r="AM11" i="6"/>
  <c r="AL11" i="6"/>
  <c r="AK11" i="6"/>
  <c r="AJ11" i="6"/>
  <c r="AI11" i="6"/>
  <c r="AH11" i="6"/>
  <c r="AI30" i="6" s="1"/>
  <c r="X11" i="6"/>
  <c r="U11" i="6"/>
  <c r="T11" i="6"/>
  <c r="R11" i="6"/>
  <c r="R30" i="6" s="1"/>
  <c r="Q11" i="6"/>
  <c r="P11" i="6"/>
  <c r="M11" i="6"/>
  <c r="J11" i="6"/>
  <c r="J30" i="6" s="1"/>
  <c r="T30" i="6" s="1"/>
  <c r="G11" i="6"/>
  <c r="F11" i="6"/>
  <c r="K11" i="6" s="1"/>
  <c r="E11" i="6"/>
  <c r="O11" i="6" s="1"/>
  <c r="D11" i="6"/>
  <c r="AO10" i="6"/>
  <c r="AD10" i="6"/>
  <c r="AB10" i="6"/>
  <c r="Z10" i="6"/>
  <c r="Y10" i="6"/>
  <c r="V10" i="6"/>
  <c r="T10" i="6"/>
  <c r="S10" i="6"/>
  <c r="W10" i="6" s="1"/>
  <c r="Q10" i="6"/>
  <c r="O10" i="6"/>
  <c r="N10" i="6"/>
  <c r="AG10" i="6" s="1"/>
  <c r="L10" i="6"/>
  <c r="K10" i="6"/>
  <c r="I10" i="6"/>
  <c r="H10" i="6"/>
  <c r="AO9" i="6"/>
  <c r="AD9" i="6"/>
  <c r="AB9" i="6"/>
  <c r="Z9" i="6"/>
  <c r="Y9" i="6"/>
  <c r="V9" i="6"/>
  <c r="W9" i="6" s="1"/>
  <c r="T9" i="6"/>
  <c r="S9" i="6"/>
  <c r="O9" i="6"/>
  <c r="Q9" i="6" s="1"/>
  <c r="N9" i="6"/>
  <c r="AG9" i="6" s="1"/>
  <c r="L9" i="6"/>
  <c r="K9" i="6"/>
  <c r="I9" i="6"/>
  <c r="H9" i="6"/>
  <c r="AO8" i="6"/>
  <c r="AD8" i="6"/>
  <c r="AB8" i="6"/>
  <c r="W8" i="6"/>
  <c r="V8" i="6"/>
  <c r="T8" i="6"/>
  <c r="S8" i="6"/>
  <c r="Q8" i="6"/>
  <c r="O8" i="6"/>
  <c r="K8" i="6"/>
  <c r="I8" i="6"/>
  <c r="H8" i="6"/>
  <c r="AO7" i="6"/>
  <c r="AG7" i="6"/>
  <c r="AD7" i="6"/>
  <c r="AB7" i="6"/>
  <c r="V7" i="6"/>
  <c r="T7" i="6"/>
  <c r="S7" i="6"/>
  <c r="W7" i="6" s="1"/>
  <c r="Q7" i="6"/>
  <c r="O7" i="6"/>
  <c r="L7" i="6"/>
  <c r="K7" i="6"/>
  <c r="N7" i="6" s="1"/>
  <c r="I7" i="6"/>
  <c r="H7" i="6"/>
  <c r="AO6" i="6"/>
  <c r="AG6" i="6"/>
  <c r="AD6" i="6"/>
  <c r="AB6" i="6"/>
  <c r="V6" i="6"/>
  <c r="T6" i="6"/>
  <c r="S6" i="6"/>
  <c r="Y6" i="6" s="1"/>
  <c r="Z6" i="6" s="1"/>
  <c r="Q6" i="6"/>
  <c r="O6" i="6"/>
  <c r="N6" i="6"/>
  <c r="L6" i="6"/>
  <c r="K6" i="6"/>
  <c r="I6" i="6"/>
  <c r="H6" i="6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R30" i="5"/>
  <c r="AN28" i="5"/>
  <c r="AM28" i="5"/>
  <c r="AL28" i="5"/>
  <c r="AK28" i="5"/>
  <c r="AJ28" i="5"/>
  <c r="AI28" i="5"/>
  <c r="AH28" i="5"/>
  <c r="X28" i="5"/>
  <c r="U28" i="5"/>
  <c r="V28" i="5" s="1"/>
  <c r="T28" i="5"/>
  <c r="R28" i="5"/>
  <c r="P28" i="5"/>
  <c r="M28" i="5"/>
  <c r="J28" i="5"/>
  <c r="G28" i="5"/>
  <c r="H28" i="5" s="1"/>
  <c r="F28" i="5"/>
  <c r="K28" i="5" s="1"/>
  <c r="N28" i="5" s="1"/>
  <c r="E28" i="5"/>
  <c r="D28" i="5"/>
  <c r="AO27" i="5"/>
  <c r="AD27" i="5"/>
  <c r="AB27" i="5"/>
  <c r="Z27" i="5"/>
  <c r="Y27" i="5"/>
  <c r="V27" i="5"/>
  <c r="T27" i="5"/>
  <c r="S27" i="5"/>
  <c r="W27" i="5" s="1"/>
  <c r="Q27" i="5"/>
  <c r="O27" i="5"/>
  <c r="N27" i="5"/>
  <c r="AG27" i="5" s="1"/>
  <c r="L27" i="5"/>
  <c r="K27" i="5"/>
  <c r="I27" i="5"/>
  <c r="H27" i="5"/>
  <c r="AO26" i="5"/>
  <c r="AD26" i="5"/>
  <c r="AB26" i="5"/>
  <c r="Z26" i="5"/>
  <c r="Y26" i="5"/>
  <c r="V26" i="5"/>
  <c r="W26" i="5" s="1"/>
  <c r="T26" i="5"/>
  <c r="S26" i="5"/>
  <c r="O26" i="5"/>
  <c r="Q26" i="5" s="1"/>
  <c r="N26" i="5"/>
  <c r="AG26" i="5" s="1"/>
  <c r="L26" i="5"/>
  <c r="K26" i="5"/>
  <c r="I26" i="5"/>
  <c r="H26" i="5"/>
  <c r="AO25" i="5"/>
  <c r="AD25" i="5"/>
  <c r="AB25" i="5"/>
  <c r="W25" i="5"/>
  <c r="V25" i="5"/>
  <c r="T25" i="5"/>
  <c r="S25" i="5"/>
  <c r="Y25" i="5" s="1"/>
  <c r="Z25" i="5" s="1"/>
  <c r="Q25" i="5"/>
  <c r="O25" i="5"/>
  <c r="K25" i="5"/>
  <c r="I25" i="5"/>
  <c r="H25" i="5"/>
  <c r="AO24" i="5"/>
  <c r="AG24" i="5"/>
  <c r="AD24" i="5"/>
  <c r="AB24" i="5"/>
  <c r="Y24" i="5"/>
  <c r="Z24" i="5" s="1"/>
  <c r="V24" i="5"/>
  <c r="T24" i="5"/>
  <c r="S24" i="5"/>
  <c r="W24" i="5" s="1"/>
  <c r="Q24" i="5"/>
  <c r="O24" i="5"/>
  <c r="L24" i="5"/>
  <c r="K24" i="5"/>
  <c r="N24" i="5" s="1"/>
  <c r="I24" i="5"/>
  <c r="H24" i="5"/>
  <c r="AO23" i="5"/>
  <c r="AD23" i="5"/>
  <c r="AB23" i="5"/>
  <c r="V23" i="5"/>
  <c r="T23" i="5"/>
  <c r="S23" i="5"/>
  <c r="Y23" i="5" s="1"/>
  <c r="Z23" i="5" s="1"/>
  <c r="Q23" i="5"/>
  <c r="O23" i="5"/>
  <c r="N23" i="5"/>
  <c r="AG23" i="5" s="1"/>
  <c r="L23" i="5"/>
  <c r="K23" i="5"/>
  <c r="I23" i="5"/>
  <c r="H23" i="5"/>
  <c r="AO22" i="5"/>
  <c r="AD22" i="5"/>
  <c r="AB22" i="5"/>
  <c r="V22" i="5"/>
  <c r="W22" i="5" s="1"/>
  <c r="T22" i="5"/>
  <c r="S22" i="5"/>
  <c r="Y22" i="5" s="1"/>
  <c r="Z22" i="5" s="1"/>
  <c r="O22" i="5"/>
  <c r="Q22" i="5" s="1"/>
  <c r="N22" i="5"/>
  <c r="AG22" i="5" s="1"/>
  <c r="L22" i="5"/>
  <c r="K22" i="5"/>
  <c r="I22" i="5"/>
  <c r="H22" i="5"/>
  <c r="AO21" i="5"/>
  <c r="AD21" i="5"/>
  <c r="AB21" i="5"/>
  <c r="W21" i="5"/>
  <c r="V21" i="5"/>
  <c r="T21" i="5"/>
  <c r="S21" i="5"/>
  <c r="Q21" i="5"/>
  <c r="O21" i="5"/>
  <c r="K21" i="5"/>
  <c r="I21" i="5"/>
  <c r="H21" i="5"/>
  <c r="AO20" i="5"/>
  <c r="AD20" i="5"/>
  <c r="AB20" i="5"/>
  <c r="Y20" i="5"/>
  <c r="Z20" i="5" s="1"/>
  <c r="V20" i="5"/>
  <c r="T20" i="5"/>
  <c r="S20" i="5"/>
  <c r="W20" i="5" s="1"/>
  <c r="Q20" i="5"/>
  <c r="O20" i="5"/>
  <c r="L20" i="5"/>
  <c r="K20" i="5"/>
  <c r="N20" i="5" s="1"/>
  <c r="AG20" i="5" s="1"/>
  <c r="I20" i="5"/>
  <c r="H20" i="5"/>
  <c r="AO19" i="5"/>
  <c r="AD19" i="5"/>
  <c r="AB19" i="5"/>
  <c r="Z19" i="5"/>
  <c r="Y19" i="5"/>
  <c r="V19" i="5"/>
  <c r="T19" i="5"/>
  <c r="S19" i="5"/>
  <c r="W19" i="5" s="1"/>
  <c r="Q19" i="5"/>
  <c r="O19" i="5"/>
  <c r="N19" i="5"/>
  <c r="AG19" i="5" s="1"/>
  <c r="L19" i="5"/>
  <c r="K19" i="5"/>
  <c r="I19" i="5"/>
  <c r="H19" i="5"/>
  <c r="AO18" i="5"/>
  <c r="AD18" i="5"/>
  <c r="AB18" i="5"/>
  <c r="Z18" i="5"/>
  <c r="Y18" i="5"/>
  <c r="V18" i="5"/>
  <c r="W18" i="5" s="1"/>
  <c r="T18" i="5"/>
  <c r="S18" i="5"/>
  <c r="O18" i="5"/>
  <c r="Q18" i="5" s="1"/>
  <c r="N18" i="5"/>
  <c r="AG18" i="5" s="1"/>
  <c r="L18" i="5"/>
  <c r="K18" i="5"/>
  <c r="I18" i="5"/>
  <c r="H18" i="5"/>
  <c r="AO17" i="5"/>
  <c r="AD17" i="5"/>
  <c r="AB17" i="5"/>
  <c r="W17" i="5"/>
  <c r="V17" i="5"/>
  <c r="T17" i="5"/>
  <c r="S17" i="5"/>
  <c r="Q17" i="5"/>
  <c r="O17" i="5"/>
  <c r="K17" i="5"/>
  <c r="I17" i="5"/>
  <c r="H17" i="5"/>
  <c r="AO16" i="5"/>
  <c r="AG16" i="5"/>
  <c r="AD16" i="5"/>
  <c r="AB16" i="5"/>
  <c r="V16" i="5"/>
  <c r="T16" i="5"/>
  <c r="S16" i="5"/>
  <c r="W16" i="5" s="1"/>
  <c r="Q16" i="5"/>
  <c r="O16" i="5"/>
  <c r="L16" i="5"/>
  <c r="K16" i="5"/>
  <c r="N16" i="5" s="1"/>
  <c r="I16" i="5"/>
  <c r="H16" i="5"/>
  <c r="AO15" i="5"/>
  <c r="AD15" i="5"/>
  <c r="AB15" i="5"/>
  <c r="Z15" i="5"/>
  <c r="V15" i="5"/>
  <c r="T15" i="5"/>
  <c r="S15" i="5"/>
  <c r="Y15" i="5" s="1"/>
  <c r="Q15" i="5"/>
  <c r="O15" i="5"/>
  <c r="N15" i="5"/>
  <c r="AG15" i="5" s="1"/>
  <c r="L15" i="5"/>
  <c r="K15" i="5"/>
  <c r="I15" i="5"/>
  <c r="H15" i="5"/>
  <c r="AO14" i="5"/>
  <c r="AD14" i="5"/>
  <c r="AB14" i="5"/>
  <c r="V14" i="5"/>
  <c r="W14" i="5" s="1"/>
  <c r="T14" i="5"/>
  <c r="S14" i="5"/>
  <c r="Y14" i="5" s="1"/>
  <c r="Z14" i="5" s="1"/>
  <c r="O14" i="5"/>
  <c r="Q14" i="5" s="1"/>
  <c r="N14" i="5"/>
  <c r="AG14" i="5" s="1"/>
  <c r="L14" i="5"/>
  <c r="K14" i="5"/>
  <c r="I14" i="5"/>
  <c r="H14" i="5"/>
  <c r="AO13" i="5"/>
  <c r="AG13" i="5"/>
  <c r="AD13" i="5"/>
  <c r="AB13" i="5"/>
  <c r="W13" i="5"/>
  <c r="V13" i="5"/>
  <c r="T13" i="5"/>
  <c r="S13" i="5"/>
  <c r="Y13" i="5" s="1"/>
  <c r="Z13" i="5" s="1"/>
  <c r="Q13" i="5"/>
  <c r="Q28" i="5" s="1"/>
  <c r="O13" i="5"/>
  <c r="K13" i="5"/>
  <c r="I13" i="5"/>
  <c r="H13" i="5"/>
  <c r="AN11" i="5"/>
  <c r="AM11" i="5"/>
  <c r="AL11" i="5"/>
  <c r="AK11" i="5"/>
  <c r="AJ11" i="5"/>
  <c r="AI11" i="5"/>
  <c r="AH11" i="5"/>
  <c r="U11" i="5"/>
  <c r="U30" i="5" s="1"/>
  <c r="S11" i="5"/>
  <c r="W11" i="5" s="1"/>
  <c r="R11" i="5"/>
  <c r="X11" i="5" s="1"/>
  <c r="M11" i="5"/>
  <c r="J11" i="5"/>
  <c r="H11" i="5"/>
  <c r="G11" i="5"/>
  <c r="G30" i="5" s="1"/>
  <c r="F11" i="5"/>
  <c r="E11" i="5"/>
  <c r="O11" i="5" s="1"/>
  <c r="D11" i="5"/>
  <c r="V11" i="5" s="1"/>
  <c r="AO10" i="5"/>
  <c r="AD10" i="5"/>
  <c r="AB10" i="5"/>
  <c r="W10" i="5"/>
  <c r="V10" i="5"/>
  <c r="T10" i="5"/>
  <c r="S10" i="5"/>
  <c r="Y10" i="5" s="1"/>
  <c r="Z10" i="5" s="1"/>
  <c r="Q10" i="5"/>
  <c r="O10" i="5"/>
  <c r="K10" i="5"/>
  <c r="I10" i="5"/>
  <c r="H10" i="5"/>
  <c r="AO9" i="5"/>
  <c r="AG9" i="5"/>
  <c r="AD9" i="5"/>
  <c r="AB9" i="5"/>
  <c r="Y9" i="5"/>
  <c r="Z9" i="5" s="1"/>
  <c r="V9" i="5"/>
  <c r="T9" i="5"/>
  <c r="S9" i="5"/>
  <c r="W9" i="5" s="1"/>
  <c r="Q9" i="5"/>
  <c r="O9" i="5"/>
  <c r="L9" i="5"/>
  <c r="K9" i="5"/>
  <c r="N9" i="5" s="1"/>
  <c r="I9" i="5"/>
  <c r="H9" i="5"/>
  <c r="AO8" i="5"/>
  <c r="AD8" i="5"/>
  <c r="AB8" i="5"/>
  <c r="Z8" i="5"/>
  <c r="Y8" i="5"/>
  <c r="V8" i="5"/>
  <c r="T8" i="5"/>
  <c r="S8" i="5"/>
  <c r="W8" i="5" s="1"/>
  <c r="Q8" i="5"/>
  <c r="O8" i="5"/>
  <c r="N8" i="5"/>
  <c r="AG8" i="5" s="1"/>
  <c r="L8" i="5"/>
  <c r="K8" i="5"/>
  <c r="I8" i="5"/>
  <c r="H8" i="5"/>
  <c r="AO7" i="5"/>
  <c r="AD7" i="5"/>
  <c r="AB7" i="5"/>
  <c r="AB11" i="5" s="1"/>
  <c r="Z7" i="5"/>
  <c r="Y7" i="5"/>
  <c r="V7" i="5"/>
  <c r="W7" i="5" s="1"/>
  <c r="T7" i="5"/>
  <c r="S7" i="5"/>
  <c r="O7" i="5"/>
  <c r="Q7" i="5" s="1"/>
  <c r="N7" i="5"/>
  <c r="AG7" i="5" s="1"/>
  <c r="L7" i="5"/>
  <c r="K7" i="5"/>
  <c r="I7" i="5"/>
  <c r="H7" i="5"/>
  <c r="AO6" i="5"/>
  <c r="AG6" i="5"/>
  <c r="AD6" i="5"/>
  <c r="AD11" i="5" s="1"/>
  <c r="AB6" i="5"/>
  <c r="W6" i="5"/>
  <c r="V6" i="5"/>
  <c r="T6" i="5"/>
  <c r="S6" i="5"/>
  <c r="Y6" i="5" s="1"/>
  <c r="Z6" i="5" s="1"/>
  <c r="Q6" i="5"/>
  <c r="O6" i="5"/>
  <c r="K6" i="5"/>
  <c r="I6" i="5"/>
  <c r="H6" i="5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F33" i="4"/>
  <c r="AN31" i="4"/>
  <c r="AM31" i="4"/>
  <c r="AL31" i="4"/>
  <c r="AK31" i="4"/>
  <c r="AJ31" i="4"/>
  <c r="AI31" i="4"/>
  <c r="AH31" i="4"/>
  <c r="W31" i="4"/>
  <c r="U31" i="4"/>
  <c r="S31" i="4"/>
  <c r="R31" i="4"/>
  <c r="X31" i="4" s="1"/>
  <c r="M31" i="4"/>
  <c r="J31" i="4"/>
  <c r="G31" i="4"/>
  <c r="H31" i="4" s="1"/>
  <c r="F31" i="4"/>
  <c r="E31" i="4"/>
  <c r="P31" i="4" s="1"/>
  <c r="D31" i="4"/>
  <c r="V31" i="4" s="1"/>
  <c r="AO30" i="4"/>
  <c r="AD30" i="4"/>
  <c r="AB30" i="4"/>
  <c r="W30" i="4"/>
  <c r="V30" i="4"/>
  <c r="T30" i="4"/>
  <c r="S30" i="4"/>
  <c r="Q30" i="4"/>
  <c r="O30" i="4"/>
  <c r="K30" i="4"/>
  <c r="I30" i="4"/>
  <c r="H30" i="4"/>
  <c r="AO29" i="4"/>
  <c r="AG29" i="4"/>
  <c r="AD29" i="4"/>
  <c r="AB29" i="4"/>
  <c r="Y29" i="4"/>
  <c r="Z29" i="4" s="1"/>
  <c r="V29" i="4"/>
  <c r="T29" i="4"/>
  <c r="S29" i="4"/>
  <c r="W29" i="4" s="1"/>
  <c r="O29" i="4"/>
  <c r="Q29" i="4" s="1"/>
  <c r="L29" i="4"/>
  <c r="K29" i="4"/>
  <c r="N29" i="4" s="1"/>
  <c r="I29" i="4"/>
  <c r="H29" i="4"/>
  <c r="AO28" i="4"/>
  <c r="AD28" i="4"/>
  <c r="AB28" i="4"/>
  <c r="Y28" i="4"/>
  <c r="Z28" i="4" s="1"/>
  <c r="W28" i="4"/>
  <c r="V28" i="4"/>
  <c r="T28" i="4"/>
  <c r="S28" i="4"/>
  <c r="O28" i="4"/>
  <c r="Q28" i="4" s="1"/>
  <c r="N28" i="4"/>
  <c r="AG28" i="4" s="1"/>
  <c r="L28" i="4"/>
  <c r="K28" i="4"/>
  <c r="I28" i="4"/>
  <c r="H28" i="4"/>
  <c r="AO27" i="4"/>
  <c r="AD27" i="4"/>
  <c r="AB27" i="4"/>
  <c r="Z27" i="4"/>
  <c r="Y27" i="4"/>
  <c r="V27" i="4"/>
  <c r="W27" i="4" s="1"/>
  <c r="T27" i="4"/>
  <c r="S27" i="4"/>
  <c r="O27" i="4"/>
  <c r="Q27" i="4" s="1"/>
  <c r="N27" i="4"/>
  <c r="AG27" i="4" s="1"/>
  <c r="L27" i="4"/>
  <c r="K27" i="4"/>
  <c r="I27" i="4"/>
  <c r="H27" i="4"/>
  <c r="AO26" i="4"/>
  <c r="AD26" i="4"/>
  <c r="AB26" i="4"/>
  <c r="W26" i="4"/>
  <c r="V26" i="4"/>
  <c r="T26" i="4"/>
  <c r="S26" i="4"/>
  <c r="Y26" i="4" s="1"/>
  <c r="Z26" i="4" s="1"/>
  <c r="Q26" i="4"/>
  <c r="O26" i="4"/>
  <c r="K26" i="4"/>
  <c r="I26" i="4"/>
  <c r="H26" i="4"/>
  <c r="AO25" i="4"/>
  <c r="AD25" i="4"/>
  <c r="AB25" i="4"/>
  <c r="Y25" i="4"/>
  <c r="Z25" i="4" s="1"/>
  <c r="V25" i="4"/>
  <c r="W25" i="4" s="1"/>
  <c r="T25" i="4"/>
  <c r="S25" i="4"/>
  <c r="Q25" i="4"/>
  <c r="O25" i="4"/>
  <c r="L25" i="4"/>
  <c r="K25" i="4"/>
  <c r="N25" i="4" s="1"/>
  <c r="AG25" i="4" s="1"/>
  <c r="I25" i="4"/>
  <c r="H25" i="4"/>
  <c r="AO24" i="4"/>
  <c r="AD24" i="4"/>
  <c r="AB24" i="4"/>
  <c r="V24" i="4"/>
  <c r="T24" i="4"/>
  <c r="S24" i="4"/>
  <c r="Q24" i="4"/>
  <c r="O24" i="4"/>
  <c r="N24" i="4"/>
  <c r="AG24" i="4" s="1"/>
  <c r="K24" i="4"/>
  <c r="L24" i="4" s="1"/>
  <c r="I24" i="4"/>
  <c r="H24" i="4"/>
  <c r="AO23" i="4"/>
  <c r="AD23" i="4"/>
  <c r="AB23" i="4"/>
  <c r="V23" i="4"/>
  <c r="W23" i="4" s="1"/>
  <c r="T23" i="4"/>
  <c r="S23" i="4"/>
  <c r="Y23" i="4" s="1"/>
  <c r="Z23" i="4" s="1"/>
  <c r="O23" i="4"/>
  <c r="Q23" i="4" s="1"/>
  <c r="L23" i="4"/>
  <c r="K23" i="4"/>
  <c r="N23" i="4" s="1"/>
  <c r="AG23" i="4" s="1"/>
  <c r="I23" i="4"/>
  <c r="H23" i="4"/>
  <c r="AO22" i="4"/>
  <c r="AD22" i="4"/>
  <c r="AB22" i="4"/>
  <c r="V22" i="4"/>
  <c r="W22" i="4" s="1"/>
  <c r="T22" i="4"/>
  <c r="S22" i="4"/>
  <c r="Q22" i="4"/>
  <c r="O22" i="4"/>
  <c r="K22" i="4"/>
  <c r="I22" i="4"/>
  <c r="H22" i="4"/>
  <c r="AO21" i="4"/>
  <c r="AG21" i="4"/>
  <c r="AD21" i="4"/>
  <c r="AB21" i="4"/>
  <c r="V21" i="4"/>
  <c r="T21" i="4"/>
  <c r="S21" i="4"/>
  <c r="Y21" i="4" s="1"/>
  <c r="Z21" i="4" s="1"/>
  <c r="O21" i="4"/>
  <c r="Q21" i="4" s="1"/>
  <c r="K21" i="4"/>
  <c r="N21" i="4" s="1"/>
  <c r="I21" i="4"/>
  <c r="H21" i="4"/>
  <c r="AO20" i="4"/>
  <c r="AD20" i="4"/>
  <c r="AB20" i="4"/>
  <c r="Y20" i="4"/>
  <c r="Z20" i="4" s="1"/>
  <c r="W20" i="4"/>
  <c r="V20" i="4"/>
  <c r="T20" i="4"/>
  <c r="S20" i="4"/>
  <c r="Q20" i="4"/>
  <c r="O20" i="4"/>
  <c r="N20" i="4"/>
  <c r="AG20" i="4" s="1"/>
  <c r="L20" i="4"/>
  <c r="K20" i="4"/>
  <c r="I20" i="4"/>
  <c r="H20" i="4"/>
  <c r="AO19" i="4"/>
  <c r="AD19" i="4"/>
  <c r="AB19" i="4"/>
  <c r="Z19" i="4"/>
  <c r="Y19" i="4"/>
  <c r="V19" i="4"/>
  <c r="W19" i="4" s="1"/>
  <c r="T19" i="4"/>
  <c r="S19" i="4"/>
  <c r="O19" i="4"/>
  <c r="Q19" i="4" s="1"/>
  <c r="N19" i="4"/>
  <c r="AG19" i="4" s="1"/>
  <c r="L19" i="4"/>
  <c r="K19" i="4"/>
  <c r="I19" i="4"/>
  <c r="H19" i="4"/>
  <c r="AO18" i="4"/>
  <c r="AD18" i="4"/>
  <c r="AB18" i="4"/>
  <c r="W18" i="4"/>
  <c r="V18" i="4"/>
  <c r="T18" i="4"/>
  <c r="S18" i="4"/>
  <c r="Y18" i="4" s="1"/>
  <c r="Z18" i="4" s="1"/>
  <c r="Q18" i="4"/>
  <c r="O18" i="4"/>
  <c r="K18" i="4"/>
  <c r="I18" i="4"/>
  <c r="H18" i="4"/>
  <c r="AO17" i="4"/>
  <c r="AD17" i="4"/>
  <c r="AB17" i="4"/>
  <c r="V17" i="4"/>
  <c r="T17" i="4"/>
  <c r="S17" i="4"/>
  <c r="Y17" i="4" s="1"/>
  <c r="Z17" i="4" s="1"/>
  <c r="Q17" i="4"/>
  <c r="O17" i="4"/>
  <c r="L17" i="4"/>
  <c r="K17" i="4"/>
  <c r="N17" i="4" s="1"/>
  <c r="AG17" i="4" s="1"/>
  <c r="I17" i="4"/>
  <c r="H17" i="4"/>
  <c r="AO16" i="4"/>
  <c r="AD16" i="4"/>
  <c r="AB16" i="4"/>
  <c r="V16" i="4"/>
  <c r="T16" i="4"/>
  <c r="S16" i="4"/>
  <c r="Q16" i="4"/>
  <c r="O16" i="4"/>
  <c r="N16" i="4"/>
  <c r="AG16" i="4" s="1"/>
  <c r="K16" i="4"/>
  <c r="L16" i="4" s="1"/>
  <c r="I16" i="4"/>
  <c r="H16" i="4"/>
  <c r="AO15" i="4"/>
  <c r="AG15" i="4"/>
  <c r="AD15" i="4"/>
  <c r="AB15" i="4"/>
  <c r="AB31" i="4" s="1"/>
  <c r="V15" i="4"/>
  <c r="W15" i="4" s="1"/>
  <c r="T15" i="4"/>
  <c r="S15" i="4"/>
  <c r="Y15" i="4" s="1"/>
  <c r="Z15" i="4" s="1"/>
  <c r="O15" i="4"/>
  <c r="Q15" i="4" s="1"/>
  <c r="N15" i="4"/>
  <c r="L15" i="4"/>
  <c r="K15" i="4"/>
  <c r="I15" i="4"/>
  <c r="H15" i="4"/>
  <c r="AO14" i="4"/>
  <c r="AD14" i="4"/>
  <c r="AD31" i="4" s="1"/>
  <c r="AB14" i="4"/>
  <c r="V14" i="4"/>
  <c r="W14" i="4" s="1"/>
  <c r="T14" i="4"/>
  <c r="S14" i="4"/>
  <c r="Q14" i="4"/>
  <c r="Q31" i="4" s="1"/>
  <c r="O14" i="4"/>
  <c r="K14" i="4"/>
  <c r="I14" i="4"/>
  <c r="H14" i="4"/>
  <c r="AN12" i="4"/>
  <c r="AM12" i="4"/>
  <c r="AL12" i="4"/>
  <c r="AK12" i="4"/>
  <c r="AJ12" i="4"/>
  <c r="AH12" i="4"/>
  <c r="X12" i="4"/>
  <c r="V12" i="4"/>
  <c r="U12" i="4"/>
  <c r="U33" i="4" s="1"/>
  <c r="R12" i="4"/>
  <c r="R33" i="4" s="1"/>
  <c r="M12" i="4"/>
  <c r="J12" i="4"/>
  <c r="G12" i="4"/>
  <c r="H12" i="4" s="1"/>
  <c r="F12" i="4"/>
  <c r="D33" i="4" s="1"/>
  <c r="E12" i="4"/>
  <c r="D12" i="4"/>
  <c r="S12" i="4" s="1"/>
  <c r="AO11" i="4"/>
  <c r="AD11" i="4"/>
  <c r="AB11" i="4"/>
  <c r="V11" i="4"/>
  <c r="W11" i="4" s="1"/>
  <c r="T11" i="4"/>
  <c r="S11" i="4"/>
  <c r="Q11" i="4"/>
  <c r="O11" i="4"/>
  <c r="K11" i="4"/>
  <c r="I11" i="4"/>
  <c r="H11" i="4"/>
  <c r="AO10" i="4"/>
  <c r="AG10" i="4"/>
  <c r="AD10" i="4"/>
  <c r="AB10" i="4"/>
  <c r="V10" i="4"/>
  <c r="W10" i="4" s="1"/>
  <c r="T10" i="4"/>
  <c r="S10" i="4"/>
  <c r="Y10" i="4" s="1"/>
  <c r="Z10" i="4" s="1"/>
  <c r="O10" i="4"/>
  <c r="Q10" i="4" s="1"/>
  <c r="N10" i="4"/>
  <c r="L10" i="4"/>
  <c r="K10" i="4"/>
  <c r="I10" i="4"/>
  <c r="H10" i="4"/>
  <c r="AO9" i="4"/>
  <c r="AD9" i="4"/>
  <c r="AB9" i="4"/>
  <c r="Y9" i="4"/>
  <c r="Z9" i="4" s="1"/>
  <c r="W9" i="4"/>
  <c r="V9" i="4"/>
  <c r="T9" i="4"/>
  <c r="S9" i="4"/>
  <c r="Q9" i="4"/>
  <c r="O9" i="4"/>
  <c r="N9" i="4"/>
  <c r="AG9" i="4" s="1"/>
  <c r="L9" i="4"/>
  <c r="K9" i="4"/>
  <c r="I9" i="4"/>
  <c r="H9" i="4"/>
  <c r="AO8" i="4"/>
  <c r="AG8" i="4"/>
  <c r="AD8" i="4"/>
  <c r="AB8" i="4"/>
  <c r="V8" i="4"/>
  <c r="T8" i="4"/>
  <c r="S8" i="4"/>
  <c r="Y8" i="4" s="1"/>
  <c r="Z8" i="4" s="1"/>
  <c r="Q8" i="4"/>
  <c r="O8" i="4"/>
  <c r="N8" i="4"/>
  <c r="L8" i="4"/>
  <c r="K8" i="4"/>
  <c r="I8" i="4"/>
  <c r="H8" i="4"/>
  <c r="AO7" i="4"/>
  <c r="AD7" i="4"/>
  <c r="AB7" i="4"/>
  <c r="V7" i="4"/>
  <c r="W7" i="4" s="1"/>
  <c r="T7" i="4"/>
  <c r="S7" i="4"/>
  <c r="Q7" i="4"/>
  <c r="O7" i="4"/>
  <c r="K7" i="4"/>
  <c r="L7" i="4" s="1"/>
  <c r="I7" i="4"/>
  <c r="H7" i="4"/>
  <c r="AO6" i="4"/>
  <c r="AG6" i="4"/>
  <c r="AD6" i="4"/>
  <c r="AD12" i="4" s="1"/>
  <c r="AB6" i="4"/>
  <c r="AB12" i="4" s="1"/>
  <c r="W6" i="4"/>
  <c r="V6" i="4"/>
  <c r="T6" i="4"/>
  <c r="S6" i="4"/>
  <c r="O6" i="4"/>
  <c r="O12" i="4" s="1"/>
  <c r="K6" i="4"/>
  <c r="N6" i="4" s="1"/>
  <c r="I6" i="4"/>
  <c r="H6" i="4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AN31" i="3"/>
  <c r="AM31" i="3"/>
  <c r="AL31" i="3"/>
  <c r="AK31" i="3"/>
  <c r="AJ31" i="3"/>
  <c r="AH31" i="3"/>
  <c r="AI31" i="3" s="1"/>
  <c r="U31" i="3"/>
  <c r="V31" i="3" s="1"/>
  <c r="W31" i="3" s="1"/>
  <c r="S31" i="3"/>
  <c r="R31" i="3"/>
  <c r="X31" i="3" s="1"/>
  <c r="M31" i="3"/>
  <c r="J31" i="3"/>
  <c r="T31" i="3" s="1"/>
  <c r="H31" i="3"/>
  <c r="G31" i="3"/>
  <c r="F31" i="3"/>
  <c r="E31" i="3"/>
  <c r="P31" i="3" s="1"/>
  <c r="D31" i="3"/>
  <c r="AO30" i="3"/>
  <c r="AD30" i="3"/>
  <c r="AB30" i="3"/>
  <c r="V30" i="3"/>
  <c r="W30" i="3" s="1"/>
  <c r="T30" i="3"/>
  <c r="S30" i="3"/>
  <c r="Q30" i="3"/>
  <c r="O30" i="3"/>
  <c r="K30" i="3"/>
  <c r="N30" i="3" s="1"/>
  <c r="AG30" i="3" s="1"/>
  <c r="I30" i="3"/>
  <c r="H30" i="3"/>
  <c r="AO29" i="3"/>
  <c r="AD29" i="3"/>
  <c r="AB29" i="3"/>
  <c r="V29" i="3"/>
  <c r="W29" i="3" s="1"/>
  <c r="T29" i="3"/>
  <c r="S29" i="3"/>
  <c r="Y29" i="3" s="1"/>
  <c r="Z29" i="3" s="1"/>
  <c r="Q29" i="3"/>
  <c r="O29" i="3"/>
  <c r="K29" i="3"/>
  <c r="N29" i="3" s="1"/>
  <c r="AG29" i="3" s="1"/>
  <c r="I29" i="3"/>
  <c r="H29" i="3"/>
  <c r="AO28" i="3"/>
  <c r="AD28" i="3"/>
  <c r="AB28" i="3"/>
  <c r="W28" i="3"/>
  <c r="V28" i="3"/>
  <c r="T28" i="3"/>
  <c r="S28" i="3"/>
  <c r="Y28" i="3" s="1"/>
  <c r="Z28" i="3" s="1"/>
  <c r="O28" i="3"/>
  <c r="Q28" i="3" s="1"/>
  <c r="K28" i="3"/>
  <c r="N28" i="3" s="1"/>
  <c r="AG28" i="3" s="1"/>
  <c r="I28" i="3"/>
  <c r="H28" i="3"/>
  <c r="AO27" i="3"/>
  <c r="AD27" i="3"/>
  <c r="AB27" i="3"/>
  <c r="Y27" i="3"/>
  <c r="Z27" i="3" s="1"/>
  <c r="V27" i="3"/>
  <c r="W27" i="3" s="1"/>
  <c r="T27" i="3"/>
  <c r="S27" i="3"/>
  <c r="O27" i="3"/>
  <c r="Q27" i="3" s="1"/>
  <c r="N27" i="3"/>
  <c r="AG27" i="3" s="1"/>
  <c r="L27" i="3"/>
  <c r="K27" i="3"/>
  <c r="I27" i="3"/>
  <c r="H27" i="3"/>
  <c r="AO26" i="3"/>
  <c r="AD26" i="3"/>
  <c r="AB26" i="3"/>
  <c r="W26" i="3"/>
  <c r="V26" i="3"/>
  <c r="T26" i="3"/>
  <c r="S26" i="3"/>
  <c r="Y26" i="3" s="1"/>
  <c r="Z26" i="3" s="1"/>
  <c r="O26" i="3"/>
  <c r="Q26" i="3" s="1"/>
  <c r="N26" i="3"/>
  <c r="AG26" i="3" s="1"/>
  <c r="K26" i="3"/>
  <c r="L26" i="3" s="1"/>
  <c r="I26" i="3"/>
  <c r="H26" i="3"/>
  <c r="AO25" i="3"/>
  <c r="AD25" i="3"/>
  <c r="AB25" i="3"/>
  <c r="Y25" i="3"/>
  <c r="Z25" i="3" s="1"/>
  <c r="W25" i="3"/>
  <c r="V25" i="3"/>
  <c r="T25" i="3"/>
  <c r="S25" i="3"/>
  <c r="O25" i="3"/>
  <c r="Q25" i="3" s="1"/>
  <c r="L25" i="3"/>
  <c r="K25" i="3"/>
  <c r="N25" i="3" s="1"/>
  <c r="AG25" i="3" s="1"/>
  <c r="I25" i="3"/>
  <c r="H25" i="3"/>
  <c r="AO24" i="3"/>
  <c r="AD24" i="3"/>
  <c r="AB24" i="3"/>
  <c r="Z24" i="3"/>
  <c r="Y24" i="3"/>
  <c r="V24" i="3"/>
  <c r="W24" i="3" s="1"/>
  <c r="T24" i="3"/>
  <c r="S24" i="3"/>
  <c r="Q24" i="3"/>
  <c r="O24" i="3"/>
  <c r="N24" i="3"/>
  <c r="AG24" i="3" s="1"/>
  <c r="L24" i="3"/>
  <c r="K24" i="3"/>
  <c r="I24" i="3"/>
  <c r="H24" i="3"/>
  <c r="AO23" i="3"/>
  <c r="AG23" i="3"/>
  <c r="AD23" i="3"/>
  <c r="AB23" i="3"/>
  <c r="V23" i="3"/>
  <c r="W23" i="3" s="1"/>
  <c r="T23" i="3"/>
  <c r="S23" i="3"/>
  <c r="Y23" i="3" s="1"/>
  <c r="Z23" i="3" s="1"/>
  <c r="O23" i="3"/>
  <c r="Q23" i="3" s="1"/>
  <c r="N23" i="3"/>
  <c r="K23" i="3"/>
  <c r="L23" i="3" s="1"/>
  <c r="I23" i="3"/>
  <c r="H23" i="3"/>
  <c r="AO22" i="3"/>
  <c r="AD22" i="3"/>
  <c r="AB22" i="3"/>
  <c r="V22" i="3"/>
  <c r="W22" i="3" s="1"/>
  <c r="T22" i="3"/>
  <c r="S22" i="3"/>
  <c r="Q22" i="3"/>
  <c r="O22" i="3"/>
  <c r="K22" i="3"/>
  <c r="N22" i="3" s="1"/>
  <c r="AG22" i="3" s="1"/>
  <c r="I22" i="3"/>
  <c r="H22" i="3"/>
  <c r="AO21" i="3"/>
  <c r="AD21" i="3"/>
  <c r="AB21" i="3"/>
  <c r="V21" i="3"/>
  <c r="W21" i="3" s="1"/>
  <c r="T21" i="3"/>
  <c r="S21" i="3"/>
  <c r="Y21" i="3" s="1"/>
  <c r="Z21" i="3" s="1"/>
  <c r="Q21" i="3"/>
  <c r="O21" i="3"/>
  <c r="K21" i="3"/>
  <c r="N21" i="3" s="1"/>
  <c r="AG21" i="3" s="1"/>
  <c r="I21" i="3"/>
  <c r="H21" i="3"/>
  <c r="AO20" i="3"/>
  <c r="AD20" i="3"/>
  <c r="AB20" i="3"/>
  <c r="W20" i="3"/>
  <c r="V20" i="3"/>
  <c r="T20" i="3"/>
  <c r="S20" i="3"/>
  <c r="Y20" i="3" s="1"/>
  <c r="Z20" i="3" s="1"/>
  <c r="O20" i="3"/>
  <c r="Q20" i="3" s="1"/>
  <c r="K20" i="3"/>
  <c r="N20" i="3" s="1"/>
  <c r="AG20" i="3" s="1"/>
  <c r="I20" i="3"/>
  <c r="H20" i="3"/>
  <c r="AO19" i="3"/>
  <c r="AD19" i="3"/>
  <c r="AB19" i="3"/>
  <c r="Y19" i="3"/>
  <c r="Z19" i="3" s="1"/>
  <c r="V19" i="3"/>
  <c r="W19" i="3" s="1"/>
  <c r="T19" i="3"/>
  <c r="S19" i="3"/>
  <c r="O19" i="3"/>
  <c r="Q19" i="3" s="1"/>
  <c r="N19" i="3"/>
  <c r="AG19" i="3" s="1"/>
  <c r="L19" i="3"/>
  <c r="K19" i="3"/>
  <c r="I19" i="3"/>
  <c r="H19" i="3"/>
  <c r="AO18" i="3"/>
  <c r="AD18" i="3"/>
  <c r="AB18" i="3"/>
  <c r="W18" i="3"/>
  <c r="V18" i="3"/>
  <c r="T18" i="3"/>
  <c r="S18" i="3"/>
  <c r="Y18" i="3" s="1"/>
  <c r="Z18" i="3" s="1"/>
  <c r="O18" i="3"/>
  <c r="Q18" i="3" s="1"/>
  <c r="N18" i="3"/>
  <c r="AG18" i="3" s="1"/>
  <c r="K18" i="3"/>
  <c r="L18" i="3" s="1"/>
  <c r="I18" i="3"/>
  <c r="H18" i="3"/>
  <c r="AO17" i="3"/>
  <c r="AD17" i="3"/>
  <c r="AB17" i="3"/>
  <c r="Y17" i="3"/>
  <c r="Z17" i="3" s="1"/>
  <c r="W17" i="3"/>
  <c r="V17" i="3"/>
  <c r="T17" i="3"/>
  <c r="S17" i="3"/>
  <c r="O17" i="3"/>
  <c r="Q17" i="3" s="1"/>
  <c r="L17" i="3"/>
  <c r="K17" i="3"/>
  <c r="N17" i="3" s="1"/>
  <c r="AG17" i="3" s="1"/>
  <c r="I17" i="3"/>
  <c r="H17" i="3"/>
  <c r="AO16" i="3"/>
  <c r="AD16" i="3"/>
  <c r="AB16" i="3"/>
  <c r="Z16" i="3"/>
  <c r="Y16" i="3"/>
  <c r="V16" i="3"/>
  <c r="W16" i="3" s="1"/>
  <c r="T16" i="3"/>
  <c r="S16" i="3"/>
  <c r="Q16" i="3"/>
  <c r="O16" i="3"/>
  <c r="N16" i="3"/>
  <c r="AG16" i="3" s="1"/>
  <c r="L16" i="3"/>
  <c r="K16" i="3"/>
  <c r="I16" i="3"/>
  <c r="H16" i="3"/>
  <c r="AO15" i="3"/>
  <c r="AG15" i="3"/>
  <c r="AD15" i="3"/>
  <c r="AB15" i="3"/>
  <c r="V15" i="3"/>
  <c r="W15" i="3" s="1"/>
  <c r="T15" i="3"/>
  <c r="S15" i="3"/>
  <c r="Y15" i="3" s="1"/>
  <c r="Z15" i="3" s="1"/>
  <c r="O15" i="3"/>
  <c r="Q15" i="3" s="1"/>
  <c r="N15" i="3"/>
  <c r="K15" i="3"/>
  <c r="L15" i="3" s="1"/>
  <c r="I15" i="3"/>
  <c r="H15" i="3"/>
  <c r="AO14" i="3"/>
  <c r="AD14" i="3"/>
  <c r="AD31" i="3" s="1"/>
  <c r="AB14" i="3"/>
  <c r="AB31" i="3" s="1"/>
  <c r="V14" i="3"/>
  <c r="W14" i="3" s="1"/>
  <c r="T14" i="3"/>
  <c r="S14" i="3"/>
  <c r="Q14" i="3"/>
  <c r="O14" i="3"/>
  <c r="K14" i="3"/>
  <c r="N14" i="3" s="1"/>
  <c r="AG14" i="3" s="1"/>
  <c r="I14" i="3"/>
  <c r="H14" i="3"/>
  <c r="AN12" i="3"/>
  <c r="AM12" i="3"/>
  <c r="AL12" i="3"/>
  <c r="AK12" i="3"/>
  <c r="AJ12" i="3"/>
  <c r="AH12" i="3"/>
  <c r="U12" i="3"/>
  <c r="U33" i="3" s="1"/>
  <c r="S12" i="3"/>
  <c r="R12" i="3"/>
  <c r="R33" i="3" s="1"/>
  <c r="M12" i="3"/>
  <c r="J12" i="3"/>
  <c r="T12" i="3" s="1"/>
  <c r="H12" i="3"/>
  <c r="G12" i="3"/>
  <c r="G33" i="3" s="1"/>
  <c r="F12" i="3"/>
  <c r="E12" i="3"/>
  <c r="D12" i="3"/>
  <c r="AO11" i="3"/>
  <c r="AD11" i="3"/>
  <c r="AB11" i="3"/>
  <c r="V11" i="3"/>
  <c r="W11" i="3" s="1"/>
  <c r="T11" i="3"/>
  <c r="S11" i="3"/>
  <c r="Q11" i="3"/>
  <c r="O11" i="3"/>
  <c r="K11" i="3"/>
  <c r="N11" i="3" s="1"/>
  <c r="AG11" i="3" s="1"/>
  <c r="I11" i="3"/>
  <c r="H11" i="3"/>
  <c r="AO10" i="3"/>
  <c r="AD10" i="3"/>
  <c r="AB10" i="3"/>
  <c r="V10" i="3"/>
  <c r="W10" i="3" s="1"/>
  <c r="T10" i="3"/>
  <c r="S10" i="3"/>
  <c r="Y10" i="3" s="1"/>
  <c r="Z10" i="3" s="1"/>
  <c r="Q10" i="3"/>
  <c r="O10" i="3"/>
  <c r="K10" i="3"/>
  <c r="N10" i="3" s="1"/>
  <c r="AG10" i="3" s="1"/>
  <c r="I10" i="3"/>
  <c r="H10" i="3"/>
  <c r="AO9" i="3"/>
  <c r="AD9" i="3"/>
  <c r="AB9" i="3"/>
  <c r="W9" i="3"/>
  <c r="V9" i="3"/>
  <c r="T9" i="3"/>
  <c r="S9" i="3"/>
  <c r="Y9" i="3" s="1"/>
  <c r="Z9" i="3" s="1"/>
  <c r="O9" i="3"/>
  <c r="Q9" i="3" s="1"/>
  <c r="K9" i="3"/>
  <c r="N9" i="3" s="1"/>
  <c r="AG9" i="3" s="1"/>
  <c r="I9" i="3"/>
  <c r="H9" i="3"/>
  <c r="AO8" i="3"/>
  <c r="AD8" i="3"/>
  <c r="AB8" i="3"/>
  <c r="Y8" i="3"/>
  <c r="Z8" i="3" s="1"/>
  <c r="V8" i="3"/>
  <c r="W8" i="3" s="1"/>
  <c r="T8" i="3"/>
  <c r="S8" i="3"/>
  <c r="O8" i="3"/>
  <c r="Q8" i="3" s="1"/>
  <c r="N8" i="3"/>
  <c r="AG8" i="3" s="1"/>
  <c r="L8" i="3"/>
  <c r="K8" i="3"/>
  <c r="I8" i="3"/>
  <c r="H8" i="3"/>
  <c r="AO7" i="3"/>
  <c r="AD7" i="3"/>
  <c r="AB7" i="3"/>
  <c r="W7" i="3"/>
  <c r="V7" i="3"/>
  <c r="T7" i="3"/>
  <c r="S7" i="3"/>
  <c r="Y7" i="3" s="1"/>
  <c r="Z7" i="3" s="1"/>
  <c r="O7" i="3"/>
  <c r="Q7" i="3" s="1"/>
  <c r="N7" i="3"/>
  <c r="AG7" i="3" s="1"/>
  <c r="AG12" i="3" s="1"/>
  <c r="K7" i="3"/>
  <c r="L7" i="3" s="1"/>
  <c r="I7" i="3"/>
  <c r="H7" i="3"/>
  <c r="AO6" i="3"/>
  <c r="AG6" i="3"/>
  <c r="AD6" i="3"/>
  <c r="AD12" i="3" s="1"/>
  <c r="AB6" i="3"/>
  <c r="AB12" i="3" s="1"/>
  <c r="Y6" i="3"/>
  <c r="Z6" i="3" s="1"/>
  <c r="W6" i="3"/>
  <c r="V6" i="3"/>
  <c r="T6" i="3"/>
  <c r="S6" i="3"/>
  <c r="O6" i="3"/>
  <c r="Q6" i="3" s="1"/>
  <c r="Q12" i="3" s="1"/>
  <c r="L6" i="3"/>
  <c r="K6" i="3"/>
  <c r="N6" i="3" s="1"/>
  <c r="I6" i="3"/>
  <c r="H6" i="3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E33" i="2"/>
  <c r="AN31" i="2"/>
  <c r="AM31" i="2"/>
  <c r="AL31" i="2"/>
  <c r="AK31" i="2"/>
  <c r="AJ31" i="2"/>
  <c r="AH31" i="2"/>
  <c r="AI31" i="2" s="1"/>
  <c r="X31" i="2"/>
  <c r="U31" i="2"/>
  <c r="T31" i="2"/>
  <c r="R31" i="2"/>
  <c r="J31" i="2"/>
  <c r="G31" i="2"/>
  <c r="H31" i="2" s="1"/>
  <c r="F31" i="2"/>
  <c r="M31" i="2" s="1"/>
  <c r="E31" i="2"/>
  <c r="P31" i="2" s="1"/>
  <c r="D31" i="2"/>
  <c r="K31" i="2" s="1"/>
  <c r="AO30" i="2"/>
  <c r="AD30" i="2"/>
  <c r="AB30" i="2"/>
  <c r="V30" i="2"/>
  <c r="W30" i="2" s="1"/>
  <c r="T30" i="2"/>
  <c r="S30" i="2"/>
  <c r="Y30" i="2" s="1"/>
  <c r="Z30" i="2" s="1"/>
  <c r="Q30" i="2"/>
  <c r="O30" i="2"/>
  <c r="K30" i="2"/>
  <c r="N30" i="2" s="1"/>
  <c r="AG30" i="2" s="1"/>
  <c r="I30" i="2"/>
  <c r="H30" i="2"/>
  <c r="AO29" i="2"/>
  <c r="AD29" i="2"/>
  <c r="AB29" i="2"/>
  <c r="W29" i="2"/>
  <c r="V29" i="2"/>
  <c r="T29" i="2"/>
  <c r="S29" i="2"/>
  <c r="Y29" i="2" s="1"/>
  <c r="Z29" i="2" s="1"/>
  <c r="O29" i="2"/>
  <c r="Q29" i="2" s="1"/>
  <c r="K29" i="2"/>
  <c r="N29" i="2" s="1"/>
  <c r="AG29" i="2" s="1"/>
  <c r="I29" i="2"/>
  <c r="H29" i="2"/>
  <c r="AO28" i="2"/>
  <c r="AD28" i="2"/>
  <c r="AB28" i="2"/>
  <c r="Y28" i="2"/>
  <c r="Z28" i="2" s="1"/>
  <c r="V28" i="2"/>
  <c r="W28" i="2" s="1"/>
  <c r="T28" i="2"/>
  <c r="S28" i="2"/>
  <c r="O28" i="2"/>
  <c r="Q28" i="2" s="1"/>
  <c r="N28" i="2"/>
  <c r="AG28" i="2" s="1"/>
  <c r="L28" i="2"/>
  <c r="K28" i="2"/>
  <c r="I28" i="2"/>
  <c r="H28" i="2"/>
  <c r="AO27" i="2"/>
  <c r="AD27" i="2"/>
  <c r="AB27" i="2"/>
  <c r="W27" i="2"/>
  <c r="V27" i="2"/>
  <c r="T27" i="2"/>
  <c r="S27" i="2"/>
  <c r="Y27" i="2" s="1"/>
  <c r="Z27" i="2" s="1"/>
  <c r="O27" i="2"/>
  <c r="Q27" i="2" s="1"/>
  <c r="N27" i="2"/>
  <c r="AG27" i="2" s="1"/>
  <c r="K27" i="2"/>
  <c r="L27" i="2" s="1"/>
  <c r="I27" i="2"/>
  <c r="H27" i="2"/>
  <c r="AO26" i="2"/>
  <c r="AD26" i="2"/>
  <c r="AB26" i="2"/>
  <c r="Y26" i="2"/>
  <c r="Z26" i="2" s="1"/>
  <c r="W26" i="2"/>
  <c r="V26" i="2"/>
  <c r="T26" i="2"/>
  <c r="S26" i="2"/>
  <c r="O26" i="2"/>
  <c r="Q26" i="2" s="1"/>
  <c r="L26" i="2"/>
  <c r="K26" i="2"/>
  <c r="N26" i="2" s="1"/>
  <c r="AG26" i="2" s="1"/>
  <c r="I26" i="2"/>
  <c r="H26" i="2"/>
  <c r="AO25" i="2"/>
  <c r="AD25" i="2"/>
  <c r="AB25" i="2"/>
  <c r="Z25" i="2"/>
  <c r="Y25" i="2"/>
  <c r="V25" i="2"/>
  <c r="W25" i="2" s="1"/>
  <c r="T25" i="2"/>
  <c r="S25" i="2"/>
  <c r="Q25" i="2"/>
  <c r="O25" i="2"/>
  <c r="N25" i="2"/>
  <c r="AG25" i="2" s="1"/>
  <c r="L25" i="2"/>
  <c r="K25" i="2"/>
  <c r="I25" i="2"/>
  <c r="H25" i="2"/>
  <c r="AO24" i="2"/>
  <c r="AG24" i="2"/>
  <c r="AD24" i="2"/>
  <c r="AB24" i="2"/>
  <c r="V24" i="2"/>
  <c r="W24" i="2" s="1"/>
  <c r="T24" i="2"/>
  <c r="S24" i="2"/>
  <c r="Y24" i="2" s="1"/>
  <c r="Z24" i="2" s="1"/>
  <c r="O24" i="2"/>
  <c r="Q24" i="2" s="1"/>
  <c r="N24" i="2"/>
  <c r="K24" i="2"/>
  <c r="L24" i="2" s="1"/>
  <c r="I24" i="2"/>
  <c r="H24" i="2"/>
  <c r="AO23" i="2"/>
  <c r="AD23" i="2"/>
  <c r="AB23" i="2"/>
  <c r="V23" i="2"/>
  <c r="W23" i="2" s="1"/>
  <c r="T23" i="2"/>
  <c r="S23" i="2"/>
  <c r="O23" i="2"/>
  <c r="Q23" i="2" s="1"/>
  <c r="K23" i="2"/>
  <c r="N23" i="2" s="1"/>
  <c r="AG23" i="2" s="1"/>
  <c r="I23" i="2"/>
  <c r="H23" i="2"/>
  <c r="AO22" i="2"/>
  <c r="AD22" i="2"/>
  <c r="AB22" i="2"/>
  <c r="V22" i="2"/>
  <c r="W22" i="2" s="1"/>
  <c r="T22" i="2"/>
  <c r="S22" i="2"/>
  <c r="Y22" i="2" s="1"/>
  <c r="Z22" i="2" s="1"/>
  <c r="Q22" i="2"/>
  <c r="O22" i="2"/>
  <c r="K22" i="2"/>
  <c r="N22" i="2" s="1"/>
  <c r="AG22" i="2" s="1"/>
  <c r="I22" i="2"/>
  <c r="H22" i="2"/>
  <c r="AO21" i="2"/>
  <c r="AD21" i="2"/>
  <c r="AB21" i="2"/>
  <c r="W21" i="2"/>
  <c r="V21" i="2"/>
  <c r="T21" i="2"/>
  <c r="S21" i="2"/>
  <c r="Y21" i="2" s="1"/>
  <c r="Z21" i="2" s="1"/>
  <c r="O21" i="2"/>
  <c r="Q21" i="2" s="1"/>
  <c r="K21" i="2"/>
  <c r="N21" i="2" s="1"/>
  <c r="AG21" i="2" s="1"/>
  <c r="I21" i="2"/>
  <c r="H21" i="2"/>
  <c r="AO20" i="2"/>
  <c r="AD20" i="2"/>
  <c r="AB20" i="2"/>
  <c r="Y20" i="2"/>
  <c r="Z20" i="2" s="1"/>
  <c r="V20" i="2"/>
  <c r="W20" i="2" s="1"/>
  <c r="T20" i="2"/>
  <c r="S20" i="2"/>
  <c r="O20" i="2"/>
  <c r="Q20" i="2" s="1"/>
  <c r="N20" i="2"/>
  <c r="AG20" i="2" s="1"/>
  <c r="L20" i="2"/>
  <c r="K20" i="2"/>
  <c r="I20" i="2"/>
  <c r="H20" i="2"/>
  <c r="AO19" i="2"/>
  <c r="AD19" i="2"/>
  <c r="AB19" i="2"/>
  <c r="V19" i="2"/>
  <c r="W19" i="2" s="1"/>
  <c r="T19" i="2"/>
  <c r="S19" i="2"/>
  <c r="Y19" i="2" s="1"/>
  <c r="Z19" i="2" s="1"/>
  <c r="O19" i="2"/>
  <c r="Q19" i="2" s="1"/>
  <c r="N19" i="2"/>
  <c r="AG19" i="2" s="1"/>
  <c r="K19" i="2"/>
  <c r="L19" i="2" s="1"/>
  <c r="I19" i="2"/>
  <c r="H19" i="2"/>
  <c r="AO18" i="2"/>
  <c r="AD18" i="2"/>
  <c r="AB18" i="2"/>
  <c r="W18" i="2"/>
  <c r="V18" i="2"/>
  <c r="T18" i="2"/>
  <c r="S18" i="2"/>
  <c r="O18" i="2"/>
  <c r="Q18" i="2" s="1"/>
  <c r="K18" i="2"/>
  <c r="N18" i="2" s="1"/>
  <c r="AG18" i="2" s="1"/>
  <c r="I18" i="2"/>
  <c r="H18" i="2"/>
  <c r="AO17" i="2"/>
  <c r="AD17" i="2"/>
  <c r="AB17" i="2"/>
  <c r="Y17" i="2"/>
  <c r="Z17" i="2" s="1"/>
  <c r="V17" i="2"/>
  <c r="W17" i="2" s="1"/>
  <c r="T17" i="2"/>
  <c r="S17" i="2"/>
  <c r="Q17" i="2"/>
  <c r="O17" i="2"/>
  <c r="N17" i="2"/>
  <c r="AG17" i="2" s="1"/>
  <c r="L17" i="2"/>
  <c r="K17" i="2"/>
  <c r="I17" i="2"/>
  <c r="H17" i="2"/>
  <c r="AO16" i="2"/>
  <c r="AG16" i="2"/>
  <c r="AD16" i="2"/>
  <c r="AB16" i="2"/>
  <c r="V16" i="2"/>
  <c r="W16" i="2" s="1"/>
  <c r="T16" i="2"/>
  <c r="S16" i="2"/>
  <c r="Y16" i="2" s="1"/>
  <c r="Z16" i="2" s="1"/>
  <c r="O16" i="2"/>
  <c r="Q16" i="2" s="1"/>
  <c r="N16" i="2"/>
  <c r="K16" i="2"/>
  <c r="L16" i="2" s="1"/>
  <c r="I16" i="2"/>
  <c r="H16" i="2"/>
  <c r="AO15" i="2"/>
  <c r="AG15" i="2"/>
  <c r="AD15" i="2"/>
  <c r="AB15" i="2"/>
  <c r="V15" i="2"/>
  <c r="W15" i="2" s="1"/>
  <c r="T15" i="2"/>
  <c r="S15" i="2"/>
  <c r="O15" i="2"/>
  <c r="Q15" i="2" s="1"/>
  <c r="K15" i="2"/>
  <c r="N15" i="2" s="1"/>
  <c r="I15" i="2"/>
  <c r="H15" i="2"/>
  <c r="AO14" i="2"/>
  <c r="AD14" i="2"/>
  <c r="AD31" i="2" s="1"/>
  <c r="AB14" i="2"/>
  <c r="AB31" i="2" s="1"/>
  <c r="V14" i="2"/>
  <c r="W14" i="2" s="1"/>
  <c r="T14" i="2"/>
  <c r="S14" i="2"/>
  <c r="Y14" i="2" s="1"/>
  <c r="Z14" i="2" s="1"/>
  <c r="Q14" i="2"/>
  <c r="O14" i="2"/>
  <c r="K14" i="2"/>
  <c r="N14" i="2" s="1"/>
  <c r="AG14" i="2" s="1"/>
  <c r="I14" i="2"/>
  <c r="H14" i="2"/>
  <c r="AN12" i="2"/>
  <c r="AM12" i="2"/>
  <c r="AL12" i="2"/>
  <c r="AK12" i="2"/>
  <c r="AJ12" i="2"/>
  <c r="AH12" i="2"/>
  <c r="X12" i="2"/>
  <c r="U12" i="2"/>
  <c r="U33" i="2" s="1"/>
  <c r="R12" i="2"/>
  <c r="R33" i="2" s="1"/>
  <c r="J12" i="2"/>
  <c r="T12" i="2" s="1"/>
  <c r="G12" i="2"/>
  <c r="H12" i="2" s="1"/>
  <c r="F12" i="2"/>
  <c r="E12" i="2"/>
  <c r="D12" i="2"/>
  <c r="S12" i="2" s="1"/>
  <c r="AO11" i="2"/>
  <c r="AD11" i="2"/>
  <c r="AB11" i="2"/>
  <c r="V11" i="2"/>
  <c r="W11" i="2" s="1"/>
  <c r="T11" i="2"/>
  <c r="S11" i="2"/>
  <c r="Y11" i="2" s="1"/>
  <c r="Z11" i="2" s="1"/>
  <c r="Q11" i="2"/>
  <c r="O11" i="2"/>
  <c r="K11" i="2"/>
  <c r="N11" i="2" s="1"/>
  <c r="AG11" i="2" s="1"/>
  <c r="I11" i="2"/>
  <c r="H11" i="2"/>
  <c r="AO10" i="2"/>
  <c r="AD10" i="2"/>
  <c r="AB10" i="2"/>
  <c r="W10" i="2"/>
  <c r="V10" i="2"/>
  <c r="T10" i="2"/>
  <c r="S10" i="2"/>
  <c r="Y10" i="2" s="1"/>
  <c r="Z10" i="2" s="1"/>
  <c r="O10" i="2"/>
  <c r="Q10" i="2" s="1"/>
  <c r="K10" i="2"/>
  <c r="N10" i="2" s="1"/>
  <c r="AG10" i="2" s="1"/>
  <c r="I10" i="2"/>
  <c r="H10" i="2"/>
  <c r="AO9" i="2"/>
  <c r="AD9" i="2"/>
  <c r="AB9" i="2"/>
  <c r="Y9" i="2"/>
  <c r="Z9" i="2" s="1"/>
  <c r="V9" i="2"/>
  <c r="W9" i="2" s="1"/>
  <c r="T9" i="2"/>
  <c r="S9" i="2"/>
  <c r="O9" i="2"/>
  <c r="Q9" i="2" s="1"/>
  <c r="N9" i="2"/>
  <c r="AG9" i="2" s="1"/>
  <c r="L9" i="2"/>
  <c r="K9" i="2"/>
  <c r="I9" i="2"/>
  <c r="H9" i="2"/>
  <c r="AO8" i="2"/>
  <c r="AD8" i="2"/>
  <c r="AB8" i="2"/>
  <c r="V8" i="2"/>
  <c r="W8" i="2" s="1"/>
  <c r="T8" i="2"/>
  <c r="S8" i="2"/>
  <c r="Y8" i="2" s="1"/>
  <c r="Z8" i="2" s="1"/>
  <c r="O8" i="2"/>
  <c r="Q8" i="2" s="1"/>
  <c r="N8" i="2"/>
  <c r="AG8" i="2" s="1"/>
  <c r="K8" i="2"/>
  <c r="L8" i="2" s="1"/>
  <c r="I8" i="2"/>
  <c r="H8" i="2"/>
  <c r="AO7" i="2"/>
  <c r="AD7" i="2"/>
  <c r="AB7" i="2"/>
  <c r="AB12" i="2" s="1"/>
  <c r="W7" i="2"/>
  <c r="V7" i="2"/>
  <c r="T7" i="2"/>
  <c r="S7" i="2"/>
  <c r="O7" i="2"/>
  <c r="Q7" i="2" s="1"/>
  <c r="K7" i="2"/>
  <c r="N7" i="2" s="1"/>
  <c r="AG7" i="2" s="1"/>
  <c r="I7" i="2"/>
  <c r="H7" i="2"/>
  <c r="AO6" i="2"/>
  <c r="AG6" i="2"/>
  <c r="AD6" i="2"/>
  <c r="AD12" i="2" s="1"/>
  <c r="AB6" i="2"/>
  <c r="Y6" i="2"/>
  <c r="Z6" i="2" s="1"/>
  <c r="V6" i="2"/>
  <c r="W6" i="2" s="1"/>
  <c r="S6" i="2"/>
  <c r="Q6" i="2"/>
  <c r="O6" i="2"/>
  <c r="N6" i="2"/>
  <c r="L6" i="2"/>
  <c r="K6" i="2"/>
  <c r="I6" i="2"/>
  <c r="H6" i="2"/>
  <c r="AG31" i="3" l="1"/>
  <c r="Q33" i="3"/>
  <c r="AG12" i="2"/>
  <c r="Q12" i="2"/>
  <c r="Q33" i="2" s="1"/>
  <c r="AG31" i="2"/>
  <c r="N31" i="2"/>
  <c r="Q31" i="3"/>
  <c r="AG33" i="3"/>
  <c r="Q31" i="2"/>
  <c r="D33" i="2"/>
  <c r="S33" i="2" s="1"/>
  <c r="W12" i="4"/>
  <c r="L10" i="2"/>
  <c r="O12" i="2"/>
  <c r="O33" i="2" s="1"/>
  <c r="AI12" i="2"/>
  <c r="L21" i="2"/>
  <c r="L29" i="2"/>
  <c r="O31" i="2"/>
  <c r="F33" i="2"/>
  <c r="P33" i="2"/>
  <c r="X33" i="2"/>
  <c r="L9" i="3"/>
  <c r="V12" i="3"/>
  <c r="W12" i="3" s="1"/>
  <c r="L20" i="3"/>
  <c r="L28" i="3"/>
  <c r="E33" i="3"/>
  <c r="O33" i="3" s="1"/>
  <c r="Q6" i="4"/>
  <c r="Q12" i="4" s="1"/>
  <c r="AG12" i="4"/>
  <c r="AG33" i="4" s="1"/>
  <c r="Y7" i="4"/>
  <c r="Z7" i="4" s="1"/>
  <c r="N21" i="5"/>
  <c r="AG21" i="5" s="1"/>
  <c r="L21" i="5"/>
  <c r="Y15" i="6"/>
  <c r="Z15" i="6" s="1"/>
  <c r="N23" i="6"/>
  <c r="AG23" i="6" s="1"/>
  <c r="L23" i="6"/>
  <c r="Q28" i="7"/>
  <c r="Y17" i="7"/>
  <c r="Z17" i="7" s="1"/>
  <c r="Y25" i="7"/>
  <c r="Z25" i="7" s="1"/>
  <c r="O11" i="8"/>
  <c r="Q6" i="8"/>
  <c r="Q11" i="8" s="1"/>
  <c r="AG29" i="8"/>
  <c r="O29" i="8"/>
  <c r="N9" i="11"/>
  <c r="AG9" i="11" s="1"/>
  <c r="AG12" i="11" s="1"/>
  <c r="Y9" i="11"/>
  <c r="Z9" i="11" s="1"/>
  <c r="L9" i="11"/>
  <c r="L11" i="2"/>
  <c r="P12" i="2"/>
  <c r="L14" i="2"/>
  <c r="L22" i="2"/>
  <c r="L30" i="2"/>
  <c r="G33" i="2"/>
  <c r="H33" i="2" s="1"/>
  <c r="L10" i="3"/>
  <c r="O12" i="3"/>
  <c r="AI12" i="3"/>
  <c r="L21" i="3"/>
  <c r="L29" i="3"/>
  <c r="O31" i="3"/>
  <c r="F33" i="3"/>
  <c r="X33" i="3" s="1"/>
  <c r="T12" i="4"/>
  <c r="K12" i="4"/>
  <c r="N12" i="4" s="1"/>
  <c r="J33" i="4"/>
  <c r="T31" i="4"/>
  <c r="K31" i="4"/>
  <c r="N31" i="4" s="1"/>
  <c r="N17" i="5"/>
  <c r="AG17" i="5" s="1"/>
  <c r="AG28" i="5" s="1"/>
  <c r="Y17" i="5"/>
  <c r="Z17" i="5" s="1"/>
  <c r="L17" i="5"/>
  <c r="N8" i="6"/>
  <c r="AG8" i="6" s="1"/>
  <c r="AG11" i="6" s="1"/>
  <c r="Y8" i="6"/>
  <c r="Z8" i="6" s="1"/>
  <c r="L8" i="6"/>
  <c r="N19" i="6"/>
  <c r="AG19" i="6" s="1"/>
  <c r="Y19" i="6"/>
  <c r="Z19" i="6" s="1"/>
  <c r="L19" i="6"/>
  <c r="K31" i="8"/>
  <c r="Q29" i="8"/>
  <c r="N20" i="8"/>
  <c r="AG20" i="8" s="1"/>
  <c r="Y20" i="8"/>
  <c r="Z20" i="8" s="1"/>
  <c r="L20" i="8"/>
  <c r="Y23" i="8"/>
  <c r="Z23" i="8" s="1"/>
  <c r="W23" i="8"/>
  <c r="N13" i="9"/>
  <c r="AG13" i="9" s="1"/>
  <c r="L13" i="9"/>
  <c r="L21" i="9"/>
  <c r="N21" i="9"/>
  <c r="AG21" i="9" s="1"/>
  <c r="O28" i="9"/>
  <c r="T30" i="21"/>
  <c r="V31" i="2"/>
  <c r="L15" i="2"/>
  <c r="Y15" i="2"/>
  <c r="Z15" i="2" s="1"/>
  <c r="L23" i="2"/>
  <c r="Y23" i="2"/>
  <c r="Z23" i="2" s="1"/>
  <c r="Y31" i="2"/>
  <c r="Z31" i="2" s="1"/>
  <c r="L11" i="3"/>
  <c r="Y11" i="3"/>
  <c r="Z11" i="3" s="1"/>
  <c r="P12" i="3"/>
  <c r="X12" i="3"/>
  <c r="L14" i="3"/>
  <c r="Y14" i="3"/>
  <c r="Z14" i="3" s="1"/>
  <c r="L22" i="3"/>
  <c r="Y22" i="3"/>
  <c r="Z22" i="3" s="1"/>
  <c r="L30" i="3"/>
  <c r="Y30" i="3"/>
  <c r="Z30" i="3" s="1"/>
  <c r="W8" i="4"/>
  <c r="Y16" i="4"/>
  <c r="Z16" i="4" s="1"/>
  <c r="W16" i="4"/>
  <c r="W17" i="4"/>
  <c r="N18" i="4"/>
  <c r="AG18" i="4" s="1"/>
  <c r="L18" i="4"/>
  <c r="W21" i="4"/>
  <c r="N22" i="4"/>
  <c r="AG22" i="4" s="1"/>
  <c r="Y22" i="4"/>
  <c r="Z22" i="4" s="1"/>
  <c r="L22" i="4"/>
  <c r="Y16" i="5"/>
  <c r="Z16" i="5" s="1"/>
  <c r="Y7" i="6"/>
  <c r="Z7" i="6" s="1"/>
  <c r="N11" i="6"/>
  <c r="V11" i="6"/>
  <c r="W11" i="6" s="1"/>
  <c r="U30" i="6"/>
  <c r="V30" i="6" s="1"/>
  <c r="AD28" i="6"/>
  <c r="Y18" i="6"/>
  <c r="Z18" i="6" s="1"/>
  <c r="Y11" i="7"/>
  <c r="Z11" i="7" s="1"/>
  <c r="AB28" i="7"/>
  <c r="Y9" i="8"/>
  <c r="Z9" i="8" s="1"/>
  <c r="E31" i="8"/>
  <c r="P29" i="8"/>
  <c r="N10" i="9"/>
  <c r="AG10" i="9" s="1"/>
  <c r="L10" i="9"/>
  <c r="Y16" i="9"/>
  <c r="Z16" i="9" s="1"/>
  <c r="W16" i="9"/>
  <c r="AH33" i="11"/>
  <c r="AI33" i="11" s="1"/>
  <c r="AI12" i="11"/>
  <c r="N9" i="8"/>
  <c r="AG9" i="8" s="1"/>
  <c r="AG11" i="8" s="1"/>
  <c r="AG31" i="8" s="1"/>
  <c r="L9" i="8"/>
  <c r="AH31" i="8"/>
  <c r="AI31" i="8" s="1"/>
  <c r="AI11" i="8"/>
  <c r="J33" i="2"/>
  <c r="N11" i="4"/>
  <c r="AG11" i="4" s="1"/>
  <c r="Y11" i="4"/>
  <c r="Z11" i="4" s="1"/>
  <c r="L11" i="4"/>
  <c r="N30" i="4"/>
  <c r="AG30" i="4" s="1"/>
  <c r="Y30" i="4"/>
  <c r="Z30" i="4" s="1"/>
  <c r="L30" i="4"/>
  <c r="O31" i="4"/>
  <c r="T11" i="5"/>
  <c r="K11" i="5"/>
  <c r="N11" i="5" s="1"/>
  <c r="J30" i="5"/>
  <c r="Y21" i="5"/>
  <c r="Z21" i="5" s="1"/>
  <c r="G30" i="6"/>
  <c r="H30" i="6" s="1"/>
  <c r="H11" i="6"/>
  <c r="Q28" i="6"/>
  <c r="Y23" i="6"/>
  <c r="Z23" i="6" s="1"/>
  <c r="T28" i="6"/>
  <c r="K28" i="6"/>
  <c r="U30" i="7"/>
  <c r="Y15" i="8"/>
  <c r="Z15" i="8" s="1"/>
  <c r="W15" i="8"/>
  <c r="V33" i="4"/>
  <c r="Y9" i="7"/>
  <c r="Z9" i="7" s="1"/>
  <c r="W9" i="7"/>
  <c r="S31" i="2"/>
  <c r="AH33" i="2"/>
  <c r="AI33" i="2" s="1"/>
  <c r="J33" i="3"/>
  <c r="X33" i="4"/>
  <c r="N6" i="5"/>
  <c r="L6" i="5"/>
  <c r="N10" i="5"/>
  <c r="AG10" i="5" s="1"/>
  <c r="L10" i="5"/>
  <c r="N13" i="5"/>
  <c r="L13" i="5"/>
  <c r="AD28" i="5"/>
  <c r="N25" i="5"/>
  <c r="AG25" i="5" s="1"/>
  <c r="L25" i="5"/>
  <c r="O28" i="5"/>
  <c r="AD11" i="6"/>
  <c r="N27" i="6"/>
  <c r="AG27" i="6" s="1"/>
  <c r="Y27" i="6"/>
  <c r="Z27" i="6" s="1"/>
  <c r="L27" i="6"/>
  <c r="O28" i="6"/>
  <c r="AB11" i="9"/>
  <c r="Y13" i="9"/>
  <c r="Z13" i="9" s="1"/>
  <c r="V12" i="2"/>
  <c r="W12" i="2" s="1"/>
  <c r="L7" i="2"/>
  <c r="Y7" i="2"/>
  <c r="Z7" i="2" s="1"/>
  <c r="K12" i="2"/>
  <c r="L18" i="2"/>
  <c r="Y18" i="2"/>
  <c r="Z18" i="2" s="1"/>
  <c r="AH33" i="3"/>
  <c r="AI33" i="3" s="1"/>
  <c r="Y6" i="4"/>
  <c r="Z6" i="4" s="1"/>
  <c r="N7" i="4"/>
  <c r="AG7" i="4" s="1"/>
  <c r="S33" i="4"/>
  <c r="AI12" i="4"/>
  <c r="N14" i="4"/>
  <c r="AG14" i="4" s="1"/>
  <c r="AG31" i="4" s="1"/>
  <c r="Y14" i="4"/>
  <c r="Z14" i="4" s="1"/>
  <c r="L14" i="4"/>
  <c r="L21" i="4"/>
  <c r="Y24" i="4"/>
  <c r="Z24" i="4" s="1"/>
  <c r="W24" i="4"/>
  <c r="N26" i="4"/>
  <c r="AG26" i="4" s="1"/>
  <c r="L26" i="4"/>
  <c r="AH33" i="4"/>
  <c r="AI33" i="4" s="1"/>
  <c r="AG11" i="5"/>
  <c r="N15" i="6"/>
  <c r="AG15" i="6" s="1"/>
  <c r="AG28" i="6" s="1"/>
  <c r="L15" i="6"/>
  <c r="X30" i="6"/>
  <c r="N6" i="7"/>
  <c r="L6" i="7"/>
  <c r="H30" i="7"/>
  <c r="N17" i="7"/>
  <c r="AG17" i="7" s="1"/>
  <c r="AG28" i="7" s="1"/>
  <c r="L17" i="7"/>
  <c r="N25" i="7"/>
  <c r="AG25" i="7" s="1"/>
  <c r="L25" i="7"/>
  <c r="AB29" i="8"/>
  <c r="AG11" i="9"/>
  <c r="E30" i="9"/>
  <c r="O30" i="9" s="1"/>
  <c r="P11" i="9"/>
  <c r="Y24" i="9"/>
  <c r="Z24" i="9" s="1"/>
  <c r="W24" i="9"/>
  <c r="E30" i="5"/>
  <c r="Q30" i="5" s="1"/>
  <c r="P11" i="5"/>
  <c r="P30" i="5" s="1"/>
  <c r="J30" i="7"/>
  <c r="T11" i="7"/>
  <c r="K11" i="7"/>
  <c r="N11" i="7" s="1"/>
  <c r="N28" i="8"/>
  <c r="AG28" i="8" s="1"/>
  <c r="Y28" i="8"/>
  <c r="Z28" i="8" s="1"/>
  <c r="L28" i="8"/>
  <c r="M12" i="2"/>
  <c r="M33" i="2" s="1"/>
  <c r="K12" i="3"/>
  <c r="N12" i="3" s="1"/>
  <c r="K31" i="3"/>
  <c r="N31" i="3" s="1"/>
  <c r="L6" i="4"/>
  <c r="O33" i="4"/>
  <c r="E33" i="4"/>
  <c r="P33" i="4" s="1"/>
  <c r="Q33" i="4"/>
  <c r="P12" i="4"/>
  <c r="Q11" i="5"/>
  <c r="AG11" i="7"/>
  <c r="AD28" i="7"/>
  <c r="Y20" i="7"/>
  <c r="Z20" i="7" s="1"/>
  <c r="W20" i="7"/>
  <c r="D31" i="8"/>
  <c r="V31" i="8" s="1"/>
  <c r="V11" i="8"/>
  <c r="AD29" i="8"/>
  <c r="V30" i="9"/>
  <c r="W30" i="9" s="1"/>
  <c r="Q29" i="10"/>
  <c r="G33" i="4"/>
  <c r="H33" i="4" s="1"/>
  <c r="F30" i="7"/>
  <c r="P30" i="7"/>
  <c r="X30" i="7"/>
  <c r="F30" i="9"/>
  <c r="D30" i="9"/>
  <c r="K30" i="9" s="1"/>
  <c r="X11" i="9"/>
  <c r="X30" i="9" s="1"/>
  <c r="Y26" i="9"/>
  <c r="Z26" i="9" s="1"/>
  <c r="Y28" i="9"/>
  <c r="Z28" i="9" s="1"/>
  <c r="T30" i="9"/>
  <c r="N10" i="10"/>
  <c r="AG10" i="10" s="1"/>
  <c r="L10" i="10"/>
  <c r="U31" i="10"/>
  <c r="Y19" i="10"/>
  <c r="Z19" i="10" s="1"/>
  <c r="Y21" i="10"/>
  <c r="Z21" i="10" s="1"/>
  <c r="W21" i="10"/>
  <c r="AD31" i="11"/>
  <c r="N20" i="12"/>
  <c r="AG20" i="12" s="1"/>
  <c r="AG31" i="12" s="1"/>
  <c r="Y20" i="12"/>
  <c r="Z20" i="12" s="1"/>
  <c r="L20" i="12"/>
  <c r="W15" i="13"/>
  <c r="N20" i="13"/>
  <c r="AG20" i="13" s="1"/>
  <c r="AG31" i="13" s="1"/>
  <c r="Y20" i="13"/>
  <c r="Z20" i="13" s="1"/>
  <c r="L20" i="13"/>
  <c r="L10" i="14"/>
  <c r="N10" i="14"/>
  <c r="AG10" i="14" s="1"/>
  <c r="N6" i="16"/>
  <c r="AG6" i="16" s="1"/>
  <c r="L6" i="16"/>
  <c r="Y11" i="5"/>
  <c r="Z11" i="5" s="1"/>
  <c r="W15" i="5"/>
  <c r="W23" i="5"/>
  <c r="S28" i="5"/>
  <c r="Y28" i="5" s="1"/>
  <c r="Z28" i="5" s="1"/>
  <c r="AB28" i="5"/>
  <c r="AH30" i="5"/>
  <c r="AI30" i="5" s="1"/>
  <c r="W6" i="6"/>
  <c r="S11" i="6"/>
  <c r="Y11" i="6" s="1"/>
  <c r="Z11" i="6" s="1"/>
  <c r="AB11" i="6"/>
  <c r="W17" i="6"/>
  <c r="W25" i="6"/>
  <c r="M28" i="6"/>
  <c r="M30" i="6" s="1"/>
  <c r="D30" i="6"/>
  <c r="K30" i="6" s="1"/>
  <c r="N30" i="6" s="1"/>
  <c r="W8" i="7"/>
  <c r="W19" i="7"/>
  <c r="W27" i="7"/>
  <c r="Q30" i="7"/>
  <c r="X11" i="8"/>
  <c r="X31" i="8" s="1"/>
  <c r="R31" i="8"/>
  <c r="T31" i="8" s="1"/>
  <c r="H30" i="9"/>
  <c r="W27" i="9"/>
  <c r="Y8" i="10"/>
  <c r="Z8" i="10" s="1"/>
  <c r="N28" i="11"/>
  <c r="AG28" i="11" s="1"/>
  <c r="Y28" i="11"/>
  <c r="Z28" i="11" s="1"/>
  <c r="L28" i="11"/>
  <c r="W31" i="11"/>
  <c r="N9" i="12"/>
  <c r="AG9" i="12" s="1"/>
  <c r="AG12" i="12" s="1"/>
  <c r="AG33" i="12" s="1"/>
  <c r="Y9" i="12"/>
  <c r="Z9" i="12" s="1"/>
  <c r="L9" i="12"/>
  <c r="U33" i="12"/>
  <c r="V12" i="12"/>
  <c r="W12" i="12" s="1"/>
  <c r="N7" i="14"/>
  <c r="AG7" i="14" s="1"/>
  <c r="AG12" i="14" s="1"/>
  <c r="L7" i="14"/>
  <c r="W20" i="16"/>
  <c r="Y20" i="16"/>
  <c r="Z20" i="16" s="1"/>
  <c r="M30" i="5"/>
  <c r="E30" i="6"/>
  <c r="P30" i="6" s="1"/>
  <c r="O30" i="6"/>
  <c r="R30" i="7"/>
  <c r="S30" i="9"/>
  <c r="V28" i="9"/>
  <c r="W28" i="9" s="1"/>
  <c r="O29" i="10"/>
  <c r="Q12" i="11"/>
  <c r="Q31" i="11"/>
  <c r="N21" i="11"/>
  <c r="AG21" i="11" s="1"/>
  <c r="AG31" i="11" s="1"/>
  <c r="L21" i="11"/>
  <c r="O31" i="11"/>
  <c r="Q31" i="13"/>
  <c r="T33" i="14"/>
  <c r="O30" i="17"/>
  <c r="O11" i="7"/>
  <c r="O30" i="7" s="1"/>
  <c r="Q28" i="9"/>
  <c r="Y21" i="9"/>
  <c r="Z21" i="9" s="1"/>
  <c r="AH30" i="9"/>
  <c r="AI30" i="9" s="1"/>
  <c r="T31" i="10"/>
  <c r="N27" i="10"/>
  <c r="AG27" i="10" s="1"/>
  <c r="L27" i="10"/>
  <c r="AB29" i="10"/>
  <c r="Q33" i="11"/>
  <c r="M33" i="12"/>
  <c r="Y15" i="12"/>
  <c r="Z15" i="12" s="1"/>
  <c r="W15" i="12"/>
  <c r="Q12" i="15"/>
  <c r="M33" i="4"/>
  <c r="Q30" i="6"/>
  <c r="L10" i="7"/>
  <c r="Y10" i="7"/>
  <c r="Z10" i="7" s="1"/>
  <c r="L13" i="7"/>
  <c r="L21" i="7"/>
  <c r="Y21" i="7"/>
  <c r="Z21" i="7" s="1"/>
  <c r="AH30" i="7"/>
  <c r="AI30" i="7" s="1"/>
  <c r="S11" i="8"/>
  <c r="Y11" i="8" s="1"/>
  <c r="L16" i="8"/>
  <c r="L24" i="8"/>
  <c r="K29" i="8"/>
  <c r="N29" i="8" s="1"/>
  <c r="M31" i="8"/>
  <c r="L6" i="9"/>
  <c r="Y6" i="9"/>
  <c r="Z6" i="9" s="1"/>
  <c r="K11" i="9"/>
  <c r="N11" i="9" s="1"/>
  <c r="T11" i="9"/>
  <c r="L17" i="9"/>
  <c r="Y17" i="9"/>
  <c r="Z17" i="9" s="1"/>
  <c r="Y23" i="9"/>
  <c r="Z23" i="9" s="1"/>
  <c r="N24" i="9"/>
  <c r="AG24" i="9" s="1"/>
  <c r="AG12" i="10"/>
  <c r="K12" i="10"/>
  <c r="AD29" i="10"/>
  <c r="N10" i="11"/>
  <c r="AG10" i="11" s="1"/>
  <c r="L10" i="11"/>
  <c r="V12" i="11"/>
  <c r="W12" i="11" s="1"/>
  <c r="Y20" i="11"/>
  <c r="Z20" i="11" s="1"/>
  <c r="Y21" i="11"/>
  <c r="Z21" i="11" s="1"/>
  <c r="Y23" i="11"/>
  <c r="Z23" i="11" s="1"/>
  <c r="W23" i="11"/>
  <c r="AI33" i="12"/>
  <c r="Y23" i="12"/>
  <c r="Z23" i="12" s="1"/>
  <c r="W23" i="12"/>
  <c r="N9" i="13"/>
  <c r="AG9" i="13" s="1"/>
  <c r="AG12" i="13" s="1"/>
  <c r="AG33" i="13" s="1"/>
  <c r="Y9" i="13"/>
  <c r="Z9" i="13" s="1"/>
  <c r="L9" i="13"/>
  <c r="U33" i="13"/>
  <c r="V12" i="13"/>
  <c r="W12" i="13" s="1"/>
  <c r="T31" i="14"/>
  <c r="K31" i="14"/>
  <c r="K33" i="15"/>
  <c r="F30" i="5"/>
  <c r="H30" i="5" s="1"/>
  <c r="S28" i="7"/>
  <c r="Y28" i="7" s="1"/>
  <c r="Z28" i="7" s="1"/>
  <c r="W10" i="10"/>
  <c r="Y26" i="10"/>
  <c r="Z26" i="10" s="1"/>
  <c r="Y27" i="10"/>
  <c r="Z27" i="10" s="1"/>
  <c r="W16" i="11"/>
  <c r="Q12" i="12"/>
  <c r="Q33" i="12" s="1"/>
  <c r="N28" i="12"/>
  <c r="AG28" i="12" s="1"/>
  <c r="Y28" i="12"/>
  <c r="Z28" i="12" s="1"/>
  <c r="L28" i="12"/>
  <c r="W31" i="12"/>
  <c r="Q12" i="13"/>
  <c r="N28" i="13"/>
  <c r="AG28" i="13" s="1"/>
  <c r="Y28" i="13"/>
  <c r="Z28" i="13" s="1"/>
  <c r="L28" i="13"/>
  <c r="Y10" i="16"/>
  <c r="Z10" i="16" s="1"/>
  <c r="W10" i="16"/>
  <c r="V28" i="17"/>
  <c r="W28" i="17" s="1"/>
  <c r="N12" i="22"/>
  <c r="N26" i="9"/>
  <c r="AG26" i="9" s="1"/>
  <c r="L26" i="9"/>
  <c r="Q12" i="10"/>
  <c r="Y12" i="10"/>
  <c r="Z12" i="10" s="1"/>
  <c r="N19" i="10"/>
  <c r="AG19" i="10" s="1"/>
  <c r="AG29" i="10" s="1"/>
  <c r="L19" i="10"/>
  <c r="Y15" i="11"/>
  <c r="Z15" i="11" s="1"/>
  <c r="W15" i="11"/>
  <c r="O31" i="12"/>
  <c r="AB31" i="13"/>
  <c r="W12" i="14"/>
  <c r="N17" i="15"/>
  <c r="AG17" i="15" s="1"/>
  <c r="L17" i="15"/>
  <c r="N26" i="15"/>
  <c r="AG26" i="15" s="1"/>
  <c r="L26" i="15"/>
  <c r="Y29" i="16"/>
  <c r="Z29" i="16" s="1"/>
  <c r="W29" i="16"/>
  <c r="AI12" i="14"/>
  <c r="N18" i="14"/>
  <c r="AG18" i="14" s="1"/>
  <c r="AG31" i="14" s="1"/>
  <c r="L18" i="14"/>
  <c r="N10" i="15"/>
  <c r="AG10" i="15" s="1"/>
  <c r="L10" i="15"/>
  <c r="R33" i="15"/>
  <c r="T33" i="15" s="1"/>
  <c r="X12" i="15"/>
  <c r="O31" i="15"/>
  <c r="W31" i="15"/>
  <c r="Y25" i="16"/>
  <c r="Z25" i="16" s="1"/>
  <c r="N26" i="17"/>
  <c r="AG26" i="17" s="1"/>
  <c r="L26" i="17"/>
  <c r="O28" i="17"/>
  <c r="N25" i="19"/>
  <c r="AG25" i="19" s="1"/>
  <c r="Y25" i="19"/>
  <c r="Z25" i="19" s="1"/>
  <c r="L25" i="19"/>
  <c r="V12" i="20"/>
  <c r="W12" i="20" s="1"/>
  <c r="U30" i="20"/>
  <c r="W28" i="21"/>
  <c r="W12" i="23"/>
  <c r="M28" i="9"/>
  <c r="N28" i="9" s="1"/>
  <c r="M12" i="10"/>
  <c r="F31" i="10"/>
  <c r="P31" i="10"/>
  <c r="O12" i="11"/>
  <c r="O33" i="11" s="1"/>
  <c r="L29" i="11"/>
  <c r="F33" i="11"/>
  <c r="M33" i="11" s="1"/>
  <c r="P33" i="11"/>
  <c r="L10" i="12"/>
  <c r="O12" i="12"/>
  <c r="O33" i="12" s="1"/>
  <c r="AI12" i="12"/>
  <c r="L21" i="12"/>
  <c r="L29" i="12"/>
  <c r="Y29" i="12"/>
  <c r="Z29" i="12" s="1"/>
  <c r="F33" i="12"/>
  <c r="P33" i="12"/>
  <c r="X33" i="12"/>
  <c r="L10" i="13"/>
  <c r="Y10" i="13"/>
  <c r="Z10" i="13" s="1"/>
  <c r="O12" i="13"/>
  <c r="O33" i="13" s="1"/>
  <c r="AI12" i="13"/>
  <c r="L21" i="13"/>
  <c r="Y21" i="13"/>
  <c r="Z21" i="13" s="1"/>
  <c r="L29" i="13"/>
  <c r="Y29" i="13"/>
  <c r="Z29" i="13" s="1"/>
  <c r="O31" i="13"/>
  <c r="F33" i="13"/>
  <c r="M33" i="13" s="1"/>
  <c r="P33" i="13"/>
  <c r="Y6" i="14"/>
  <c r="Z6" i="14" s="1"/>
  <c r="Y7" i="14"/>
  <c r="Z7" i="14" s="1"/>
  <c r="AD31" i="14"/>
  <c r="W16" i="14"/>
  <c r="Q33" i="15"/>
  <c r="S12" i="15"/>
  <c r="W12" i="15" s="1"/>
  <c r="Q14" i="15"/>
  <c r="Q31" i="15" s="1"/>
  <c r="Y25" i="15"/>
  <c r="Z25" i="15" s="1"/>
  <c r="Y26" i="15"/>
  <c r="Z26" i="15" s="1"/>
  <c r="T12" i="16"/>
  <c r="K12" i="16"/>
  <c r="N21" i="16"/>
  <c r="AG21" i="16" s="1"/>
  <c r="L21" i="16"/>
  <c r="L25" i="16"/>
  <c r="T31" i="16"/>
  <c r="K31" i="16"/>
  <c r="J33" i="16"/>
  <c r="Q12" i="17"/>
  <c r="J30" i="17"/>
  <c r="T12" i="17"/>
  <c r="K12" i="17"/>
  <c r="Y12" i="17" s="1"/>
  <c r="Z12" i="17" s="1"/>
  <c r="W24" i="17"/>
  <c r="W28" i="18"/>
  <c r="Q28" i="19"/>
  <c r="AG12" i="20"/>
  <c r="E33" i="23"/>
  <c r="P33" i="23" s="1"/>
  <c r="P12" i="23"/>
  <c r="O12" i="23"/>
  <c r="O33" i="23" s="1"/>
  <c r="N30" i="23"/>
  <c r="AG30" i="23" s="1"/>
  <c r="L30" i="23"/>
  <c r="N24" i="24"/>
  <c r="AG24" i="24" s="1"/>
  <c r="L24" i="24"/>
  <c r="G31" i="10"/>
  <c r="Q31" i="10"/>
  <c r="G33" i="11"/>
  <c r="H33" i="11" s="1"/>
  <c r="G33" i="12"/>
  <c r="H33" i="12" s="1"/>
  <c r="L14" i="13"/>
  <c r="L22" i="13"/>
  <c r="Y22" i="13"/>
  <c r="Z22" i="13" s="1"/>
  <c r="L30" i="13"/>
  <c r="Y30" i="13"/>
  <c r="Z30" i="13" s="1"/>
  <c r="G33" i="13"/>
  <c r="H33" i="13" s="1"/>
  <c r="Q33" i="13"/>
  <c r="L6" i="14"/>
  <c r="S12" i="14"/>
  <c r="O31" i="14"/>
  <c r="Y17" i="14"/>
  <c r="Z17" i="14" s="1"/>
  <c r="Y18" i="14"/>
  <c r="Z18" i="14" s="1"/>
  <c r="N29" i="14"/>
  <c r="AG29" i="14" s="1"/>
  <c r="L29" i="14"/>
  <c r="N7" i="15"/>
  <c r="AG7" i="15" s="1"/>
  <c r="L7" i="15"/>
  <c r="L25" i="15"/>
  <c r="T31" i="15"/>
  <c r="K31" i="15"/>
  <c r="Q12" i="16"/>
  <c r="Q33" i="16" s="1"/>
  <c r="AI12" i="16"/>
  <c r="AI33" i="16" s="1"/>
  <c r="AH30" i="17"/>
  <c r="AI12" i="17"/>
  <c r="AI30" i="17" s="1"/>
  <c r="N21" i="17"/>
  <c r="AG21" i="17" s="1"/>
  <c r="L21" i="17"/>
  <c r="Y25" i="17"/>
  <c r="Z25" i="17" s="1"/>
  <c r="Y26" i="17"/>
  <c r="Z26" i="17" s="1"/>
  <c r="N10" i="18"/>
  <c r="AG10" i="18" s="1"/>
  <c r="AG12" i="18" s="1"/>
  <c r="L10" i="18"/>
  <c r="V12" i="18"/>
  <c r="W12" i="18" s="1"/>
  <c r="N18" i="24"/>
  <c r="AG18" i="24" s="1"/>
  <c r="Y18" i="24"/>
  <c r="Z18" i="24" s="1"/>
  <c r="L18" i="24"/>
  <c r="O12" i="10"/>
  <c r="O31" i="10" s="1"/>
  <c r="AI12" i="10"/>
  <c r="L21" i="10"/>
  <c r="Y12" i="11"/>
  <c r="Z12" i="11" s="1"/>
  <c r="L15" i="11"/>
  <c r="L23" i="11"/>
  <c r="Y31" i="11"/>
  <c r="Z31" i="11" s="1"/>
  <c r="Y12" i="12"/>
  <c r="Z12" i="12" s="1"/>
  <c r="L15" i="12"/>
  <c r="L23" i="12"/>
  <c r="W16" i="13"/>
  <c r="W24" i="13"/>
  <c r="AH33" i="13"/>
  <c r="AI33" i="13" s="1"/>
  <c r="O12" i="14"/>
  <c r="O33" i="14" s="1"/>
  <c r="AD12" i="14"/>
  <c r="Y10" i="14"/>
  <c r="Z10" i="14" s="1"/>
  <c r="Y12" i="14"/>
  <c r="Z12" i="14" s="1"/>
  <c r="F33" i="14"/>
  <c r="D33" i="14"/>
  <c r="V33" i="14" s="1"/>
  <c r="M12" i="14"/>
  <c r="M33" i="14" s="1"/>
  <c r="Q31" i="14"/>
  <c r="N26" i="14"/>
  <c r="AG26" i="14" s="1"/>
  <c r="L26" i="14"/>
  <c r="Y28" i="14"/>
  <c r="Z28" i="14" s="1"/>
  <c r="Y10" i="15"/>
  <c r="Z10" i="15" s="1"/>
  <c r="H33" i="15"/>
  <c r="W20" i="15"/>
  <c r="N21" i="15"/>
  <c r="AG21" i="15" s="1"/>
  <c r="L21" i="15"/>
  <c r="W29" i="15"/>
  <c r="N18" i="16"/>
  <c r="AG18" i="16" s="1"/>
  <c r="L18" i="16"/>
  <c r="N10" i="17"/>
  <c r="AG10" i="17" s="1"/>
  <c r="L10" i="17"/>
  <c r="AB28" i="17"/>
  <c r="N18" i="17"/>
  <c r="AG18" i="17" s="1"/>
  <c r="AG28" i="17" s="1"/>
  <c r="L18" i="17"/>
  <c r="Y20" i="17"/>
  <c r="Z20" i="17" s="1"/>
  <c r="AB12" i="18"/>
  <c r="M28" i="20"/>
  <c r="S28" i="20"/>
  <c r="Y28" i="20"/>
  <c r="Z28" i="20" s="1"/>
  <c r="K28" i="20"/>
  <c r="N28" i="20" s="1"/>
  <c r="W7" i="22"/>
  <c r="Y7" i="22"/>
  <c r="Z7" i="22" s="1"/>
  <c r="J33" i="11"/>
  <c r="L24" i="12"/>
  <c r="J33" i="12"/>
  <c r="L16" i="13"/>
  <c r="L24" i="13"/>
  <c r="J33" i="13"/>
  <c r="Q12" i="14"/>
  <c r="Q33" i="14" s="1"/>
  <c r="H33" i="14"/>
  <c r="W21" i="14"/>
  <c r="Y31" i="14"/>
  <c r="Z31" i="14" s="1"/>
  <c r="AG12" i="15"/>
  <c r="Y6" i="15"/>
  <c r="Z6" i="15" s="1"/>
  <c r="Y7" i="15"/>
  <c r="Z7" i="15" s="1"/>
  <c r="N10" i="16"/>
  <c r="AG10" i="16" s="1"/>
  <c r="L10" i="16"/>
  <c r="R33" i="16"/>
  <c r="X12" i="16"/>
  <c r="AG31" i="16"/>
  <c r="AD31" i="16"/>
  <c r="Y21" i="16"/>
  <c r="Z21" i="16" s="1"/>
  <c r="N29" i="16"/>
  <c r="AG29" i="16" s="1"/>
  <c r="L29" i="16"/>
  <c r="N7" i="17"/>
  <c r="AG7" i="17" s="1"/>
  <c r="L7" i="17"/>
  <c r="Y9" i="17"/>
  <c r="Z9" i="17" s="1"/>
  <c r="AD28" i="17"/>
  <c r="W16" i="17"/>
  <c r="W8" i="18"/>
  <c r="Y9" i="18"/>
  <c r="Z9" i="18" s="1"/>
  <c r="Y10" i="18"/>
  <c r="Z10" i="18" s="1"/>
  <c r="N16" i="20"/>
  <c r="AG16" i="20" s="1"/>
  <c r="AG28" i="20" s="1"/>
  <c r="L16" i="20"/>
  <c r="H28" i="20"/>
  <c r="W16" i="10"/>
  <c r="W24" i="10"/>
  <c r="AH31" i="10"/>
  <c r="AI31" i="10" s="1"/>
  <c r="W7" i="11"/>
  <c r="AB12" i="11"/>
  <c r="W18" i="11"/>
  <c r="W26" i="11"/>
  <c r="W7" i="12"/>
  <c r="AB12" i="12"/>
  <c r="W18" i="12"/>
  <c r="W26" i="12"/>
  <c r="AH33" i="12"/>
  <c r="W7" i="13"/>
  <c r="AB12" i="13"/>
  <c r="H12" i="14"/>
  <c r="X12" i="14"/>
  <c r="X33" i="14" s="1"/>
  <c r="Y25" i="14"/>
  <c r="Z25" i="14" s="1"/>
  <c r="Y26" i="14"/>
  <c r="Z26" i="14" s="1"/>
  <c r="W31" i="14"/>
  <c r="T12" i="15"/>
  <c r="K12" i="15"/>
  <c r="N18" i="15"/>
  <c r="AG18" i="15" s="1"/>
  <c r="AG31" i="15" s="1"/>
  <c r="L18" i="15"/>
  <c r="N29" i="15"/>
  <c r="AG29" i="15" s="1"/>
  <c r="L29" i="15"/>
  <c r="N7" i="16"/>
  <c r="AG7" i="16" s="1"/>
  <c r="L7" i="16"/>
  <c r="O31" i="16"/>
  <c r="O33" i="16" s="1"/>
  <c r="Y17" i="16"/>
  <c r="Z17" i="16" s="1"/>
  <c r="Y18" i="16"/>
  <c r="Z18" i="16" s="1"/>
  <c r="Y28" i="16"/>
  <c r="Z28" i="16" s="1"/>
  <c r="Q30" i="17"/>
  <c r="Y17" i="17"/>
  <c r="Z17" i="17" s="1"/>
  <c r="Y18" i="17"/>
  <c r="Z18" i="17" s="1"/>
  <c r="O12" i="18"/>
  <c r="AH30" i="18"/>
  <c r="AI30" i="18" s="1"/>
  <c r="AI12" i="18"/>
  <c r="M30" i="21"/>
  <c r="AG12" i="22"/>
  <c r="K29" i="10"/>
  <c r="N29" i="10" s="1"/>
  <c r="K12" i="11"/>
  <c r="N12" i="11" s="1"/>
  <c r="K31" i="11"/>
  <c r="N31" i="11" s="1"/>
  <c r="K12" i="12"/>
  <c r="N12" i="12" s="1"/>
  <c r="K31" i="12"/>
  <c r="N31" i="12" s="1"/>
  <c r="K12" i="13"/>
  <c r="N12" i="13" s="1"/>
  <c r="K31" i="13"/>
  <c r="N31" i="13" s="1"/>
  <c r="W10" i="14"/>
  <c r="T12" i="14"/>
  <c r="K12" i="14"/>
  <c r="N15" i="14"/>
  <c r="AG15" i="14" s="1"/>
  <c r="N21" i="14"/>
  <c r="AG21" i="14" s="1"/>
  <c r="L21" i="14"/>
  <c r="L25" i="14"/>
  <c r="AH33" i="14"/>
  <c r="AI33" i="14" s="1"/>
  <c r="O12" i="15"/>
  <c r="O33" i="15" s="1"/>
  <c r="AD12" i="15"/>
  <c r="W10" i="15"/>
  <c r="AI12" i="15"/>
  <c r="AI33" i="15" s="1"/>
  <c r="Y21" i="15"/>
  <c r="Z21" i="15" s="1"/>
  <c r="Y28" i="15"/>
  <c r="Z28" i="15" s="1"/>
  <c r="S31" i="15"/>
  <c r="Y31" i="15" s="1"/>
  <c r="Z31" i="15" s="1"/>
  <c r="Y12" i="16"/>
  <c r="Z12" i="16" s="1"/>
  <c r="Q14" i="16"/>
  <c r="Q31" i="16" s="1"/>
  <c r="N26" i="16"/>
  <c r="AG26" i="16" s="1"/>
  <c r="L26" i="16"/>
  <c r="Y31" i="16"/>
  <c r="Z31" i="16" s="1"/>
  <c r="AG12" i="17"/>
  <c r="Y6" i="17"/>
  <c r="Z6" i="17" s="1"/>
  <c r="Y10" i="17"/>
  <c r="Z10" i="17" s="1"/>
  <c r="L17" i="17"/>
  <c r="Q12" i="18"/>
  <c r="AB28" i="19"/>
  <c r="T31" i="22"/>
  <c r="N18" i="23"/>
  <c r="AG18" i="23" s="1"/>
  <c r="Y18" i="23"/>
  <c r="Z18" i="23" s="1"/>
  <c r="L18" i="23"/>
  <c r="M33" i="16"/>
  <c r="F30" i="17"/>
  <c r="P30" i="17"/>
  <c r="AD28" i="18"/>
  <c r="W20" i="18"/>
  <c r="N21" i="18"/>
  <c r="AG21" i="18" s="1"/>
  <c r="L21" i="18"/>
  <c r="AB28" i="18"/>
  <c r="W9" i="19"/>
  <c r="N10" i="19"/>
  <c r="AG10" i="19" s="1"/>
  <c r="L10" i="19"/>
  <c r="G30" i="19"/>
  <c r="W16" i="19"/>
  <c r="N17" i="19"/>
  <c r="AG17" i="19" s="1"/>
  <c r="AG28" i="19" s="1"/>
  <c r="Y17" i="19"/>
  <c r="Z17" i="19" s="1"/>
  <c r="L17" i="19"/>
  <c r="Y15" i="20"/>
  <c r="Z15" i="20" s="1"/>
  <c r="W18" i="21"/>
  <c r="N19" i="21"/>
  <c r="AG19" i="21" s="1"/>
  <c r="Y19" i="21"/>
  <c r="Z19" i="21" s="1"/>
  <c r="L19" i="21"/>
  <c r="W22" i="21"/>
  <c r="N23" i="21"/>
  <c r="AG23" i="21" s="1"/>
  <c r="L23" i="21"/>
  <c r="N8" i="22"/>
  <c r="AG8" i="22" s="1"/>
  <c r="L8" i="22"/>
  <c r="Q29" i="22"/>
  <c r="W22" i="22"/>
  <c r="N23" i="22"/>
  <c r="AG23" i="22" s="1"/>
  <c r="Y23" i="22"/>
  <c r="Z23" i="22" s="1"/>
  <c r="L23" i="22"/>
  <c r="S29" i="22"/>
  <c r="X29" i="22"/>
  <c r="X31" i="22" s="1"/>
  <c r="Q12" i="23"/>
  <c r="W21" i="23"/>
  <c r="N22" i="23"/>
  <c r="AG22" i="23" s="1"/>
  <c r="L22" i="23"/>
  <c r="Y11" i="24"/>
  <c r="Z11" i="24" s="1"/>
  <c r="E33" i="24"/>
  <c r="O33" i="24" s="1"/>
  <c r="Q33" i="24"/>
  <c r="P12" i="24"/>
  <c r="P33" i="24" s="1"/>
  <c r="N22" i="24"/>
  <c r="AG22" i="24" s="1"/>
  <c r="Y22" i="24"/>
  <c r="Z22" i="24" s="1"/>
  <c r="L22" i="24"/>
  <c r="N9" i="27"/>
  <c r="AG9" i="27" s="1"/>
  <c r="AG12" i="27" s="1"/>
  <c r="Y9" i="27"/>
  <c r="Z9" i="27" s="1"/>
  <c r="L9" i="27"/>
  <c r="U31" i="27"/>
  <c r="V31" i="27" s="1"/>
  <c r="V12" i="27"/>
  <c r="W12" i="27" s="1"/>
  <c r="M31" i="14"/>
  <c r="M12" i="15"/>
  <c r="M31" i="15"/>
  <c r="D33" i="15"/>
  <c r="V33" i="15" s="1"/>
  <c r="M12" i="16"/>
  <c r="M31" i="16"/>
  <c r="D33" i="16"/>
  <c r="V33" i="16" s="1"/>
  <c r="M12" i="17"/>
  <c r="X30" i="18"/>
  <c r="F30" i="18"/>
  <c r="M30" i="18"/>
  <c r="Y15" i="18"/>
  <c r="Z15" i="18" s="1"/>
  <c r="W24" i="18"/>
  <c r="N25" i="18"/>
  <c r="AG25" i="18" s="1"/>
  <c r="L25" i="18"/>
  <c r="E30" i="18"/>
  <c r="O30" i="18" s="1"/>
  <c r="AI30" i="19"/>
  <c r="AH30" i="19"/>
  <c r="AI12" i="19"/>
  <c r="AD28" i="19"/>
  <c r="AB12" i="20"/>
  <c r="Q28" i="21"/>
  <c r="Y28" i="21"/>
  <c r="Z28" i="21" s="1"/>
  <c r="W26" i="22"/>
  <c r="N27" i="22"/>
  <c r="AG27" i="22" s="1"/>
  <c r="L27" i="22"/>
  <c r="Y30" i="23"/>
  <c r="Z30" i="23" s="1"/>
  <c r="Q12" i="24"/>
  <c r="N26" i="24"/>
  <c r="AG26" i="24" s="1"/>
  <c r="L26" i="24"/>
  <c r="N14" i="30"/>
  <c r="AG14" i="30" s="1"/>
  <c r="Y14" i="30"/>
  <c r="Z14" i="30" s="1"/>
  <c r="L14" i="30"/>
  <c r="H30" i="18"/>
  <c r="Y17" i="18"/>
  <c r="Z17" i="18" s="1"/>
  <c r="L17" i="18"/>
  <c r="T30" i="18"/>
  <c r="T30" i="19"/>
  <c r="N9" i="20"/>
  <c r="AG9" i="20" s="1"/>
  <c r="Y9" i="20"/>
  <c r="Z9" i="20" s="1"/>
  <c r="L9" i="20"/>
  <c r="T30" i="20"/>
  <c r="Y16" i="20"/>
  <c r="Z16" i="20" s="1"/>
  <c r="N20" i="20"/>
  <c r="AG20" i="20" s="1"/>
  <c r="Y20" i="20"/>
  <c r="Z20" i="20" s="1"/>
  <c r="L20" i="20"/>
  <c r="W29" i="22"/>
  <c r="D31" i="22"/>
  <c r="K31" i="22" s="1"/>
  <c r="T12" i="23"/>
  <c r="K12" i="23"/>
  <c r="N12" i="23" s="1"/>
  <c r="J33" i="23"/>
  <c r="Y24" i="24"/>
  <c r="Z24" i="24" s="1"/>
  <c r="W29" i="28"/>
  <c r="P33" i="14"/>
  <c r="F33" i="15"/>
  <c r="X33" i="15" s="1"/>
  <c r="P33" i="15"/>
  <c r="F33" i="16"/>
  <c r="H33" i="16" s="1"/>
  <c r="P33" i="16"/>
  <c r="H12" i="18"/>
  <c r="N17" i="18"/>
  <c r="AG17" i="18" s="1"/>
  <c r="AG28" i="18" s="1"/>
  <c r="AB12" i="19"/>
  <c r="N24" i="20"/>
  <c r="AG24" i="20" s="1"/>
  <c r="L24" i="20"/>
  <c r="W12" i="21"/>
  <c r="T28" i="21"/>
  <c r="K28" i="21"/>
  <c r="W14" i="22"/>
  <c r="N15" i="22"/>
  <c r="AG15" i="22" s="1"/>
  <c r="AG29" i="22" s="1"/>
  <c r="Y15" i="22"/>
  <c r="Z15" i="22" s="1"/>
  <c r="L15" i="22"/>
  <c r="W6" i="23"/>
  <c r="N7" i="23"/>
  <c r="AG7" i="23" s="1"/>
  <c r="AG12" i="23" s="1"/>
  <c r="Y7" i="23"/>
  <c r="Z7" i="23" s="1"/>
  <c r="L7" i="23"/>
  <c r="N14" i="23"/>
  <c r="AG14" i="23" s="1"/>
  <c r="L14" i="23"/>
  <c r="AD31" i="23"/>
  <c r="J33" i="24"/>
  <c r="T12" i="24"/>
  <c r="K12" i="24"/>
  <c r="N12" i="24" s="1"/>
  <c r="N6" i="19"/>
  <c r="AG6" i="19" s="1"/>
  <c r="AG12" i="19" s="1"/>
  <c r="Y6" i="19"/>
  <c r="Z6" i="19" s="1"/>
  <c r="L6" i="19"/>
  <c r="W20" i="19"/>
  <c r="N21" i="19"/>
  <c r="AG21" i="19" s="1"/>
  <c r="L21" i="19"/>
  <c r="AB28" i="20"/>
  <c r="O12" i="21"/>
  <c r="W7" i="21"/>
  <c r="N8" i="21"/>
  <c r="AG8" i="21" s="1"/>
  <c r="AG12" i="21" s="1"/>
  <c r="Y8" i="21"/>
  <c r="Z8" i="21" s="1"/>
  <c r="L8" i="21"/>
  <c r="W11" i="21"/>
  <c r="M12" i="21"/>
  <c r="N12" i="21" s="1"/>
  <c r="X30" i="21"/>
  <c r="F30" i="21"/>
  <c r="H30" i="21" s="1"/>
  <c r="H12" i="21"/>
  <c r="W14" i="21"/>
  <c r="N15" i="21"/>
  <c r="AG15" i="21" s="1"/>
  <c r="AG28" i="21" s="1"/>
  <c r="L15" i="21"/>
  <c r="O28" i="21"/>
  <c r="W11" i="22"/>
  <c r="Y12" i="22"/>
  <c r="Z12" i="22" s="1"/>
  <c r="M12" i="22"/>
  <c r="M31" i="22" s="1"/>
  <c r="W18" i="22"/>
  <c r="N19" i="22"/>
  <c r="AG19" i="22" s="1"/>
  <c r="L19" i="22"/>
  <c r="Y27" i="22"/>
  <c r="Z27" i="22" s="1"/>
  <c r="W10" i="23"/>
  <c r="N11" i="23"/>
  <c r="AG11" i="23" s="1"/>
  <c r="L11" i="23"/>
  <c r="T31" i="23"/>
  <c r="K31" i="23"/>
  <c r="N31" i="23" s="1"/>
  <c r="W6" i="24"/>
  <c r="N7" i="24"/>
  <c r="AG7" i="24" s="1"/>
  <c r="AG12" i="24" s="1"/>
  <c r="Y7" i="24"/>
  <c r="Z7" i="24" s="1"/>
  <c r="L7" i="24"/>
  <c r="AD12" i="24"/>
  <c r="N14" i="24"/>
  <c r="AG14" i="24" s="1"/>
  <c r="L14" i="24"/>
  <c r="AD31" i="24"/>
  <c r="N23" i="24"/>
  <c r="AG23" i="24" s="1"/>
  <c r="L23" i="24"/>
  <c r="L23" i="14"/>
  <c r="L15" i="15"/>
  <c r="L23" i="15"/>
  <c r="L23" i="16"/>
  <c r="K28" i="17"/>
  <c r="N28" i="17" s="1"/>
  <c r="L7" i="18"/>
  <c r="K12" i="18"/>
  <c r="N12" i="18" s="1"/>
  <c r="O12" i="19"/>
  <c r="X12" i="19"/>
  <c r="T12" i="19"/>
  <c r="S12" i="19"/>
  <c r="W12" i="19" s="1"/>
  <c r="O28" i="20"/>
  <c r="V28" i="20"/>
  <c r="W28" i="20" s="1"/>
  <c r="N27" i="21"/>
  <c r="AG27" i="21" s="1"/>
  <c r="Y27" i="21"/>
  <c r="Z27" i="21" s="1"/>
  <c r="L27" i="21"/>
  <c r="Q31" i="23"/>
  <c r="Q33" i="23" s="1"/>
  <c r="N26" i="23"/>
  <c r="AG26" i="23" s="1"/>
  <c r="Y26" i="23"/>
  <c r="Z26" i="23" s="1"/>
  <c r="L26" i="23"/>
  <c r="N11" i="24"/>
  <c r="AG11" i="24" s="1"/>
  <c r="L11" i="24"/>
  <c r="X32" i="25"/>
  <c r="F32" i="25"/>
  <c r="M12" i="25"/>
  <c r="M32" i="25" s="1"/>
  <c r="D32" i="25"/>
  <c r="S32" i="25" s="1"/>
  <c r="H12" i="25"/>
  <c r="Y12" i="25"/>
  <c r="Z12" i="25" s="1"/>
  <c r="E30" i="19"/>
  <c r="O30" i="19" s="1"/>
  <c r="O29" i="22"/>
  <c r="G31" i="22"/>
  <c r="H31" i="22" s="1"/>
  <c r="X12" i="23"/>
  <c r="X33" i="23" s="1"/>
  <c r="G33" i="23"/>
  <c r="H33" i="23" s="1"/>
  <c r="X33" i="24"/>
  <c r="F33" i="24"/>
  <c r="D33" i="24" s="1"/>
  <c r="X12" i="24"/>
  <c r="T31" i="24"/>
  <c r="G32" i="25"/>
  <c r="H32" i="25" s="1"/>
  <c r="X31" i="26"/>
  <c r="W29" i="26"/>
  <c r="N28" i="27"/>
  <c r="AG28" i="27" s="1"/>
  <c r="Y28" i="27"/>
  <c r="Z28" i="27" s="1"/>
  <c r="L28" i="27"/>
  <c r="T31" i="28"/>
  <c r="J31" i="29"/>
  <c r="T12" i="29"/>
  <c r="K12" i="29"/>
  <c r="N12" i="29" s="1"/>
  <c r="W23" i="18"/>
  <c r="S28" i="18"/>
  <c r="O28" i="19"/>
  <c r="F30" i="19"/>
  <c r="M30" i="19" s="1"/>
  <c r="P30" i="19"/>
  <c r="W11" i="20"/>
  <c r="O12" i="20"/>
  <c r="L21" i="20"/>
  <c r="Y21" i="20"/>
  <c r="Z21" i="20" s="1"/>
  <c r="M28" i="21"/>
  <c r="E30" i="21"/>
  <c r="Q30" i="21" s="1"/>
  <c r="O30" i="21"/>
  <c r="V12" i="22"/>
  <c r="W12" i="22" s="1"/>
  <c r="Y26" i="24"/>
  <c r="Z26" i="24" s="1"/>
  <c r="T32" i="25"/>
  <c r="K32" i="25"/>
  <c r="G31" i="26"/>
  <c r="H12" i="26"/>
  <c r="O31" i="27"/>
  <c r="N15" i="28"/>
  <c r="AG15" i="28" s="1"/>
  <c r="AG29" i="28" s="1"/>
  <c r="L15" i="28"/>
  <c r="W18" i="28"/>
  <c r="AG12" i="29"/>
  <c r="Q29" i="29"/>
  <c r="N18" i="29"/>
  <c r="AG18" i="29" s="1"/>
  <c r="AG29" i="29" s="1"/>
  <c r="Y18" i="29"/>
  <c r="Z18" i="29" s="1"/>
  <c r="L18" i="29"/>
  <c r="W21" i="29"/>
  <c r="W6" i="30"/>
  <c r="N22" i="30"/>
  <c r="AG22" i="30" s="1"/>
  <c r="Y22" i="30"/>
  <c r="Z22" i="30" s="1"/>
  <c r="L22" i="30"/>
  <c r="N7" i="32"/>
  <c r="Y7" i="32"/>
  <c r="Z7" i="32" s="1"/>
  <c r="L7" i="32"/>
  <c r="J33" i="32"/>
  <c r="T12" i="32"/>
  <c r="K12" i="32"/>
  <c r="Y21" i="32"/>
  <c r="Z21" i="32" s="1"/>
  <c r="W21" i="32"/>
  <c r="K28" i="18"/>
  <c r="N28" i="18" s="1"/>
  <c r="L8" i="19"/>
  <c r="M12" i="19"/>
  <c r="N12" i="19" s="1"/>
  <c r="L19" i="19"/>
  <c r="L27" i="19"/>
  <c r="P12" i="20"/>
  <c r="L6" i="21"/>
  <c r="S12" i="21"/>
  <c r="Y12" i="21" s="1"/>
  <c r="Z12" i="21" s="1"/>
  <c r="L17" i="21"/>
  <c r="L25" i="21"/>
  <c r="L10" i="22"/>
  <c r="O12" i="22"/>
  <c r="AI12" i="22"/>
  <c r="AI31" i="22" s="1"/>
  <c r="L21" i="22"/>
  <c r="L16" i="23"/>
  <c r="L24" i="23"/>
  <c r="O31" i="24"/>
  <c r="AB31" i="24"/>
  <c r="L16" i="24"/>
  <c r="S31" i="24"/>
  <c r="Y31" i="24" s="1"/>
  <c r="Z31" i="24" s="1"/>
  <c r="AB12" i="25"/>
  <c r="N15" i="25"/>
  <c r="AG15" i="25" s="1"/>
  <c r="L15" i="25"/>
  <c r="J31" i="26"/>
  <c r="D31" i="27"/>
  <c r="AG12" i="28"/>
  <c r="N23" i="28"/>
  <c r="AG23" i="28" s="1"/>
  <c r="L23" i="28"/>
  <c r="W26" i="28"/>
  <c r="Q12" i="29"/>
  <c r="Q31" i="29" s="1"/>
  <c r="AB12" i="30"/>
  <c r="O12" i="30"/>
  <c r="Y28" i="24"/>
  <c r="Z28" i="24" s="1"/>
  <c r="W28" i="24"/>
  <c r="H33" i="24"/>
  <c r="AG12" i="25"/>
  <c r="Q29" i="27"/>
  <c r="P29" i="27"/>
  <c r="N26" i="29"/>
  <c r="AG26" i="29" s="1"/>
  <c r="Y26" i="29"/>
  <c r="Z26" i="29" s="1"/>
  <c r="L26" i="29"/>
  <c r="Q12" i="22"/>
  <c r="M33" i="23"/>
  <c r="U33" i="23"/>
  <c r="V33" i="23" s="1"/>
  <c r="W33" i="23" s="1"/>
  <c r="O12" i="25"/>
  <c r="O32" i="25" s="1"/>
  <c r="V32" i="25"/>
  <c r="T29" i="26"/>
  <c r="K29" i="26"/>
  <c r="N29" i="26" s="1"/>
  <c r="AB29" i="28"/>
  <c r="N7" i="29"/>
  <c r="AG7" i="29" s="1"/>
  <c r="Y7" i="29"/>
  <c r="Z7" i="29" s="1"/>
  <c r="L7" i="29"/>
  <c r="AG12" i="30"/>
  <c r="N11" i="30"/>
  <c r="AG11" i="30" s="1"/>
  <c r="Y11" i="30"/>
  <c r="Z11" i="30" s="1"/>
  <c r="L11" i="30"/>
  <c r="X31" i="31"/>
  <c r="S31" i="31"/>
  <c r="O31" i="33"/>
  <c r="O28" i="18"/>
  <c r="W15" i="19"/>
  <c r="W23" i="19"/>
  <c r="S28" i="19"/>
  <c r="E30" i="20"/>
  <c r="Q30" i="20" s="1"/>
  <c r="Q6" i="21"/>
  <c r="Q12" i="21" s="1"/>
  <c r="L9" i="21"/>
  <c r="L20" i="21"/>
  <c r="L16" i="22"/>
  <c r="L24" i="22"/>
  <c r="K29" i="22"/>
  <c r="N29" i="22" s="1"/>
  <c r="L8" i="23"/>
  <c r="L19" i="23"/>
  <c r="L27" i="23"/>
  <c r="L8" i="24"/>
  <c r="L19" i="24"/>
  <c r="M31" i="24"/>
  <c r="Q12" i="25"/>
  <c r="V12" i="25"/>
  <c r="Q29" i="26"/>
  <c r="N16" i="26"/>
  <c r="AG16" i="26" s="1"/>
  <c r="AG29" i="26" s="1"/>
  <c r="L16" i="26"/>
  <c r="W15" i="27"/>
  <c r="X31" i="27"/>
  <c r="V31" i="30"/>
  <c r="W31" i="30" s="1"/>
  <c r="Y28" i="31"/>
  <c r="Z28" i="31" s="1"/>
  <c r="W28" i="31"/>
  <c r="L19" i="18"/>
  <c r="L27" i="18"/>
  <c r="Y12" i="19"/>
  <c r="Z12" i="19" s="1"/>
  <c r="K28" i="19"/>
  <c r="N28" i="19" s="1"/>
  <c r="K12" i="20"/>
  <c r="N12" i="20" s="1"/>
  <c r="F30" i="20"/>
  <c r="AI12" i="21"/>
  <c r="AI30" i="21" s="1"/>
  <c r="E31" i="22"/>
  <c r="P31" i="22" s="1"/>
  <c r="V12" i="24"/>
  <c r="W12" i="24" s="1"/>
  <c r="AH33" i="24"/>
  <c r="AI33" i="24" s="1"/>
  <c r="AD30" i="25"/>
  <c r="N23" i="25"/>
  <c r="AG23" i="25" s="1"/>
  <c r="AG30" i="25" s="1"/>
  <c r="L23" i="25"/>
  <c r="AG12" i="26"/>
  <c r="AD12" i="26"/>
  <c r="W19" i="26"/>
  <c r="N24" i="26"/>
  <c r="AG24" i="26" s="1"/>
  <c r="L24" i="26"/>
  <c r="S31" i="27"/>
  <c r="N20" i="27"/>
  <c r="AG20" i="27" s="1"/>
  <c r="AG29" i="27" s="1"/>
  <c r="Y20" i="27"/>
  <c r="Z20" i="27" s="1"/>
  <c r="L20" i="27"/>
  <c r="F31" i="28"/>
  <c r="H31" i="28" s="1"/>
  <c r="M12" i="28"/>
  <c r="H12" i="28"/>
  <c r="X29" i="28"/>
  <c r="T29" i="28"/>
  <c r="S29" i="28"/>
  <c r="Y29" i="28" s="1"/>
  <c r="Z29" i="28" s="1"/>
  <c r="M31" i="29"/>
  <c r="AD29" i="29"/>
  <c r="Q12" i="30"/>
  <c r="E33" i="30"/>
  <c r="Q33" i="30" s="1"/>
  <c r="O33" i="30"/>
  <c r="P12" i="30"/>
  <c r="W17" i="30"/>
  <c r="D33" i="30"/>
  <c r="V33" i="30" s="1"/>
  <c r="N17" i="31"/>
  <c r="AG17" i="31" s="1"/>
  <c r="AG31" i="31" s="1"/>
  <c r="Y17" i="31"/>
  <c r="Z17" i="31" s="1"/>
  <c r="L17" i="31"/>
  <c r="Y12" i="33"/>
  <c r="Z12" i="33" s="1"/>
  <c r="N12" i="33"/>
  <c r="G31" i="27"/>
  <c r="H31" i="27" s="1"/>
  <c r="Q31" i="27"/>
  <c r="AH31" i="28"/>
  <c r="AI31" i="28" s="1"/>
  <c r="F31" i="29"/>
  <c r="X31" i="29" s="1"/>
  <c r="P31" i="29"/>
  <c r="X12" i="30"/>
  <c r="X33" i="30" s="1"/>
  <c r="Y6" i="31"/>
  <c r="Z6" i="31" s="1"/>
  <c r="AD31" i="31"/>
  <c r="W31" i="31"/>
  <c r="AG31" i="32"/>
  <c r="Q12" i="33"/>
  <c r="L19" i="33"/>
  <c r="N19" i="33"/>
  <c r="AG19" i="33" s="1"/>
  <c r="L20" i="34"/>
  <c r="N20" i="34"/>
  <c r="AG20" i="34" s="1"/>
  <c r="AH32" i="25"/>
  <c r="AI32" i="25" s="1"/>
  <c r="E31" i="26"/>
  <c r="P31" i="26" s="1"/>
  <c r="O31" i="26"/>
  <c r="O12" i="27"/>
  <c r="U31" i="28"/>
  <c r="O29" i="29"/>
  <c r="G31" i="29"/>
  <c r="H31" i="29" s="1"/>
  <c r="T33" i="30"/>
  <c r="K33" i="30"/>
  <c r="N33" i="30" s="1"/>
  <c r="AG12" i="31"/>
  <c r="Q31" i="31"/>
  <c r="O31" i="31"/>
  <c r="Y29" i="32"/>
  <c r="Z29" i="32" s="1"/>
  <c r="W29" i="32"/>
  <c r="N16" i="33"/>
  <c r="AG16" i="33" s="1"/>
  <c r="AG31" i="33" s="1"/>
  <c r="L16" i="33"/>
  <c r="N17" i="34"/>
  <c r="AG17" i="34" s="1"/>
  <c r="L17" i="34"/>
  <c r="L6" i="25"/>
  <c r="S12" i="25"/>
  <c r="L17" i="25"/>
  <c r="L25" i="25"/>
  <c r="K30" i="25"/>
  <c r="L7" i="26"/>
  <c r="K12" i="26"/>
  <c r="T12" i="26"/>
  <c r="L18" i="26"/>
  <c r="L26" i="26"/>
  <c r="Y26" i="26"/>
  <c r="Z26" i="26" s="1"/>
  <c r="F31" i="26"/>
  <c r="L11" i="27"/>
  <c r="Y11" i="27"/>
  <c r="Z11" i="27" s="1"/>
  <c r="P12" i="27"/>
  <c r="L14" i="27"/>
  <c r="L22" i="27"/>
  <c r="J31" i="27"/>
  <c r="L6" i="28"/>
  <c r="S12" i="28"/>
  <c r="Y12" i="28" s="1"/>
  <c r="Z12" i="28" s="1"/>
  <c r="Q14" i="28"/>
  <c r="Q29" i="28" s="1"/>
  <c r="L17" i="28"/>
  <c r="L25" i="28"/>
  <c r="M29" i="28"/>
  <c r="M31" i="28" s="1"/>
  <c r="L9" i="29"/>
  <c r="Y9" i="29"/>
  <c r="Z9" i="29" s="1"/>
  <c r="V12" i="29"/>
  <c r="W12" i="29" s="1"/>
  <c r="L20" i="29"/>
  <c r="Y20" i="29"/>
  <c r="Z20" i="29" s="1"/>
  <c r="L28" i="29"/>
  <c r="Y28" i="29"/>
  <c r="Z28" i="29" s="1"/>
  <c r="R31" i="29"/>
  <c r="H12" i="30"/>
  <c r="O31" i="30"/>
  <c r="L16" i="30"/>
  <c r="Y16" i="30"/>
  <c r="Z16" i="30" s="1"/>
  <c r="L24" i="30"/>
  <c r="Y24" i="30"/>
  <c r="Z24" i="30" s="1"/>
  <c r="H31" i="30"/>
  <c r="M33" i="30"/>
  <c r="L6" i="31"/>
  <c r="N25" i="31"/>
  <c r="AG25" i="31" s="1"/>
  <c r="Y25" i="31"/>
  <c r="Z25" i="31" s="1"/>
  <c r="L25" i="31"/>
  <c r="Y31" i="31"/>
  <c r="Z31" i="31" s="1"/>
  <c r="Y12" i="32"/>
  <c r="Z12" i="32" s="1"/>
  <c r="N18" i="32"/>
  <c r="AG18" i="32" s="1"/>
  <c r="Y18" i="32"/>
  <c r="Z18" i="32" s="1"/>
  <c r="L18" i="32"/>
  <c r="K31" i="24"/>
  <c r="N31" i="24" s="1"/>
  <c r="K12" i="25"/>
  <c r="O29" i="26"/>
  <c r="W16" i="27"/>
  <c r="W24" i="27"/>
  <c r="S29" i="27"/>
  <c r="W29" i="27" s="1"/>
  <c r="AB29" i="27"/>
  <c r="AH31" i="27"/>
  <c r="AI31" i="27" s="1"/>
  <c r="K12" i="28"/>
  <c r="N12" i="28" s="1"/>
  <c r="E31" i="28"/>
  <c r="P31" i="28" s="1"/>
  <c r="L10" i="29"/>
  <c r="O12" i="29"/>
  <c r="O31" i="29" s="1"/>
  <c r="AI12" i="29"/>
  <c r="L21" i="29"/>
  <c r="L6" i="30"/>
  <c r="S12" i="30"/>
  <c r="Q14" i="30"/>
  <c r="Q31" i="30" s="1"/>
  <c r="AD31" i="30"/>
  <c r="L17" i="30"/>
  <c r="L25" i="30"/>
  <c r="T31" i="30"/>
  <c r="K31" i="30"/>
  <c r="Q12" i="31"/>
  <c r="W7" i="31"/>
  <c r="Y9" i="31"/>
  <c r="Z9" i="31" s="1"/>
  <c r="W9" i="31"/>
  <c r="R33" i="31"/>
  <c r="S33" i="31" s="1"/>
  <c r="X12" i="31"/>
  <c r="S12" i="31"/>
  <c r="AG12" i="32"/>
  <c r="W12" i="32"/>
  <c r="V33" i="32"/>
  <c r="N30" i="35"/>
  <c r="AG30" i="35" s="1"/>
  <c r="Y30" i="35"/>
  <c r="Z30" i="35" s="1"/>
  <c r="L30" i="35"/>
  <c r="O31" i="35"/>
  <c r="L19" i="25"/>
  <c r="L27" i="25"/>
  <c r="E32" i="25"/>
  <c r="Q32" i="25" s="1"/>
  <c r="L9" i="26"/>
  <c r="Y9" i="26"/>
  <c r="Z9" i="26" s="1"/>
  <c r="L20" i="26"/>
  <c r="Y20" i="26"/>
  <c r="Z20" i="26" s="1"/>
  <c r="L28" i="26"/>
  <c r="Y28" i="26"/>
  <c r="Z28" i="26" s="1"/>
  <c r="L24" i="27"/>
  <c r="K29" i="27"/>
  <c r="N29" i="27" s="1"/>
  <c r="M31" i="27"/>
  <c r="W9" i="28"/>
  <c r="W20" i="28"/>
  <c r="W28" i="28"/>
  <c r="AH31" i="29"/>
  <c r="AI31" i="29" s="1"/>
  <c r="K12" i="30"/>
  <c r="N12" i="30" s="1"/>
  <c r="M31" i="30"/>
  <c r="AI33" i="30"/>
  <c r="W12" i="31"/>
  <c r="Y20" i="31"/>
  <c r="Z20" i="31" s="1"/>
  <c r="W20" i="31"/>
  <c r="Q12" i="32"/>
  <c r="N26" i="32"/>
  <c r="AG26" i="32" s="1"/>
  <c r="Y26" i="32"/>
  <c r="Z26" i="32" s="1"/>
  <c r="L26" i="32"/>
  <c r="AG12" i="34"/>
  <c r="W29" i="24"/>
  <c r="O30" i="25"/>
  <c r="P32" i="25"/>
  <c r="O12" i="26"/>
  <c r="AI12" i="26"/>
  <c r="AI31" i="26" s="1"/>
  <c r="L21" i="26"/>
  <c r="AB12" i="27"/>
  <c r="Q6" i="28"/>
  <c r="Q12" i="28" s="1"/>
  <c r="Q31" i="28" s="1"/>
  <c r="L9" i="28"/>
  <c r="L20" i="28"/>
  <c r="L28" i="28"/>
  <c r="W16" i="29"/>
  <c r="W24" i="29"/>
  <c r="W9" i="30"/>
  <c r="W20" i="30"/>
  <c r="Y31" i="30"/>
  <c r="Z31" i="30" s="1"/>
  <c r="T31" i="31"/>
  <c r="Y7" i="35"/>
  <c r="Z7" i="35" s="1"/>
  <c r="W7" i="35"/>
  <c r="L10" i="25"/>
  <c r="L21" i="25"/>
  <c r="L29" i="25"/>
  <c r="L11" i="26"/>
  <c r="K12" i="27"/>
  <c r="N12" i="27" s="1"/>
  <c r="L26" i="27"/>
  <c r="E31" i="27"/>
  <c r="L21" i="28"/>
  <c r="K29" i="29"/>
  <c r="N29" i="29" s="1"/>
  <c r="L28" i="30"/>
  <c r="AI33" i="31"/>
  <c r="Y10" i="32"/>
  <c r="Z10" i="32" s="1"/>
  <c r="W10" i="32"/>
  <c r="O31" i="32"/>
  <c r="Q15" i="32"/>
  <c r="Q31" i="32" s="1"/>
  <c r="T31" i="34"/>
  <c r="S31" i="34"/>
  <c r="Y31" i="34" s="1"/>
  <c r="X31" i="34"/>
  <c r="AB12" i="31"/>
  <c r="AB31" i="31"/>
  <c r="AH33" i="31"/>
  <c r="G33" i="32"/>
  <c r="H33" i="32" s="1"/>
  <c r="AB31" i="33"/>
  <c r="AB12" i="34"/>
  <c r="N14" i="34"/>
  <c r="AG14" i="34" s="1"/>
  <c r="L14" i="34"/>
  <c r="M12" i="35"/>
  <c r="H12" i="35"/>
  <c r="Y12" i="35"/>
  <c r="Z12" i="35" s="1"/>
  <c r="F33" i="35"/>
  <c r="AB12" i="35"/>
  <c r="Y21" i="35"/>
  <c r="Z21" i="35" s="1"/>
  <c r="W21" i="35"/>
  <c r="AG12" i="37"/>
  <c r="L7" i="31"/>
  <c r="K12" i="31"/>
  <c r="N12" i="31" s="1"/>
  <c r="L18" i="31"/>
  <c r="L26" i="31"/>
  <c r="K31" i="31"/>
  <c r="U33" i="31"/>
  <c r="L8" i="32"/>
  <c r="M12" i="32"/>
  <c r="L19" i="32"/>
  <c r="L27" i="32"/>
  <c r="Y16" i="33"/>
  <c r="Z16" i="33" s="1"/>
  <c r="N11" i="34"/>
  <c r="AG11" i="34" s="1"/>
  <c r="L11" i="34"/>
  <c r="O12" i="34"/>
  <c r="Q31" i="34"/>
  <c r="Y17" i="34"/>
  <c r="Z17" i="34" s="1"/>
  <c r="Y10" i="35"/>
  <c r="Z10" i="35" s="1"/>
  <c r="W10" i="35"/>
  <c r="N22" i="37"/>
  <c r="AG22" i="37" s="1"/>
  <c r="L22" i="37"/>
  <c r="M12" i="31"/>
  <c r="M31" i="31"/>
  <c r="D33" i="31"/>
  <c r="K33" i="31" s="1"/>
  <c r="X31" i="32"/>
  <c r="X33" i="32" s="1"/>
  <c r="N10" i="33"/>
  <c r="AG10" i="33" s="1"/>
  <c r="AG12" i="33" s="1"/>
  <c r="AG33" i="33" s="1"/>
  <c r="L10" i="33"/>
  <c r="W14" i="33"/>
  <c r="N24" i="33"/>
  <c r="AG24" i="33" s="1"/>
  <c r="L24" i="33"/>
  <c r="N6" i="34"/>
  <c r="L6" i="34"/>
  <c r="S12" i="34"/>
  <c r="R33" i="34"/>
  <c r="S33" i="34" s="1"/>
  <c r="X12" i="34"/>
  <c r="Y14" i="34"/>
  <c r="Z14" i="34" s="1"/>
  <c r="W15" i="34"/>
  <c r="N25" i="34"/>
  <c r="AG25" i="34" s="1"/>
  <c r="L25" i="34"/>
  <c r="J33" i="35"/>
  <c r="T12" i="35"/>
  <c r="K12" i="35"/>
  <c r="Y23" i="35"/>
  <c r="Z23" i="35" s="1"/>
  <c r="W23" i="35"/>
  <c r="L20" i="31"/>
  <c r="L28" i="31"/>
  <c r="E33" i="31"/>
  <c r="O33" i="31" s="1"/>
  <c r="L10" i="32"/>
  <c r="E33" i="32"/>
  <c r="P33" i="32" s="1"/>
  <c r="O12" i="32"/>
  <c r="AI12" i="32"/>
  <c r="AI33" i="32" s="1"/>
  <c r="L21" i="32"/>
  <c r="L29" i="32"/>
  <c r="M33" i="32"/>
  <c r="Y7" i="33"/>
  <c r="Z7" i="33" s="1"/>
  <c r="W8" i="33"/>
  <c r="Q33" i="33"/>
  <c r="AH33" i="33"/>
  <c r="AI12" i="33"/>
  <c r="Y19" i="33"/>
  <c r="Z19" i="33" s="1"/>
  <c r="N21" i="33"/>
  <c r="AG21" i="33" s="1"/>
  <c r="L21" i="33"/>
  <c r="N27" i="33"/>
  <c r="AG27" i="33" s="1"/>
  <c r="Q12" i="34"/>
  <c r="W9" i="34"/>
  <c r="Y11" i="34"/>
  <c r="Z11" i="34" s="1"/>
  <c r="Q33" i="34"/>
  <c r="P12" i="34"/>
  <c r="E33" i="34"/>
  <c r="U33" i="34"/>
  <c r="V33" i="34" s="1"/>
  <c r="W33" i="34" s="1"/>
  <c r="V12" i="34"/>
  <c r="W12" i="34" s="1"/>
  <c r="Y20" i="34"/>
  <c r="Z20" i="34" s="1"/>
  <c r="N22" i="34"/>
  <c r="AG22" i="34" s="1"/>
  <c r="L22" i="34"/>
  <c r="N28" i="34"/>
  <c r="AG28" i="34" s="1"/>
  <c r="Q12" i="35"/>
  <c r="N11" i="37"/>
  <c r="AG11" i="37" s="1"/>
  <c r="L11" i="37"/>
  <c r="O12" i="31"/>
  <c r="F33" i="31"/>
  <c r="X33" i="31"/>
  <c r="Y31" i="32"/>
  <c r="AB31" i="32"/>
  <c r="Y9" i="33"/>
  <c r="Z9" i="33" s="1"/>
  <c r="Y10" i="33"/>
  <c r="Z10" i="33" s="1"/>
  <c r="W11" i="33"/>
  <c r="AB12" i="33"/>
  <c r="W16" i="33"/>
  <c r="Y24" i="33"/>
  <c r="Z24" i="33" s="1"/>
  <c r="Y6" i="34"/>
  <c r="Z6" i="34" s="1"/>
  <c r="M33" i="34"/>
  <c r="W17" i="34"/>
  <c r="Y25" i="34"/>
  <c r="Z25" i="34" s="1"/>
  <c r="N18" i="35"/>
  <c r="AG18" i="35" s="1"/>
  <c r="L18" i="35"/>
  <c r="W16" i="32"/>
  <c r="W24" i="32"/>
  <c r="H12" i="33"/>
  <c r="G33" i="33"/>
  <c r="H33" i="33" s="1"/>
  <c r="T33" i="34"/>
  <c r="K33" i="34"/>
  <c r="N33" i="34" s="1"/>
  <c r="N7" i="35"/>
  <c r="AG7" i="35" s="1"/>
  <c r="AG12" i="35" s="1"/>
  <c r="AG33" i="35" s="1"/>
  <c r="L7" i="35"/>
  <c r="S12" i="35"/>
  <c r="N17" i="38"/>
  <c r="AG17" i="38" s="1"/>
  <c r="Y17" i="38"/>
  <c r="Z17" i="38" s="1"/>
  <c r="L17" i="38"/>
  <c r="R33" i="32"/>
  <c r="S33" i="32" s="1"/>
  <c r="T33" i="33"/>
  <c r="W19" i="33"/>
  <c r="Y27" i="33"/>
  <c r="Z27" i="33" s="1"/>
  <c r="N29" i="33"/>
  <c r="AG29" i="33" s="1"/>
  <c r="L29" i="33"/>
  <c r="AB31" i="34"/>
  <c r="W20" i="34"/>
  <c r="Y28" i="34"/>
  <c r="Z28" i="34" s="1"/>
  <c r="N30" i="34"/>
  <c r="AG30" i="34" s="1"/>
  <c r="L30" i="34"/>
  <c r="O31" i="34"/>
  <c r="O33" i="34" s="1"/>
  <c r="V12" i="35"/>
  <c r="N15" i="35"/>
  <c r="AG15" i="35" s="1"/>
  <c r="AG31" i="35" s="1"/>
  <c r="L15" i="35"/>
  <c r="Y18" i="35"/>
  <c r="Z18" i="35" s="1"/>
  <c r="T33" i="38"/>
  <c r="AH33" i="35"/>
  <c r="AI33" i="35" s="1"/>
  <c r="Y26" i="35"/>
  <c r="Z26" i="35" s="1"/>
  <c r="W26" i="35"/>
  <c r="AB12" i="36"/>
  <c r="D33" i="36"/>
  <c r="V33" i="36" s="1"/>
  <c r="M12" i="36"/>
  <c r="H12" i="36"/>
  <c r="F33" i="36"/>
  <c r="Y30" i="37"/>
  <c r="Z30" i="37" s="1"/>
  <c r="Q31" i="37"/>
  <c r="Q33" i="37" s="1"/>
  <c r="P31" i="37"/>
  <c r="G33" i="38"/>
  <c r="H31" i="38"/>
  <c r="Y10" i="40"/>
  <c r="Z10" i="40" s="1"/>
  <c r="L10" i="40"/>
  <c r="N10" i="40"/>
  <c r="AG10" i="40" s="1"/>
  <c r="N19" i="43"/>
  <c r="AG19" i="43" s="1"/>
  <c r="Y19" i="43"/>
  <c r="Z19" i="43" s="1"/>
  <c r="L19" i="43"/>
  <c r="N25" i="43"/>
  <c r="AG25" i="43" s="1"/>
  <c r="L25" i="43"/>
  <c r="W48" i="44"/>
  <c r="O33" i="35"/>
  <c r="E33" i="35"/>
  <c r="O12" i="35"/>
  <c r="AI12" i="35"/>
  <c r="AG12" i="36"/>
  <c r="AD12" i="36"/>
  <c r="H33" i="36"/>
  <c r="AH33" i="36"/>
  <c r="AI33" i="36" s="1"/>
  <c r="AI12" i="36"/>
  <c r="AB31" i="36"/>
  <c r="O12" i="37"/>
  <c r="O12" i="33"/>
  <c r="O33" i="33" s="1"/>
  <c r="F33" i="33"/>
  <c r="D33" i="33" s="1"/>
  <c r="P33" i="33"/>
  <c r="Y28" i="35"/>
  <c r="Z28" i="35" s="1"/>
  <c r="Q12" i="36"/>
  <c r="N23" i="38"/>
  <c r="AG23" i="38" s="1"/>
  <c r="AG31" i="38" s="1"/>
  <c r="L23" i="38"/>
  <c r="W25" i="35"/>
  <c r="Q31" i="36"/>
  <c r="S31" i="36"/>
  <c r="W31" i="36" s="1"/>
  <c r="AD12" i="37"/>
  <c r="V33" i="37"/>
  <c r="W25" i="37"/>
  <c r="O31" i="37"/>
  <c r="Q31" i="35"/>
  <c r="P31" i="35"/>
  <c r="Y11" i="37"/>
  <c r="Z11" i="37" s="1"/>
  <c r="E33" i="37"/>
  <c r="P33" i="37" s="1"/>
  <c r="O33" i="37"/>
  <c r="Q12" i="37"/>
  <c r="P12" i="37"/>
  <c r="Y22" i="37"/>
  <c r="Z22" i="37" s="1"/>
  <c r="N30" i="37"/>
  <c r="AG30" i="37" s="1"/>
  <c r="L30" i="37"/>
  <c r="N7" i="39"/>
  <c r="AG7" i="39" s="1"/>
  <c r="Y7" i="39"/>
  <c r="Z7" i="39" s="1"/>
  <c r="L7" i="39"/>
  <c r="AH33" i="34"/>
  <c r="AI33" i="34" s="1"/>
  <c r="AB31" i="35"/>
  <c r="N15" i="36"/>
  <c r="AG15" i="36" s="1"/>
  <c r="Y15" i="36"/>
  <c r="Z15" i="36" s="1"/>
  <c r="L15" i="36"/>
  <c r="W18" i="36"/>
  <c r="N29" i="36"/>
  <c r="AG29" i="36" s="1"/>
  <c r="AG31" i="36" s="1"/>
  <c r="L29" i="36"/>
  <c r="Q33" i="36"/>
  <c r="D33" i="37"/>
  <c r="S33" i="37" s="1"/>
  <c r="AB31" i="37"/>
  <c r="Q31" i="38"/>
  <c r="N16" i="38"/>
  <c r="AG16" i="38" s="1"/>
  <c r="Y16" i="38"/>
  <c r="Z16" i="38" s="1"/>
  <c r="L16" i="38"/>
  <c r="AB29" i="39"/>
  <c r="K12" i="34"/>
  <c r="N12" i="34" s="1"/>
  <c r="W27" i="35"/>
  <c r="P33" i="36"/>
  <c r="V12" i="36"/>
  <c r="W12" i="36" s="1"/>
  <c r="W16" i="36"/>
  <c r="N14" i="37"/>
  <c r="AG14" i="37" s="1"/>
  <c r="L14" i="37"/>
  <c r="AD31" i="37"/>
  <c r="N26" i="39"/>
  <c r="Y26" i="39"/>
  <c r="Z26" i="39" s="1"/>
  <c r="L26" i="39"/>
  <c r="O31" i="36"/>
  <c r="O33" i="36" s="1"/>
  <c r="X12" i="37"/>
  <c r="G33" i="37"/>
  <c r="H33" i="37" s="1"/>
  <c r="AI33" i="37"/>
  <c r="Y28" i="38"/>
  <c r="Z28" i="38" s="1"/>
  <c r="W28" i="38"/>
  <c r="Q29" i="39"/>
  <c r="Y16" i="39"/>
  <c r="Z16" i="39" s="1"/>
  <c r="L16" i="39"/>
  <c r="S12" i="40"/>
  <c r="L17" i="40"/>
  <c r="N17" i="40"/>
  <c r="AG17" i="40" s="1"/>
  <c r="Y18" i="41"/>
  <c r="Z18" i="41" s="1"/>
  <c r="L18" i="41"/>
  <c r="N18" i="41"/>
  <c r="AG18" i="41" s="1"/>
  <c r="AG29" i="41" s="1"/>
  <c r="N25" i="42"/>
  <c r="AG25" i="42" s="1"/>
  <c r="L25" i="42"/>
  <c r="Y20" i="38"/>
  <c r="Z20" i="38" s="1"/>
  <c r="W20" i="38"/>
  <c r="T31" i="38"/>
  <c r="K31" i="38"/>
  <c r="N31" i="38" s="1"/>
  <c r="AG12" i="39"/>
  <c r="Y6" i="39"/>
  <c r="Z6" i="39" s="1"/>
  <c r="Y21" i="39"/>
  <c r="Z21" i="39" s="1"/>
  <c r="W21" i="39"/>
  <c r="W12" i="40"/>
  <c r="S29" i="40"/>
  <c r="X29" i="40"/>
  <c r="T29" i="40"/>
  <c r="N20" i="41"/>
  <c r="AG20" i="41" s="1"/>
  <c r="L20" i="41"/>
  <c r="Y25" i="43"/>
  <c r="Z25" i="43" s="1"/>
  <c r="L23" i="36"/>
  <c r="Y23" i="36"/>
  <c r="Z23" i="36" s="1"/>
  <c r="R33" i="36"/>
  <c r="L16" i="37"/>
  <c r="Y16" i="37"/>
  <c r="Z16" i="37" s="1"/>
  <c r="L24" i="37"/>
  <c r="Y24" i="37"/>
  <c r="Z24" i="37" s="1"/>
  <c r="J33" i="37"/>
  <c r="Y9" i="38"/>
  <c r="Z9" i="38" s="1"/>
  <c r="W9" i="38"/>
  <c r="F33" i="38"/>
  <c r="D33" i="38"/>
  <c r="K33" i="38" s="1"/>
  <c r="M12" i="38"/>
  <c r="V12" i="38"/>
  <c r="W12" i="38" s="1"/>
  <c r="L6" i="39"/>
  <c r="F31" i="40"/>
  <c r="M31" i="40" s="1"/>
  <c r="D31" i="40"/>
  <c r="V31" i="40" s="1"/>
  <c r="M12" i="40"/>
  <c r="Y14" i="40"/>
  <c r="Z14" i="40" s="1"/>
  <c r="W16" i="40"/>
  <c r="N17" i="42"/>
  <c r="AG17" i="42" s="1"/>
  <c r="L17" i="42"/>
  <c r="H31" i="36"/>
  <c r="J33" i="36"/>
  <c r="N7" i="38"/>
  <c r="AG7" i="38" s="1"/>
  <c r="AG12" i="38" s="1"/>
  <c r="AG33" i="38" s="1"/>
  <c r="L7" i="38"/>
  <c r="O31" i="38"/>
  <c r="N26" i="38"/>
  <c r="AG26" i="38" s="1"/>
  <c r="L26" i="38"/>
  <c r="X31" i="39"/>
  <c r="N18" i="39"/>
  <c r="AG18" i="39" s="1"/>
  <c r="AG29" i="39" s="1"/>
  <c r="Y18" i="39"/>
  <c r="Z18" i="39" s="1"/>
  <c r="L18" i="39"/>
  <c r="O29" i="39"/>
  <c r="W29" i="39"/>
  <c r="L6" i="36"/>
  <c r="Y6" i="36"/>
  <c r="Z6" i="36" s="1"/>
  <c r="L17" i="36"/>
  <c r="Y17" i="36"/>
  <c r="Z17" i="36" s="1"/>
  <c r="L25" i="36"/>
  <c r="Y25" i="36"/>
  <c r="Z25" i="36" s="1"/>
  <c r="L7" i="37"/>
  <c r="Y7" i="37"/>
  <c r="Z7" i="37" s="1"/>
  <c r="K12" i="37"/>
  <c r="L18" i="37"/>
  <c r="Y18" i="37"/>
  <c r="Z18" i="37" s="1"/>
  <c r="L26" i="37"/>
  <c r="Y26" i="37"/>
  <c r="Z26" i="37" s="1"/>
  <c r="K31" i="37"/>
  <c r="X33" i="37"/>
  <c r="AD31" i="38"/>
  <c r="N18" i="38"/>
  <c r="AG18" i="38" s="1"/>
  <c r="L18" i="38"/>
  <c r="G31" i="39"/>
  <c r="H12" i="39"/>
  <c r="Y24" i="39"/>
  <c r="Z24" i="39" s="1"/>
  <c r="L24" i="39"/>
  <c r="Y29" i="39"/>
  <c r="Z29" i="39" s="1"/>
  <c r="Y7" i="40"/>
  <c r="Z7" i="40" s="1"/>
  <c r="W7" i="40"/>
  <c r="Y19" i="40"/>
  <c r="Z19" i="40" s="1"/>
  <c r="L19" i="40"/>
  <c r="N19" i="40"/>
  <c r="AG19" i="40" s="1"/>
  <c r="W22" i="40"/>
  <c r="J31" i="41"/>
  <c r="T12" i="41"/>
  <c r="K12" i="41"/>
  <c r="N12" i="41" s="1"/>
  <c r="AB29" i="42"/>
  <c r="W18" i="42"/>
  <c r="S31" i="35"/>
  <c r="W31" i="35" s="1"/>
  <c r="L7" i="36"/>
  <c r="K12" i="36"/>
  <c r="N12" i="36" s="1"/>
  <c r="L18" i="36"/>
  <c r="L26" i="36"/>
  <c r="K31" i="36"/>
  <c r="N31" i="36" s="1"/>
  <c r="L8" i="37"/>
  <c r="M12" i="37"/>
  <c r="M33" i="37" s="1"/>
  <c r="L19" i="37"/>
  <c r="L27" i="37"/>
  <c r="T12" i="38"/>
  <c r="K12" i="38"/>
  <c r="N12" i="38" s="1"/>
  <c r="Y25" i="38"/>
  <c r="Z25" i="38" s="1"/>
  <c r="Y26" i="38"/>
  <c r="Z26" i="38" s="1"/>
  <c r="Y10" i="39"/>
  <c r="Z10" i="39" s="1"/>
  <c r="W10" i="39"/>
  <c r="J31" i="39"/>
  <c r="T12" i="39"/>
  <c r="K12" i="39"/>
  <c r="N12" i="39" s="1"/>
  <c r="N24" i="39"/>
  <c r="AG24" i="39" s="1"/>
  <c r="N14" i="40"/>
  <c r="Y25" i="40"/>
  <c r="Z25" i="40" s="1"/>
  <c r="W25" i="40"/>
  <c r="Y26" i="41"/>
  <c r="Z26" i="41" s="1"/>
  <c r="L26" i="41"/>
  <c r="N26" i="41"/>
  <c r="AG26" i="41" s="1"/>
  <c r="W6" i="43"/>
  <c r="K31" i="35"/>
  <c r="N31" i="35" s="1"/>
  <c r="AD12" i="38"/>
  <c r="Y7" i="38"/>
  <c r="Z7" i="38" s="1"/>
  <c r="AB12" i="38"/>
  <c r="Y18" i="38"/>
  <c r="Z18" i="38" s="1"/>
  <c r="W27" i="38"/>
  <c r="V31" i="38"/>
  <c r="W31" i="38" s="1"/>
  <c r="W8" i="39"/>
  <c r="AD12" i="39"/>
  <c r="AD29" i="39"/>
  <c r="T29" i="39"/>
  <c r="K29" i="39"/>
  <c r="N29" i="39" s="1"/>
  <c r="O31" i="39"/>
  <c r="AG12" i="40"/>
  <c r="N28" i="41"/>
  <c r="AG28" i="41" s="1"/>
  <c r="L28" i="41"/>
  <c r="O29" i="41"/>
  <c r="O31" i="41" s="1"/>
  <c r="AI31" i="39"/>
  <c r="O12" i="40"/>
  <c r="AB29" i="40"/>
  <c r="M29" i="40"/>
  <c r="Y7" i="41"/>
  <c r="Z7" i="41" s="1"/>
  <c r="L7" i="41"/>
  <c r="AI31" i="41"/>
  <c r="N6" i="42"/>
  <c r="AG6" i="42" s="1"/>
  <c r="AG12" i="42" s="1"/>
  <c r="L6" i="42"/>
  <c r="AD12" i="42"/>
  <c r="X29" i="42"/>
  <c r="S29" i="42"/>
  <c r="Y29" i="42" s="1"/>
  <c r="Z29" i="42" s="1"/>
  <c r="N11" i="43"/>
  <c r="AG11" i="43" s="1"/>
  <c r="AG12" i="43" s="1"/>
  <c r="AG31" i="43" s="1"/>
  <c r="L11" i="43"/>
  <c r="N14" i="43"/>
  <c r="AG14" i="43" s="1"/>
  <c r="AG29" i="43" s="1"/>
  <c r="L14" i="43"/>
  <c r="Y136" i="44"/>
  <c r="O29" i="40"/>
  <c r="Q14" i="40"/>
  <c r="Q29" i="40" s="1"/>
  <c r="W29" i="40"/>
  <c r="N9" i="41"/>
  <c r="AG9" i="41" s="1"/>
  <c r="AG12" i="41" s="1"/>
  <c r="L9" i="41"/>
  <c r="Q12" i="42"/>
  <c r="O29" i="42"/>
  <c r="Q14" i="42"/>
  <c r="Q29" i="42" s="1"/>
  <c r="Y17" i="42"/>
  <c r="Z17" i="42" s="1"/>
  <c r="W20" i="42"/>
  <c r="Y25" i="42"/>
  <c r="Z25" i="42" s="1"/>
  <c r="W26" i="42"/>
  <c r="AB12" i="43"/>
  <c r="N12" i="43"/>
  <c r="W15" i="43"/>
  <c r="U33" i="38"/>
  <c r="L8" i="39"/>
  <c r="L19" i="39"/>
  <c r="L27" i="39"/>
  <c r="F31" i="39"/>
  <c r="P31" i="39"/>
  <c r="H12" i="40"/>
  <c r="R31" i="40"/>
  <c r="T31" i="40" s="1"/>
  <c r="W20" i="40"/>
  <c r="N23" i="40"/>
  <c r="AG23" i="40" s="1"/>
  <c r="W26" i="40"/>
  <c r="Y27" i="40"/>
  <c r="Z27" i="40" s="1"/>
  <c r="L27" i="40"/>
  <c r="W10" i="41"/>
  <c r="Y6" i="42"/>
  <c r="Z6" i="42" s="1"/>
  <c r="W9" i="42"/>
  <c r="R31" i="42"/>
  <c r="T12" i="42"/>
  <c r="S12" i="42"/>
  <c r="W28" i="42"/>
  <c r="T31" i="42"/>
  <c r="AD12" i="43"/>
  <c r="Y11" i="43"/>
  <c r="Z11" i="43" s="1"/>
  <c r="O31" i="43"/>
  <c r="E31" i="43"/>
  <c r="Q31" i="43" s="1"/>
  <c r="Q12" i="43"/>
  <c r="P12" i="43"/>
  <c r="P31" i="43" s="1"/>
  <c r="U31" i="43"/>
  <c r="V12" i="43"/>
  <c r="Y14" i="43"/>
  <c r="Z14" i="43" s="1"/>
  <c r="N20" i="43"/>
  <c r="AG20" i="43" s="1"/>
  <c r="L20" i="43"/>
  <c r="Q31" i="39"/>
  <c r="K29" i="40"/>
  <c r="E31" i="40"/>
  <c r="Q31" i="40" s="1"/>
  <c r="Y12" i="41"/>
  <c r="Z12" i="41" s="1"/>
  <c r="Q29" i="41"/>
  <c r="W15" i="41"/>
  <c r="Y20" i="41"/>
  <c r="Z20" i="41" s="1"/>
  <c r="W23" i="41"/>
  <c r="Y28" i="41"/>
  <c r="Z28" i="41" s="1"/>
  <c r="X31" i="41"/>
  <c r="W12" i="42"/>
  <c r="L20" i="38"/>
  <c r="L28" i="38"/>
  <c r="E33" i="38"/>
  <c r="Q33" i="38" s="1"/>
  <c r="L10" i="39"/>
  <c r="O12" i="39"/>
  <c r="L21" i="39"/>
  <c r="R31" i="39"/>
  <c r="L7" i="40"/>
  <c r="K12" i="40"/>
  <c r="T12" i="40"/>
  <c r="Y17" i="40"/>
  <c r="Z17" i="40" s="1"/>
  <c r="L21" i="40"/>
  <c r="Y21" i="40"/>
  <c r="Z21" i="40" s="1"/>
  <c r="L22" i="40"/>
  <c r="W24" i="40"/>
  <c r="Q12" i="41"/>
  <c r="Y9" i="41"/>
  <c r="Z9" i="41" s="1"/>
  <c r="U31" i="41"/>
  <c r="V31" i="41" s="1"/>
  <c r="V12" i="41"/>
  <c r="W12" i="41" s="1"/>
  <c r="AB29" i="41"/>
  <c r="O12" i="42"/>
  <c r="X12" i="42"/>
  <c r="Y15" i="42"/>
  <c r="Z15" i="42" s="1"/>
  <c r="L15" i="42"/>
  <c r="Y23" i="42"/>
  <c r="Z23" i="42" s="1"/>
  <c r="L23" i="42"/>
  <c r="O12" i="38"/>
  <c r="O33" i="38" s="1"/>
  <c r="AB12" i="40"/>
  <c r="Y23" i="40"/>
  <c r="Z23" i="40" s="1"/>
  <c r="N25" i="40"/>
  <c r="AG25" i="40" s="1"/>
  <c r="AG29" i="40" s="1"/>
  <c r="X31" i="42"/>
  <c r="F31" i="42"/>
  <c r="D31" i="42" s="1"/>
  <c r="M12" i="42"/>
  <c r="Y12" i="42"/>
  <c r="N15" i="42"/>
  <c r="AG15" i="42" s="1"/>
  <c r="AG29" i="42" s="1"/>
  <c r="N23" i="42"/>
  <c r="AG23" i="42" s="1"/>
  <c r="N29" i="42"/>
  <c r="Y9" i="43"/>
  <c r="Z9" i="43" s="1"/>
  <c r="L9" i="43"/>
  <c r="W16" i="43"/>
  <c r="E31" i="41"/>
  <c r="P31" i="41" s="1"/>
  <c r="AH31" i="42"/>
  <c r="AI31" i="42" s="1"/>
  <c r="AH31" i="43"/>
  <c r="AI31" i="43"/>
  <c r="G31" i="41"/>
  <c r="H31" i="41" s="1"/>
  <c r="F31" i="43"/>
  <c r="X31" i="43" s="1"/>
  <c r="D31" i="43"/>
  <c r="K31" i="43" s="1"/>
  <c r="Z29" i="43"/>
  <c r="Y92" i="44"/>
  <c r="Z92" i="44" s="1"/>
  <c r="O12" i="41"/>
  <c r="R31" i="41"/>
  <c r="S31" i="41" s="1"/>
  <c r="K12" i="42"/>
  <c r="N12" i="42" s="1"/>
  <c r="E31" i="42"/>
  <c r="P31" i="42" s="1"/>
  <c r="O31" i="42"/>
  <c r="Y20" i="43"/>
  <c r="Z20" i="43" s="1"/>
  <c r="W20" i="43"/>
  <c r="L19" i="42"/>
  <c r="L27" i="42"/>
  <c r="H12" i="43"/>
  <c r="AB29" i="43"/>
  <c r="L16" i="43"/>
  <c r="Q31" i="42"/>
  <c r="T31" i="43"/>
  <c r="S12" i="43"/>
  <c r="Y12" i="43" s="1"/>
  <c r="Z12" i="43" s="1"/>
  <c r="Q29" i="43"/>
  <c r="AD29" i="43"/>
  <c r="L16" i="41"/>
  <c r="L24" i="41"/>
  <c r="K29" i="41"/>
  <c r="N29" i="41" s="1"/>
  <c r="L10" i="42"/>
  <c r="L21" i="42"/>
  <c r="W136" i="44"/>
  <c r="T29" i="43"/>
  <c r="W9" i="44"/>
  <c r="W17" i="44"/>
  <c r="W25" i="44"/>
  <c r="W33" i="44"/>
  <c r="W41" i="44"/>
  <c r="O48" i="44"/>
  <c r="W54" i="44"/>
  <c r="W62" i="44"/>
  <c r="W70" i="44"/>
  <c r="W78" i="44"/>
  <c r="W86" i="44"/>
  <c r="H92" i="44"/>
  <c r="M136" i="44"/>
  <c r="N16" i="44"/>
  <c r="N24" i="44"/>
  <c r="N32" i="44"/>
  <c r="N40" i="44"/>
  <c r="P48" i="44"/>
  <c r="X48" i="44"/>
  <c r="W89" i="44"/>
  <c r="S92" i="44"/>
  <c r="W92" i="44" s="1"/>
  <c r="AB92" i="44"/>
  <c r="N106" i="44"/>
  <c r="N114" i="44"/>
  <c r="N130" i="44"/>
  <c r="K92" i="44"/>
  <c r="N92" i="44" s="1"/>
  <c r="O136" i="44"/>
  <c r="W28" i="43"/>
  <c r="O29" i="43"/>
  <c r="P136" i="44"/>
  <c r="X136" i="44"/>
  <c r="L28" i="43"/>
  <c r="X29" i="43"/>
  <c r="S48" i="44"/>
  <c r="Y48" i="44" s="1"/>
  <c r="Z48" i="44" s="1"/>
  <c r="L21" i="43"/>
  <c r="O92" i="44"/>
  <c r="P92" i="44"/>
  <c r="K136" i="44"/>
  <c r="N31" i="22" l="1"/>
  <c r="AG30" i="18"/>
  <c r="N33" i="31"/>
  <c r="S33" i="24"/>
  <c r="V33" i="24"/>
  <c r="W33" i="24" s="1"/>
  <c r="Y31" i="41"/>
  <c r="Z31" i="41" s="1"/>
  <c r="V31" i="42"/>
  <c r="K31" i="42"/>
  <c r="S33" i="33"/>
  <c r="V33" i="33"/>
  <c r="W33" i="33" s="1"/>
  <c r="K33" i="33"/>
  <c r="AG31" i="27"/>
  <c r="AG33" i="14"/>
  <c r="AG30" i="21"/>
  <c r="AG30" i="6"/>
  <c r="AG33" i="11"/>
  <c r="T31" i="41"/>
  <c r="K31" i="41"/>
  <c r="N31" i="41" s="1"/>
  <c r="T31" i="26"/>
  <c r="T33" i="24"/>
  <c r="K33" i="24"/>
  <c r="D30" i="17"/>
  <c r="T33" i="3"/>
  <c r="O31" i="8"/>
  <c r="P31" i="8"/>
  <c r="S31" i="39"/>
  <c r="Y31" i="39" s="1"/>
  <c r="Z31" i="39" s="1"/>
  <c r="Y29" i="41"/>
  <c r="Z29" i="41" s="1"/>
  <c r="W33" i="37"/>
  <c r="T33" i="35"/>
  <c r="H30" i="17"/>
  <c r="N29" i="40"/>
  <c r="Z31" i="34"/>
  <c r="S31" i="29"/>
  <c r="D31" i="10"/>
  <c r="AG30" i="7"/>
  <c r="AG28" i="9"/>
  <c r="N31" i="8"/>
  <c r="AG30" i="17"/>
  <c r="Y31" i="13"/>
  <c r="Z31" i="13" s="1"/>
  <c r="H31" i="43"/>
  <c r="M31" i="43"/>
  <c r="N31" i="43" s="1"/>
  <c r="D31" i="39"/>
  <c r="V31" i="39" s="1"/>
  <c r="W31" i="39" s="1"/>
  <c r="AG31" i="41"/>
  <c r="H31" i="40"/>
  <c r="X31" i="40"/>
  <c r="X33" i="38"/>
  <c r="S33" i="36"/>
  <c r="W33" i="36" s="1"/>
  <c r="Q33" i="32"/>
  <c r="Y33" i="31"/>
  <c r="Z33" i="31" s="1"/>
  <c r="AI33" i="33"/>
  <c r="O31" i="28"/>
  <c r="Y12" i="27"/>
  <c r="Z12" i="27" s="1"/>
  <c r="D31" i="28"/>
  <c r="N29" i="28"/>
  <c r="W12" i="28"/>
  <c r="W31" i="34"/>
  <c r="T31" i="29"/>
  <c r="P30" i="21"/>
  <c r="X33" i="16"/>
  <c r="M33" i="15"/>
  <c r="N33" i="15" s="1"/>
  <c r="T33" i="11"/>
  <c r="N31" i="15"/>
  <c r="T30" i="17"/>
  <c r="K30" i="17"/>
  <c r="N30" i="17" s="1"/>
  <c r="N12" i="16"/>
  <c r="X33" i="11"/>
  <c r="M31" i="10"/>
  <c r="Y12" i="4"/>
  <c r="Z12" i="4" s="1"/>
  <c r="D30" i="7"/>
  <c r="S30" i="7" s="1"/>
  <c r="Y30" i="7" s="1"/>
  <c r="Z30" i="7" s="1"/>
  <c r="P30" i="9"/>
  <c r="W28" i="5"/>
  <c r="N28" i="6"/>
  <c r="W28" i="7"/>
  <c r="Y31" i="4"/>
  <c r="Z31" i="4" s="1"/>
  <c r="AG31" i="10"/>
  <c r="Y12" i="31"/>
  <c r="Z12" i="31" s="1"/>
  <c r="M30" i="20"/>
  <c r="S31" i="43"/>
  <c r="P31" i="40"/>
  <c r="AG31" i="40"/>
  <c r="T31" i="39"/>
  <c r="K31" i="39"/>
  <c r="Y31" i="36"/>
  <c r="Z31" i="36" s="1"/>
  <c r="P33" i="35"/>
  <c r="X33" i="36"/>
  <c r="Y33" i="34"/>
  <c r="S33" i="38"/>
  <c r="Y33" i="38" s="1"/>
  <c r="Z33" i="38" s="1"/>
  <c r="X33" i="35"/>
  <c r="W33" i="32"/>
  <c r="Y12" i="30"/>
  <c r="Z12" i="30" s="1"/>
  <c r="Q31" i="26"/>
  <c r="N12" i="26"/>
  <c r="Y12" i="26"/>
  <c r="Z12" i="26" s="1"/>
  <c r="T33" i="31"/>
  <c r="W12" i="25"/>
  <c r="O30" i="20"/>
  <c r="W31" i="24"/>
  <c r="Y29" i="22"/>
  <c r="Z29" i="22" s="1"/>
  <c r="H31" i="26"/>
  <c r="Y28" i="18"/>
  <c r="Z28" i="18" s="1"/>
  <c r="Q31" i="22"/>
  <c r="H30" i="19"/>
  <c r="S33" i="16"/>
  <c r="W33" i="16" s="1"/>
  <c r="H31" i="10"/>
  <c r="Q30" i="19"/>
  <c r="D33" i="12"/>
  <c r="S33" i="12" s="1"/>
  <c r="Y33" i="12" s="1"/>
  <c r="Z33" i="12" s="1"/>
  <c r="V30" i="20"/>
  <c r="N31" i="14"/>
  <c r="W11" i="8"/>
  <c r="O30" i="5"/>
  <c r="Q30" i="9"/>
  <c r="AG30" i="5"/>
  <c r="P33" i="3"/>
  <c r="S30" i="6"/>
  <c r="Y30" i="6" s="1"/>
  <c r="Z30" i="6" s="1"/>
  <c r="Y31" i="3"/>
  <c r="Z31" i="3" s="1"/>
  <c r="N12" i="37"/>
  <c r="Y12" i="37"/>
  <c r="Z12" i="37" s="1"/>
  <c r="AG32" i="25"/>
  <c r="W31" i="27"/>
  <c r="Y12" i="36"/>
  <c r="Z12" i="36" s="1"/>
  <c r="V33" i="31"/>
  <c r="W33" i="31" s="1"/>
  <c r="D30" i="20"/>
  <c r="AG31" i="28"/>
  <c r="AG31" i="29"/>
  <c r="N32" i="25"/>
  <c r="AG31" i="24"/>
  <c r="AG33" i="24" s="1"/>
  <c r="AG31" i="23"/>
  <c r="AG33" i="23" s="1"/>
  <c r="Y33" i="16"/>
  <c r="Z33" i="16" s="1"/>
  <c r="P30" i="18"/>
  <c r="Y12" i="13"/>
  <c r="Z12" i="13" s="1"/>
  <c r="T33" i="16"/>
  <c r="K33" i="16"/>
  <c r="N33" i="16" s="1"/>
  <c r="D33" i="11"/>
  <c r="Y12" i="18"/>
  <c r="Z12" i="18" s="1"/>
  <c r="S33" i="15"/>
  <c r="W33" i="15" s="1"/>
  <c r="S33" i="14"/>
  <c r="W33" i="14" s="1"/>
  <c r="K33" i="14"/>
  <c r="N33" i="14" s="1"/>
  <c r="AG30" i="9"/>
  <c r="T30" i="5"/>
  <c r="D33" i="3"/>
  <c r="T33" i="12"/>
  <c r="K33" i="12"/>
  <c r="N33" i="12" s="1"/>
  <c r="Y12" i="29"/>
  <c r="Z12" i="29" s="1"/>
  <c r="D30" i="19"/>
  <c r="H33" i="35"/>
  <c r="H33" i="38"/>
  <c r="N136" i="44"/>
  <c r="W31" i="41"/>
  <c r="S31" i="42"/>
  <c r="M31" i="39"/>
  <c r="K31" i="40"/>
  <c r="N31" i="40" s="1"/>
  <c r="H31" i="39"/>
  <c r="T33" i="37"/>
  <c r="K33" i="37"/>
  <c r="N33" i="37" s="1"/>
  <c r="P33" i="38"/>
  <c r="X33" i="33"/>
  <c r="Q33" i="35"/>
  <c r="W12" i="35"/>
  <c r="O33" i="32"/>
  <c r="X33" i="34"/>
  <c r="M33" i="31"/>
  <c r="D33" i="35"/>
  <c r="P31" i="27"/>
  <c r="AG33" i="32"/>
  <c r="N31" i="30"/>
  <c r="Y29" i="29"/>
  <c r="Z29" i="29" s="1"/>
  <c r="N12" i="25"/>
  <c r="P33" i="30"/>
  <c r="X31" i="28"/>
  <c r="Y28" i="19"/>
  <c r="Z28" i="19" s="1"/>
  <c r="S33" i="30"/>
  <c r="Y33" i="30" s="1"/>
  <c r="Z33" i="30" s="1"/>
  <c r="N12" i="32"/>
  <c r="M33" i="24"/>
  <c r="Y32" i="25"/>
  <c r="Z32" i="25" s="1"/>
  <c r="D30" i="21"/>
  <c r="AG30" i="19"/>
  <c r="V31" i="22"/>
  <c r="K33" i="23"/>
  <c r="T33" i="23"/>
  <c r="Q30" i="18"/>
  <c r="M30" i="17"/>
  <c r="N12" i="14"/>
  <c r="N12" i="15"/>
  <c r="T33" i="13"/>
  <c r="Y31" i="12"/>
  <c r="Z31" i="12" s="1"/>
  <c r="Y29" i="10"/>
  <c r="Z29" i="10" s="1"/>
  <c r="N31" i="16"/>
  <c r="W12" i="30"/>
  <c r="Y12" i="20"/>
  <c r="Z12" i="20" s="1"/>
  <c r="D30" i="5"/>
  <c r="Z11" i="8"/>
  <c r="Y11" i="9"/>
  <c r="Z11" i="9" s="1"/>
  <c r="AG12" i="16"/>
  <c r="AG33" i="16" s="1"/>
  <c r="V31" i="10"/>
  <c r="Y30" i="9"/>
  <c r="Z30" i="9" s="1"/>
  <c r="M30" i="9"/>
  <c r="N30" i="9" s="1"/>
  <c r="N12" i="2"/>
  <c r="W33" i="4"/>
  <c r="AG33" i="2"/>
  <c r="M33" i="3"/>
  <c r="N12" i="17"/>
  <c r="T30" i="7"/>
  <c r="K30" i="7"/>
  <c r="P33" i="31"/>
  <c r="AG31" i="34"/>
  <c r="AG33" i="34" s="1"/>
  <c r="Y31" i="43"/>
  <c r="Z31" i="43" s="1"/>
  <c r="Z12" i="42"/>
  <c r="N31" i="37"/>
  <c r="Y31" i="37"/>
  <c r="Z31" i="37" s="1"/>
  <c r="Q31" i="41"/>
  <c r="N12" i="40"/>
  <c r="W12" i="43"/>
  <c r="V33" i="38"/>
  <c r="W33" i="38" s="1"/>
  <c r="W29" i="42"/>
  <c r="O31" i="40"/>
  <c r="T33" i="36"/>
  <c r="K33" i="36"/>
  <c r="Y33" i="36" s="1"/>
  <c r="Z33" i="36" s="1"/>
  <c r="Y12" i="40"/>
  <c r="Z12" i="40" s="1"/>
  <c r="M33" i="38"/>
  <c r="N33" i="38" s="1"/>
  <c r="Y31" i="38"/>
  <c r="Z31" i="38" s="1"/>
  <c r="M33" i="36"/>
  <c r="P33" i="34"/>
  <c r="N12" i="35"/>
  <c r="N31" i="31"/>
  <c r="M33" i="35"/>
  <c r="D31" i="26"/>
  <c r="K31" i="26" s="1"/>
  <c r="N31" i="26" s="1"/>
  <c r="M31" i="26"/>
  <c r="N30" i="25"/>
  <c r="Y30" i="25"/>
  <c r="Z30" i="25" s="1"/>
  <c r="AG33" i="31"/>
  <c r="V31" i="28"/>
  <c r="AG31" i="26"/>
  <c r="H33" i="31"/>
  <c r="O31" i="22"/>
  <c r="D30" i="18"/>
  <c r="X30" i="20"/>
  <c r="X30" i="17"/>
  <c r="H30" i="20"/>
  <c r="Y12" i="15"/>
  <c r="Z12" i="15" s="1"/>
  <c r="Y12" i="23"/>
  <c r="Z12" i="23" s="1"/>
  <c r="M30" i="7"/>
  <c r="Y29" i="8"/>
  <c r="Z29" i="8" s="1"/>
  <c r="Y12" i="3"/>
  <c r="Z12" i="3" s="1"/>
  <c r="Y12" i="2"/>
  <c r="Z12" i="2" s="1"/>
  <c r="X30" i="5"/>
  <c r="V33" i="2"/>
  <c r="W33" i="2" s="1"/>
  <c r="Y31" i="35"/>
  <c r="Z31" i="35" s="1"/>
  <c r="AG31" i="39"/>
  <c r="AG33" i="36"/>
  <c r="Q33" i="31"/>
  <c r="AG31" i="22"/>
  <c r="AG33" i="15"/>
  <c r="AG30" i="20"/>
  <c r="AG31" i="42"/>
  <c r="Y12" i="38"/>
  <c r="Z12" i="38" s="1"/>
  <c r="Y31" i="42"/>
  <c r="Z31" i="42" s="1"/>
  <c r="M31" i="42"/>
  <c r="V31" i="43"/>
  <c r="W31" i="43" s="1"/>
  <c r="S31" i="40"/>
  <c r="W31" i="40" s="1"/>
  <c r="Z136" i="44"/>
  <c r="Y29" i="40"/>
  <c r="Z29" i="40" s="1"/>
  <c r="H31" i="42"/>
  <c r="AG31" i="37"/>
  <c r="AG33" i="37" s="1"/>
  <c r="Y12" i="39"/>
  <c r="Z12" i="39" s="1"/>
  <c r="Y33" i="33"/>
  <c r="M33" i="33"/>
  <c r="Z31" i="32"/>
  <c r="Y12" i="34"/>
  <c r="Z12" i="34" s="1"/>
  <c r="Y29" i="27"/>
  <c r="Z29" i="27" s="1"/>
  <c r="T31" i="27"/>
  <c r="K31" i="27"/>
  <c r="N31" i="27" s="1"/>
  <c r="D31" i="29"/>
  <c r="V31" i="29" s="1"/>
  <c r="W32" i="25"/>
  <c r="Y29" i="26"/>
  <c r="Z29" i="26" s="1"/>
  <c r="K33" i="32"/>
  <c r="N33" i="32" s="1"/>
  <c r="T33" i="32"/>
  <c r="X30" i="19"/>
  <c r="Y33" i="24"/>
  <c r="Z33" i="24" s="1"/>
  <c r="W28" i="19"/>
  <c r="N28" i="21"/>
  <c r="Y33" i="15"/>
  <c r="Z33" i="15" s="1"/>
  <c r="AG31" i="30"/>
  <c r="AG33" i="30" s="1"/>
  <c r="S31" i="22"/>
  <c r="Y31" i="22" s="1"/>
  <c r="Z31" i="22" s="1"/>
  <c r="Y31" i="23"/>
  <c r="Z31" i="23" s="1"/>
  <c r="Y12" i="24"/>
  <c r="Z12" i="24" s="1"/>
  <c r="P30" i="20"/>
  <c r="X33" i="13"/>
  <c r="D33" i="13"/>
  <c r="S33" i="13" s="1"/>
  <c r="X31" i="10"/>
  <c r="Y28" i="17"/>
  <c r="Z28" i="17" s="1"/>
  <c r="N12" i="10"/>
  <c r="S31" i="8"/>
  <c r="Y31" i="8" s="1"/>
  <c r="Z31" i="8" s="1"/>
  <c r="Q31" i="8"/>
  <c r="T33" i="2"/>
  <c r="K33" i="2"/>
  <c r="N33" i="2" s="1"/>
  <c r="W31" i="2"/>
  <c r="T33" i="4"/>
  <c r="K33" i="4"/>
  <c r="N33" i="4" s="1"/>
  <c r="Y28" i="6"/>
  <c r="Z28" i="6" s="1"/>
  <c r="H33" i="3"/>
  <c r="N33" i="23" l="1"/>
  <c r="Y33" i="23"/>
  <c r="Z33" i="23" s="1"/>
  <c r="Y33" i="2"/>
  <c r="Z33" i="2" s="1"/>
  <c r="W30" i="20"/>
  <c r="K31" i="29"/>
  <c r="N31" i="29" s="1"/>
  <c r="N33" i="24"/>
  <c r="W31" i="22"/>
  <c r="S33" i="35"/>
  <c r="V33" i="35"/>
  <c r="W33" i="35" s="1"/>
  <c r="W30" i="6"/>
  <c r="Y33" i="4"/>
  <c r="Z33" i="4" s="1"/>
  <c r="Y31" i="27"/>
  <c r="Z31" i="27" s="1"/>
  <c r="V30" i="5"/>
  <c r="S30" i="5"/>
  <c r="Y30" i="5" s="1"/>
  <c r="Z30" i="5" s="1"/>
  <c r="K33" i="13"/>
  <c r="N33" i="13" s="1"/>
  <c r="S33" i="3"/>
  <c r="V33" i="3"/>
  <c r="W33" i="3" s="1"/>
  <c r="S33" i="11"/>
  <c r="Y33" i="11" s="1"/>
  <c r="Z33" i="11" s="1"/>
  <c r="V33" i="11"/>
  <c r="W33" i="11" s="1"/>
  <c r="N31" i="39"/>
  <c r="Y33" i="14"/>
  <c r="Z33" i="14" s="1"/>
  <c r="V30" i="7"/>
  <c r="W30" i="7" s="1"/>
  <c r="N31" i="42"/>
  <c r="Z33" i="33"/>
  <c r="V30" i="18"/>
  <c r="S30" i="18"/>
  <c r="K30" i="18"/>
  <c r="N30" i="18" s="1"/>
  <c r="K30" i="19"/>
  <c r="N30" i="19" s="1"/>
  <c r="S30" i="19"/>
  <c r="Y30" i="19" s="1"/>
  <c r="Z30" i="19" s="1"/>
  <c r="V30" i="19"/>
  <c r="K30" i="5"/>
  <c r="N30" i="5" s="1"/>
  <c r="K33" i="11"/>
  <c r="N33" i="11" s="1"/>
  <c r="Y33" i="32"/>
  <c r="Z33" i="32" s="1"/>
  <c r="W31" i="42"/>
  <c r="W31" i="29"/>
  <c r="Y31" i="40"/>
  <c r="Z31" i="40" s="1"/>
  <c r="V30" i="21"/>
  <c r="W30" i="21" s="1"/>
  <c r="S30" i="21"/>
  <c r="Y30" i="21" s="1"/>
  <c r="Z30" i="21" s="1"/>
  <c r="K30" i="21"/>
  <c r="N30" i="21" s="1"/>
  <c r="V33" i="12"/>
  <c r="W33" i="12" s="1"/>
  <c r="K33" i="35"/>
  <c r="N33" i="35" s="1"/>
  <c r="K33" i="3"/>
  <c r="N33" i="3" s="1"/>
  <c r="W33" i="30"/>
  <c r="V33" i="13"/>
  <c r="W33" i="13" s="1"/>
  <c r="V31" i="26"/>
  <c r="W31" i="26" s="1"/>
  <c r="S31" i="26"/>
  <c r="Y31" i="26" s="1"/>
  <c r="Z31" i="26" s="1"/>
  <c r="N30" i="7"/>
  <c r="S31" i="28"/>
  <c r="K31" i="28"/>
  <c r="N31" i="28" s="1"/>
  <c r="K31" i="10"/>
  <c r="N31" i="10" s="1"/>
  <c r="S31" i="10"/>
  <c r="Y31" i="10" s="1"/>
  <c r="Z31" i="10" s="1"/>
  <c r="N33" i="36"/>
  <c r="W31" i="10"/>
  <c r="K30" i="20"/>
  <c r="N30" i="20" s="1"/>
  <c r="S30" i="20"/>
  <c r="Z33" i="34"/>
  <c r="S30" i="17"/>
  <c r="Y30" i="17" s="1"/>
  <c r="Z30" i="17" s="1"/>
  <c r="V30" i="17"/>
  <c r="W30" i="17" s="1"/>
  <c r="W31" i="8"/>
  <c r="N33" i="33"/>
  <c r="Y33" i="37"/>
  <c r="Z33" i="37" s="1"/>
  <c r="W30" i="5" l="1"/>
  <c r="Y30" i="18"/>
  <c r="Z30" i="18" s="1"/>
  <c r="W30" i="18"/>
  <c r="Y31" i="28"/>
  <c r="Z31" i="28" s="1"/>
  <c r="Y30" i="20"/>
  <c r="Z30" i="20" s="1"/>
  <c r="W31" i="28"/>
  <c r="Y33" i="3"/>
  <c r="Z33" i="3" s="1"/>
  <c r="Y33" i="35"/>
  <c r="Z33" i="35" s="1"/>
  <c r="Y31" i="29"/>
  <c r="Z31" i="29" s="1"/>
  <c r="W30" i="19"/>
  <c r="Y33" i="13"/>
  <c r="Z33" i="13" s="1"/>
</calcChain>
</file>

<file path=xl/sharedStrings.xml><?xml version="1.0" encoding="utf-8"?>
<sst xmlns="http://schemas.openxmlformats.org/spreadsheetml/2006/main" count="4513" uniqueCount="129">
  <si>
    <t>INFORME SEMANA 42</t>
  </si>
  <si>
    <t>DESDE:</t>
  </si>
  <si>
    <t>HASTA:</t>
  </si>
  <si>
    <t>SECTOR</t>
  </si>
  <si>
    <t>Sem</t>
  </si>
  <si>
    <t>P</t>
  </si>
  <si>
    <t>Días c/Reg</t>
  </si>
  <si>
    <t>Aves Alojadas</t>
  </si>
  <si>
    <t>Nro Aves</t>
  </si>
  <si>
    <t>Nro Mort</t>
  </si>
  <si>
    <t>% Mort</t>
  </si>
  <si>
    <t>Mort Acum</t>
  </si>
  <si>
    <t>Nro Huevos</t>
  </si>
  <si>
    <t>% Postura</t>
  </si>
  <si>
    <t>Dif S/A</t>
  </si>
  <si>
    <t>Post Std</t>
  </si>
  <si>
    <t>Dif/Std</t>
  </si>
  <si>
    <t>HAA</t>
  </si>
  <si>
    <t>HAA/Std</t>
  </si>
  <si>
    <t>Dif Tabla HAA</t>
  </si>
  <si>
    <t>Almto [Kgs]</t>
  </si>
  <si>
    <t>Grs/Día</t>
  </si>
  <si>
    <t>Conv</t>
  </si>
  <si>
    <t>Agua [CC]</t>
  </si>
  <si>
    <t>CC/Día</t>
  </si>
  <si>
    <t>Rel Agua /Almto</t>
  </si>
  <si>
    <t>$/Kg</t>
  </si>
  <si>
    <t>Grs/Hvo</t>
  </si>
  <si>
    <t>$/Hvo</t>
  </si>
  <si>
    <t>Peso Ave</t>
  </si>
  <si>
    <t>% / Tabla</t>
  </si>
  <si>
    <t>Peso Huevo</t>
  </si>
  <si>
    <t>% Peso / Tabla</t>
  </si>
  <si>
    <t>T Min</t>
  </si>
  <si>
    <t>T Max</t>
  </si>
  <si>
    <t>-Produc</t>
  </si>
  <si>
    <t>Kgs Hvo Liq</t>
  </si>
  <si>
    <t>Hvos x 1 Kg Liq</t>
  </si>
  <si>
    <t>% Placas 1</t>
  </si>
  <si>
    <t>% Placas 2</t>
  </si>
  <si>
    <t>% Placas 3</t>
  </si>
  <si>
    <t>% Placas 4</t>
  </si>
  <si>
    <t>% Placas 5</t>
  </si>
  <si>
    <t>Conchuela</t>
  </si>
  <si>
    <t>Cloro(1 a 2 ppm)</t>
  </si>
  <si>
    <t>Seguridad</t>
  </si>
  <si>
    <t>Sobre 30°</t>
  </si>
  <si>
    <t>Luz</t>
  </si>
  <si>
    <t>% Nidos</t>
  </si>
  <si>
    <t>CA3BCO</t>
  </si>
  <si>
    <t>CA3A</t>
  </si>
  <si>
    <t>CA3B</t>
  </si>
  <si>
    <t>CAP1A</t>
  </si>
  <si>
    <t>CAP1B</t>
  </si>
  <si>
    <t>CAP1C</t>
  </si>
  <si>
    <t>TOTAL Calera</t>
  </si>
  <si>
    <t>PICH1A COL</t>
  </si>
  <si>
    <t>PICH1B</t>
  </si>
  <si>
    <t>PICH1B COL</t>
  </si>
  <si>
    <t>PICH2A</t>
  </si>
  <si>
    <t>PICH3A</t>
  </si>
  <si>
    <t>PICH3C</t>
  </si>
  <si>
    <t>PICH5A</t>
  </si>
  <si>
    <t>PICH5C</t>
  </si>
  <si>
    <t>PICH5D</t>
  </si>
  <si>
    <t>PICH1A COL2</t>
  </si>
  <si>
    <t>PICH5A COL</t>
  </si>
  <si>
    <t>PICH5B</t>
  </si>
  <si>
    <t>PICH5C COL</t>
  </si>
  <si>
    <t>PICH3B</t>
  </si>
  <si>
    <t>PICH4A</t>
  </si>
  <si>
    <t>PICH4B</t>
  </si>
  <si>
    <t>PICH4BCOL</t>
  </si>
  <si>
    <t>TOTAL Pichidegua</t>
  </si>
  <si>
    <t>TOTAL AET</t>
  </si>
  <si>
    <t>Prom. Mortalidad</t>
  </si>
  <si>
    <t>Semana</t>
  </si>
  <si>
    <t>AET</t>
  </si>
  <si>
    <t>CALERA</t>
  </si>
  <si>
    <t>PICHIDEGUA</t>
  </si>
  <si>
    <t>PICH2B COL</t>
  </si>
  <si>
    <t>PICH5B COL</t>
  </si>
  <si>
    <t>Prom.Anual</t>
  </si>
  <si>
    <t>INFORME SEMANA 41</t>
  </si>
  <si>
    <t>INFORME SEMANA 40</t>
  </si>
  <si>
    <t>INFORME SEMANA 39</t>
  </si>
  <si>
    <t>INFORME SEMANA 38</t>
  </si>
  <si>
    <t>INFORME SEMANA 37</t>
  </si>
  <si>
    <t>INFORME SEMANA 36</t>
  </si>
  <si>
    <t>INFORME SEMANA 35</t>
  </si>
  <si>
    <t>INFORME SEMANA 34</t>
  </si>
  <si>
    <t>INFORME SEMANA 33</t>
  </si>
  <si>
    <t>INFORME SEMANA 32</t>
  </si>
  <si>
    <t>INFORME SEMANA 31</t>
  </si>
  <si>
    <t>INFORME SEMANA 30</t>
  </si>
  <si>
    <t>INFORME SEMANA 29</t>
  </si>
  <si>
    <t>INFORME SEMANA 28</t>
  </si>
  <si>
    <t>INFORME SEMANA 27</t>
  </si>
  <si>
    <t>INFORME SEMANA 26</t>
  </si>
  <si>
    <t>INFORME SEMANA 25</t>
  </si>
  <si>
    <t>INFORME SEMANA 24</t>
  </si>
  <si>
    <t>INFORME SEMANA 23</t>
  </si>
  <si>
    <t>INFORME SEMANA 22</t>
  </si>
  <si>
    <t>INFORME SEMANA 21</t>
  </si>
  <si>
    <t>INFORME SEMANA 20</t>
  </si>
  <si>
    <t>INFORME SEMANA 19</t>
  </si>
  <si>
    <t>INFORME SEMANA 18</t>
  </si>
  <si>
    <t>INFORME SEMANA 17</t>
  </si>
  <si>
    <t>INFORME SEMANA 16</t>
  </si>
  <si>
    <t>INFORME SEMANA 15</t>
  </si>
  <si>
    <t>INFORME SEMANA 14</t>
  </si>
  <si>
    <t>INFORME SEMANA 13</t>
  </si>
  <si>
    <t>INFORME SEMANA 12</t>
  </si>
  <si>
    <t>INFORME SEMANA 11</t>
  </si>
  <si>
    <t>INFORME SEMANA 10</t>
  </si>
  <si>
    <t>INFORME SEMANA 9</t>
  </si>
  <si>
    <t>INFORME SEMANA 8</t>
  </si>
  <si>
    <t>INFORME SEMANA 7</t>
  </si>
  <si>
    <t>INFORME SEMANA 6</t>
  </si>
  <si>
    <t>INFORME SEMANA 5</t>
  </si>
  <si>
    <t>INFORME SEMANA 4</t>
  </si>
  <si>
    <t>INFORME SEMANA 3</t>
  </si>
  <si>
    <t>INFORME SEMANA 2</t>
  </si>
  <si>
    <t>INFORME SEMANA 1</t>
  </si>
  <si>
    <t>RESUMEN ANUAL</t>
  </si>
  <si>
    <t>% Tabla HAA</t>
  </si>
  <si>
    <t>Calera</t>
  </si>
  <si>
    <t>Pichidegua</t>
  </si>
  <si>
    <t>TOTAL TOTAL AET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</si>
</sst>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 - &quot;_ ;_ @_ "/>
    <numFmt numFmtId="165" formatCode="_ * #,##0.0_ ;_ * \-#,##0.0_ ;_ * &quot; - &quot;??_ ;_ @_ "/>
    <numFmt numFmtId="166" formatCode="_ * #,##0.00_ ;_ * \-#,##0.00_ ;_ * &quot; - &quot;??_ ;_ @_ "/>
    <numFmt numFmtId="167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BEE083"/>
        <bgColor indexed="64"/>
      </patternFill>
    </fill>
    <fill>
      <patternFill patternType="solid">
        <fgColor rgb="FFFACA8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164" fontId="0" fillId="0" borderId="2" xfId="0" applyNumberFormat="1" applyBorder="1"/>
    <xf numFmtId="10" fontId="0" fillId="0" borderId="1" xfId="0" applyNumberFormat="1" applyBorder="1"/>
    <xf numFmtId="10" fontId="0" fillId="0" borderId="2" xfId="0" applyNumberFormat="1" applyBorder="1"/>
    <xf numFmtId="165" fontId="0" fillId="0" borderId="1" xfId="0" applyNumberFormat="1" applyBorder="1"/>
    <xf numFmtId="165" fontId="0" fillId="0" borderId="2" xfId="0" applyNumberFormat="1" applyBorder="1"/>
    <xf numFmtId="166" fontId="0" fillId="0" borderId="1" xfId="0" applyNumberFormat="1" applyBorder="1"/>
    <xf numFmtId="166" fontId="0" fillId="0" borderId="2" xfId="0" applyNumberFormat="1" applyBorder="1"/>
    <xf numFmtId="167" fontId="0" fillId="0" borderId="1" xfId="0" applyNumberFormat="1" applyBorder="1"/>
    <xf numFmtId="167" fontId="0" fillId="0" borderId="2" xfId="0" applyNumberFormat="1" applyBorder="1"/>
    <xf numFmtId="0" fontId="1" fillId="3" borderId="5" xfId="0" applyFont="1" applyFill="1" applyBorder="1"/>
    <xf numFmtId="164" fontId="1" fillId="3" borderId="5" xfId="0" applyNumberFormat="1" applyFont="1" applyFill="1" applyBorder="1"/>
    <xf numFmtId="10" fontId="1" fillId="3" borderId="5" xfId="0" applyNumberFormat="1" applyFont="1" applyFill="1" applyBorder="1"/>
    <xf numFmtId="165" fontId="1" fillId="3" borderId="5" xfId="0" applyNumberFormat="1" applyFont="1" applyFill="1" applyBorder="1"/>
    <xf numFmtId="166" fontId="1" fillId="3" borderId="5" xfId="0" applyNumberFormat="1" applyFont="1" applyFill="1" applyBorder="1"/>
    <xf numFmtId="167" fontId="1" fillId="3" borderId="5" xfId="0" applyNumberFormat="1" applyFont="1" applyFill="1" applyBorder="1"/>
    <xf numFmtId="0" fontId="1" fillId="4" borderId="5" xfId="0" applyFont="1" applyFill="1" applyBorder="1"/>
    <xf numFmtId="164" fontId="1" fillId="4" borderId="5" xfId="0" applyNumberFormat="1" applyFont="1" applyFill="1" applyBorder="1"/>
    <xf numFmtId="10" fontId="1" fillId="4" borderId="5" xfId="0" applyNumberFormat="1" applyFont="1" applyFill="1" applyBorder="1"/>
    <xf numFmtId="165" fontId="1" fillId="4" borderId="5" xfId="0" applyNumberFormat="1" applyFont="1" applyFill="1" applyBorder="1"/>
    <xf numFmtId="166" fontId="1" fillId="4" borderId="5" xfId="0" applyNumberFormat="1" applyFont="1" applyFill="1" applyBorder="1"/>
    <xf numFmtId="167" fontId="1" fillId="4" borderId="5" xfId="0" applyNumberFormat="1" applyFont="1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5.44140625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45658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45661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103</v>
      </c>
      <c r="C6" s="7">
        <v>33</v>
      </c>
      <c r="D6" s="7">
        <v>4</v>
      </c>
      <c r="E6" s="7">
        <v>1197</v>
      </c>
      <c r="F6" s="7">
        <v>1129</v>
      </c>
      <c r="G6" s="7">
        <v>3</v>
      </c>
      <c r="H6" s="9">
        <f t="shared" ref="H6:H12" si="0">IFERROR(G6/F6,0)</f>
        <v>2.6572187776793621E-3</v>
      </c>
      <c r="I6" s="9">
        <f>IFERROR((1197-F6)/1197,0)</f>
        <v>5.6808688387635753E-2</v>
      </c>
      <c r="J6" s="7">
        <v>2880</v>
      </c>
      <c r="K6" s="11">
        <f t="shared" ref="K6:K12" si="1">IFERROR(J6/D6/F6*100,0)</f>
        <v>63.77325066430469</v>
      </c>
      <c r="L6" s="11">
        <f>K6-59.7128</f>
        <v>4.0604506643046889</v>
      </c>
      <c r="M6" s="11">
        <v>73</v>
      </c>
      <c r="N6" s="11">
        <f t="shared" ref="N6:N12" si="2">K6-M6</f>
        <v>-9.2267493356953096</v>
      </c>
      <c r="O6" s="11">
        <f>IFERROR(64350/1197,0)</f>
        <v>53.7593984962406</v>
      </c>
      <c r="P6" s="11">
        <v>0</v>
      </c>
      <c r="Q6" s="11">
        <f t="shared" ref="Q6:Q11" si="3">IFERROR(O6-P6,0)</f>
        <v>53.7593984962406</v>
      </c>
      <c r="R6" s="7">
        <v>512</v>
      </c>
      <c r="S6" s="11">
        <f t="shared" ref="S6:S11" si="4">IFERROR(R6/D6/F6*1000,0)</f>
        <v>113.37466784765279</v>
      </c>
      <c r="T6" s="13">
        <f t="shared" ref="T6:T12" si="5">IFERROR(J6/R6,0)</f>
        <v>5.625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177.77777777777777</v>
      </c>
      <c r="Z6" s="11">
        <f t="shared" ref="Z6:Z12" si="9">IFERROR(Y6*X6/1000,0)</f>
        <v>52.778666666666666</v>
      </c>
      <c r="AA6" s="7">
        <v>1580</v>
      </c>
      <c r="AB6" s="15">
        <f>IFERROR(AA6/0,0)</f>
        <v>0</v>
      </c>
      <c r="AC6" s="11">
        <v>0</v>
      </c>
      <c r="AD6" s="15">
        <f>IFERROR(AC6/0,0)</f>
        <v>0</v>
      </c>
      <c r="AE6" s="11">
        <v>14</v>
      </c>
      <c r="AF6" s="11">
        <v>39</v>
      </c>
      <c r="AG6" s="7">
        <f t="shared" ref="AG6:AG11" si="10">IF(M6=0,0,IFERROR(N6/100*7*F6,0))</f>
        <v>-729.1900000000004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63</v>
      </c>
      <c r="C7" s="7"/>
      <c r="D7" s="7">
        <v>4</v>
      </c>
      <c r="E7" s="7">
        <v>14440</v>
      </c>
      <c r="F7" s="7">
        <v>12621</v>
      </c>
      <c r="G7" s="7">
        <v>54</v>
      </c>
      <c r="H7" s="9">
        <f t="shared" si="0"/>
        <v>4.2785833135250773E-3</v>
      </c>
      <c r="I7" s="9">
        <f>IFERROR((14440-F7)/14440,0)</f>
        <v>0.12596952908587258</v>
      </c>
      <c r="J7" s="7">
        <v>37440</v>
      </c>
      <c r="K7" s="11">
        <f t="shared" si="1"/>
        <v>74.162110767768013</v>
      </c>
      <c r="L7" s="11">
        <f>K7-75.281</f>
        <v>-1.118889232231993</v>
      </c>
      <c r="M7" s="11">
        <v>84</v>
      </c>
      <c r="N7" s="11">
        <f t="shared" si="2"/>
        <v>-9.8378892322319871</v>
      </c>
      <c r="O7" s="11">
        <f>IFERROR(3634800/14440,0)</f>
        <v>251.71745152354572</v>
      </c>
      <c r="P7" s="11">
        <v>275</v>
      </c>
      <c r="Q7" s="11">
        <f t="shared" si="3"/>
        <v>-23.282548476454281</v>
      </c>
      <c r="R7" s="7">
        <v>5800</v>
      </c>
      <c r="S7" s="11">
        <f t="shared" si="4"/>
        <v>114.88788527058078</v>
      </c>
      <c r="T7" s="13">
        <f t="shared" si="5"/>
        <v>6.455172413793103</v>
      </c>
      <c r="U7" s="7">
        <v>0</v>
      </c>
      <c r="V7" s="11">
        <f t="shared" si="6"/>
        <v>0</v>
      </c>
      <c r="W7" s="11">
        <f t="shared" si="7"/>
        <v>0</v>
      </c>
      <c r="X7" s="11">
        <v>279.86250000000001</v>
      </c>
      <c r="Y7" s="11">
        <f t="shared" si="8"/>
        <v>154.91452991452991</v>
      </c>
      <c r="Z7" s="11">
        <f t="shared" si="9"/>
        <v>43.354767628205124</v>
      </c>
      <c r="AA7" s="7">
        <v>2010</v>
      </c>
      <c r="AB7" s="15">
        <f>IFERROR(AA7/1960,0)</f>
        <v>1.0255102040816326</v>
      </c>
      <c r="AC7" s="11">
        <v>0</v>
      </c>
      <c r="AD7" s="15">
        <f>IFERROR(AC7/63.9,0)</f>
        <v>0</v>
      </c>
      <c r="AE7" s="11">
        <v>14</v>
      </c>
      <c r="AF7" s="11">
        <v>39</v>
      </c>
      <c r="AG7" s="7">
        <f t="shared" si="10"/>
        <v>-8691.4799999999941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63</v>
      </c>
      <c r="C8" s="7"/>
      <c r="D8" s="7">
        <v>4</v>
      </c>
      <c r="E8" s="7">
        <v>16063</v>
      </c>
      <c r="F8" s="7">
        <v>14256</v>
      </c>
      <c r="G8" s="7">
        <v>35</v>
      </c>
      <c r="H8" s="9">
        <f t="shared" si="0"/>
        <v>2.4551066217732885E-3</v>
      </c>
      <c r="I8" s="9">
        <f>IFERROR((16063-F8)/16063,0)</f>
        <v>0.11249455269874868</v>
      </c>
      <c r="J8" s="7">
        <v>39990</v>
      </c>
      <c r="K8" s="11">
        <f t="shared" si="1"/>
        <v>70.128367003367003</v>
      </c>
      <c r="L8" s="11">
        <f>K8-72.1808</f>
        <v>-2.0524329966330015</v>
      </c>
      <c r="M8" s="11">
        <v>86</v>
      </c>
      <c r="N8" s="11">
        <f t="shared" si="2"/>
        <v>-15.871632996632997</v>
      </c>
      <c r="O8" s="11">
        <f>IFERROR(3768300/16063,0)</f>
        <v>234.59503206125879</v>
      </c>
      <c r="P8" s="11">
        <v>274</v>
      </c>
      <c r="Q8" s="11">
        <f t="shared" si="3"/>
        <v>-39.404967938741208</v>
      </c>
      <c r="R8" s="7">
        <v>6180</v>
      </c>
      <c r="S8" s="11">
        <f t="shared" si="4"/>
        <v>108.37542087542087</v>
      </c>
      <c r="T8" s="13">
        <f t="shared" si="5"/>
        <v>6.4708737864077666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154.53863465866468</v>
      </c>
      <c r="Z8" s="11">
        <f t="shared" si="9"/>
        <v>57.179294823705931</v>
      </c>
      <c r="AA8" s="7">
        <v>1580</v>
      </c>
      <c r="AB8" s="15">
        <f>IFERROR(AA8/1580,0)</f>
        <v>1</v>
      </c>
      <c r="AC8" s="11">
        <v>0</v>
      </c>
      <c r="AD8" s="15">
        <f>IFERROR(AC8/63.1,0)</f>
        <v>0</v>
      </c>
      <c r="AE8" s="11">
        <v>14</v>
      </c>
      <c r="AF8" s="11">
        <v>39</v>
      </c>
      <c r="AG8" s="7">
        <f t="shared" si="10"/>
        <v>-15838.620000000003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24</v>
      </c>
      <c r="C9" s="7"/>
      <c r="D9" s="7">
        <v>4</v>
      </c>
      <c r="E9" s="7">
        <v>4686</v>
      </c>
      <c r="F9" s="7">
        <v>4425</v>
      </c>
      <c r="G9" s="7">
        <v>5</v>
      </c>
      <c r="H9" s="9">
        <f t="shared" si="0"/>
        <v>1.1299435028248588E-3</v>
      </c>
      <c r="I9" s="9">
        <f>IFERROR((4686-F9)/4686,0)</f>
        <v>5.5697823303457107E-2</v>
      </c>
      <c r="J9" s="7">
        <v>16260</v>
      </c>
      <c r="K9" s="11">
        <f t="shared" si="1"/>
        <v>91.86440677966101</v>
      </c>
      <c r="L9" s="11">
        <f>K9-84.3076</f>
        <v>7.5568067796610165</v>
      </c>
      <c r="M9" s="11">
        <v>93.5</v>
      </c>
      <c r="N9" s="11">
        <f t="shared" si="2"/>
        <v>-1.6355932203389898</v>
      </c>
      <c r="O9" s="11">
        <f>IFERROR(113820/4686,0)</f>
        <v>24.289372599231754</v>
      </c>
      <c r="P9" s="11">
        <v>32</v>
      </c>
      <c r="Q9" s="11">
        <f t="shared" si="3"/>
        <v>-7.7106274007682458</v>
      </c>
      <c r="R9" s="7">
        <v>1895</v>
      </c>
      <c r="S9" s="11">
        <f t="shared" si="4"/>
        <v>107.06214689265536</v>
      </c>
      <c r="T9" s="13">
        <f t="shared" si="5"/>
        <v>8.5804749340369391</v>
      </c>
      <c r="U9" s="7">
        <v>2880</v>
      </c>
      <c r="V9" s="11">
        <f t="shared" si="6"/>
        <v>162.71186440677965</v>
      </c>
      <c r="W9" s="11">
        <f t="shared" si="7"/>
        <v>1.5197889182058046</v>
      </c>
      <c r="X9" s="11">
        <v>362.76</v>
      </c>
      <c r="Y9" s="11">
        <f t="shared" si="8"/>
        <v>116.54366543665438</v>
      </c>
      <c r="Z9" s="11">
        <f t="shared" si="9"/>
        <v>42.277380073800742</v>
      </c>
      <c r="AA9" s="7">
        <v>0</v>
      </c>
      <c r="AB9" s="15">
        <f>IFERROR(AA9/1840,0)</f>
        <v>0</v>
      </c>
      <c r="AC9" s="11">
        <v>0</v>
      </c>
      <c r="AD9" s="15">
        <f>IFERROR(AC9/56.6,0)</f>
        <v>0</v>
      </c>
      <c r="AE9" s="11">
        <v>19</v>
      </c>
      <c r="AF9" s="11">
        <v>31</v>
      </c>
      <c r="AG9" s="7">
        <f t="shared" si="10"/>
        <v>-506.6250000000021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63</v>
      </c>
      <c r="C10" s="7"/>
      <c r="D10" s="7">
        <v>4</v>
      </c>
      <c r="E10" s="7">
        <v>5000</v>
      </c>
      <c r="F10" s="7">
        <v>4415</v>
      </c>
      <c r="G10" s="7">
        <v>8</v>
      </c>
      <c r="H10" s="9">
        <f t="shared" si="0"/>
        <v>1.8120045300113251E-3</v>
      </c>
      <c r="I10" s="9">
        <f>IFERROR((5000-F10)/5000,0)</f>
        <v>0.11700000000000001</v>
      </c>
      <c r="J10" s="7">
        <v>15690</v>
      </c>
      <c r="K10" s="11">
        <f t="shared" si="1"/>
        <v>88.844847112117776</v>
      </c>
      <c r="L10" s="11">
        <f>K10-95.1739</f>
        <v>-6.3290528878822272</v>
      </c>
      <c r="M10" s="11">
        <v>84</v>
      </c>
      <c r="N10" s="11">
        <f t="shared" si="2"/>
        <v>4.8448471121177761</v>
      </c>
      <c r="O10" s="11">
        <f>IFERROR(1252030/5000,0)</f>
        <v>250.40600000000001</v>
      </c>
      <c r="P10" s="11">
        <v>275</v>
      </c>
      <c r="Q10" s="11">
        <f t="shared" si="3"/>
        <v>-24.593999999999994</v>
      </c>
      <c r="R10" s="7">
        <v>2714</v>
      </c>
      <c r="S10" s="11">
        <f t="shared" si="4"/>
        <v>153.68063420158552</v>
      </c>
      <c r="T10" s="13">
        <f t="shared" si="5"/>
        <v>5.781134856300663</v>
      </c>
      <c r="U10" s="7">
        <v>2880</v>
      </c>
      <c r="V10" s="11">
        <f t="shared" si="6"/>
        <v>163.08040770101925</v>
      </c>
      <c r="W10" s="11">
        <f t="shared" si="7"/>
        <v>1.0611643330876934</v>
      </c>
      <c r="X10" s="11">
        <v>374.81</v>
      </c>
      <c r="Y10" s="11">
        <f t="shared" si="8"/>
        <v>172.97641810070112</v>
      </c>
      <c r="Z10" s="11">
        <f t="shared" si="9"/>
        <v>64.833291268323791</v>
      </c>
      <c r="AA10" s="7">
        <v>0</v>
      </c>
      <c r="AB10" s="15">
        <f>IFERROR(AA10/1960,0)</f>
        <v>0</v>
      </c>
      <c r="AC10" s="11">
        <v>0</v>
      </c>
      <c r="AD10" s="15">
        <f>IFERROR(AC10/63.9,0)</f>
        <v>0</v>
      </c>
      <c r="AE10" s="11">
        <v>15</v>
      </c>
      <c r="AF10" s="11">
        <v>32</v>
      </c>
      <c r="AG10" s="7">
        <f t="shared" si="10"/>
        <v>1497.2999999999986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24</v>
      </c>
      <c r="C11" s="7"/>
      <c r="D11" s="7">
        <v>4</v>
      </c>
      <c r="E11" s="7">
        <v>4819</v>
      </c>
      <c r="F11" s="7">
        <v>4768</v>
      </c>
      <c r="G11" s="7">
        <v>6</v>
      </c>
      <c r="H11" s="9">
        <f t="shared" si="0"/>
        <v>1.2583892617449664E-3</v>
      </c>
      <c r="I11" s="9">
        <f>IFERROR((4819-F11)/4819,0)</f>
        <v>1.0583108528740403E-2</v>
      </c>
      <c r="J11" s="7">
        <v>16800</v>
      </c>
      <c r="K11" s="11">
        <f t="shared" si="1"/>
        <v>88.087248322147644</v>
      </c>
      <c r="L11" s="11">
        <f>K11-86.2522</f>
        <v>1.8350483221476424</v>
      </c>
      <c r="M11" s="11">
        <v>93.5</v>
      </c>
      <c r="N11" s="11">
        <f t="shared" si="2"/>
        <v>-5.4127516778523557</v>
      </c>
      <c r="O11" s="11">
        <f>IFERROR(127266/4819,0)</f>
        <v>26.409213529777961</v>
      </c>
      <c r="P11" s="11">
        <v>32</v>
      </c>
      <c r="Q11" s="11">
        <f t="shared" si="3"/>
        <v>-5.5907864702220387</v>
      </c>
      <c r="R11" s="7">
        <v>2621</v>
      </c>
      <c r="S11" s="11">
        <f t="shared" si="4"/>
        <v>137.42659395973152</v>
      </c>
      <c r="T11" s="13">
        <f t="shared" si="5"/>
        <v>6.4097672644029</v>
      </c>
      <c r="U11" s="7">
        <v>2880</v>
      </c>
      <c r="V11" s="11">
        <f t="shared" si="6"/>
        <v>151.00671140939599</v>
      </c>
      <c r="W11" s="11">
        <f t="shared" si="7"/>
        <v>1.0988172453262117</v>
      </c>
      <c r="X11" s="11">
        <v>362.76</v>
      </c>
      <c r="Y11" s="11">
        <f t="shared" si="8"/>
        <v>156.01190476190476</v>
      </c>
      <c r="Z11" s="11">
        <f t="shared" si="9"/>
        <v>56.594878571428566</v>
      </c>
      <c r="AA11" s="7">
        <v>1750</v>
      </c>
      <c r="AB11" s="15">
        <f>IFERROR(AA11/1840,0)</f>
        <v>0.95108695652173914</v>
      </c>
      <c r="AC11" s="11">
        <v>0</v>
      </c>
      <c r="AD11" s="15">
        <f>IFERROR(AC11/56.6,0)</f>
        <v>0</v>
      </c>
      <c r="AE11" s="11">
        <v>18</v>
      </c>
      <c r="AF11" s="11">
        <v>33</v>
      </c>
      <c r="AG11" s="7">
        <f t="shared" si="10"/>
        <v>-1806.5600000000022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4</v>
      </c>
      <c r="E12" s="17">
        <f>SUM(E6:E11)</f>
        <v>46205</v>
      </c>
      <c r="F12" s="17">
        <f>SUM(F6:F11)</f>
        <v>41614</v>
      </c>
      <c r="G12" s="17">
        <f>SUM(G6:G11)</f>
        <v>111</v>
      </c>
      <c r="H12" s="18">
        <f t="shared" si="0"/>
        <v>2.667371557648868E-3</v>
      </c>
      <c r="I12" s="18"/>
      <c r="J12" s="17">
        <f>SUM(J6:J11)</f>
        <v>129060</v>
      </c>
      <c r="K12" s="19">
        <f t="shared" si="1"/>
        <v>77.534002979766427</v>
      </c>
      <c r="L12" s="19"/>
      <c r="M12" s="19">
        <f>IFERROR(SUMPRODUCT($F6:$F11,M6:M11)/$F12, 0)</f>
        <v>86.485377517181718</v>
      </c>
      <c r="N12" s="19">
        <f t="shared" si="2"/>
        <v>-8.9513745374152904</v>
      </c>
      <c r="O12" s="19">
        <f>IFERROR(SUMPRODUCT($E6:$E11,O6:O11)/$E12, 0)</f>
        <v>193.93065685531869</v>
      </c>
      <c r="P12" s="19">
        <f>IFERROR(SUMPRODUCT($E6:$E11,P6:P11)/$E12, 0)</f>
        <v>217.53970349529271</v>
      </c>
      <c r="Q12" s="19">
        <f>IFERROR(SUMPRODUCT($E6:$E11,Q6:Q11)/$E12, 0)</f>
        <v>-23.609046639974025</v>
      </c>
      <c r="R12" s="17">
        <f>SUM(R6:R11)</f>
        <v>19722</v>
      </c>
      <c r="S12" s="19">
        <f>IFERROR(R12/D12/$F12*1000,0)</f>
        <v>118.48176094583555</v>
      </c>
      <c r="T12" s="20">
        <f t="shared" si="5"/>
        <v>6.543961058716155</v>
      </c>
      <c r="U12" s="17">
        <f>SUM(U6:U11)</f>
        <v>8640</v>
      </c>
      <c r="V12" s="19">
        <f>IFERROR(U12/D12/$F12*1000,0)</f>
        <v>51.905608689383385</v>
      </c>
      <c r="W12" s="19">
        <f t="shared" si="7"/>
        <v>0.43808944326133253</v>
      </c>
      <c r="X12" s="19">
        <f>IFERROR(SUMPRODUCT(R6:R11,X6:X11)/R12,0)</f>
        <v>340.59748301389311</v>
      </c>
      <c r="Y12" s="19">
        <f>IFERROR(($F12*S12)/($F12*K12)*100,0)</f>
        <v>152.81264528126454</v>
      </c>
      <c r="Z12" s="19">
        <f t="shared" si="9"/>
        <v>52.047602355493574</v>
      </c>
      <c r="AA12" s="17"/>
      <c r="AB12" s="21">
        <f>IFERROR(SUMPRODUCT($F6:$F11,AB6:AB11)/$F12,0)</f>
        <v>0.76257381877276731</v>
      </c>
      <c r="AC12" s="19"/>
      <c r="AD12" s="21">
        <f>AVERAGE(AD6:AD11)</f>
        <v>0</v>
      </c>
      <c r="AE12" s="19"/>
      <c r="AF12" s="19"/>
      <c r="AG12" s="17">
        <f>SUM(AG6:AG11)</f>
        <v>-26075.175000000003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63</v>
      </c>
      <c r="C14" s="6"/>
      <c r="D14" s="6">
        <v>4</v>
      </c>
      <c r="E14" s="6">
        <v>21388</v>
      </c>
      <c r="F14" s="6">
        <v>17502</v>
      </c>
      <c r="G14" s="6">
        <v>24</v>
      </c>
      <c r="H14" s="8">
        <f t="shared" ref="H14:H29" si="12">IFERROR(G14/F14,0)</f>
        <v>1.3712718546451835E-3</v>
      </c>
      <c r="I14" s="8">
        <f>IFERROR((21388-F14)/21388,0)</f>
        <v>0.18169066766411071</v>
      </c>
      <c r="J14" s="6">
        <v>55360</v>
      </c>
      <c r="K14" s="10">
        <f t="shared" ref="K14:K29" si="13">IFERROR(J14/D14/F14*100,0)</f>
        <v>79.07667695120557</v>
      </c>
      <c r="L14" s="10">
        <f>K14-73.619</f>
        <v>5.4576769512055705</v>
      </c>
      <c r="M14" s="10">
        <v>86</v>
      </c>
      <c r="N14" s="10">
        <f t="shared" ref="N14:N29" si="14">K14-M14</f>
        <v>-6.9233230487944297</v>
      </c>
      <c r="O14" s="10">
        <f>IFERROR(4081590/21388,0)</f>
        <v>190.83551524219189</v>
      </c>
      <c r="P14" s="10">
        <v>274</v>
      </c>
      <c r="Q14" s="10">
        <f t="shared" ref="Q14:Q28" si="15">IFERROR(O14-P14,0)</f>
        <v>-83.164484757808111</v>
      </c>
      <c r="R14" s="6">
        <v>6800</v>
      </c>
      <c r="S14" s="10">
        <f t="shared" ref="S14:S28" si="16">IFERROR(R14/D14/F14*1000,0)</f>
        <v>97.131756370700501</v>
      </c>
      <c r="T14" s="12">
        <f t="shared" ref="T14:T29" si="17">IFERROR(J14/R14,0)</f>
        <v>8.1411764705882348</v>
      </c>
      <c r="U14" s="6">
        <v>12680</v>
      </c>
      <c r="V14" s="10">
        <f t="shared" ref="V14:V28" si="18">IFERROR(U14/D14/F14*1000,0)</f>
        <v>181.12215746771798</v>
      </c>
      <c r="W14" s="10">
        <f t="shared" ref="W14:W29" si="19">IFERROR(V14/S14,0)</f>
        <v>1.864705882352941</v>
      </c>
      <c r="X14" s="10">
        <v>275.14749999999998</v>
      </c>
      <c r="Y14" s="10">
        <f t="shared" ref="Y14:Y28" si="20">IFERROR((F14*S14)/(F14*K14)*100,0)</f>
        <v>122.83236994219655</v>
      </c>
      <c r="Z14" s="10">
        <f t="shared" ref="Z14:Z29" si="21">IFERROR(Y14*X14/1000,0)</f>
        <v>33.797019508670523</v>
      </c>
      <c r="AA14" s="6">
        <v>2040</v>
      </c>
      <c r="AB14" s="14">
        <f>IFERROR(AA14/1580,0)</f>
        <v>1.2911392405063291</v>
      </c>
      <c r="AC14" s="10">
        <v>64.5</v>
      </c>
      <c r="AD14" s="14">
        <f>IFERROR(AC14/63.1,0)</f>
        <v>1.0221870047543582</v>
      </c>
      <c r="AE14" s="10">
        <v>22</v>
      </c>
      <c r="AF14" s="10">
        <v>25</v>
      </c>
      <c r="AG14" s="6">
        <f t="shared" ref="AG14:AG28" si="22">IF(M14=0,0,IFERROR(N14/100*7*F14,0))</f>
        <v>-8482.0400000000081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24</v>
      </c>
      <c r="C15" s="7"/>
      <c r="D15" s="7">
        <v>4</v>
      </c>
      <c r="E15" s="7">
        <v>10225</v>
      </c>
      <c r="F15" s="7">
        <v>9959</v>
      </c>
      <c r="G15" s="7">
        <v>36</v>
      </c>
      <c r="H15" s="9">
        <f t="shared" si="12"/>
        <v>3.6148207651370621E-3</v>
      </c>
      <c r="I15" s="9">
        <f>IFERROR((10225-F15)/10225,0)</f>
        <v>2.6014669926650368E-2</v>
      </c>
      <c r="J15" s="7">
        <v>31470</v>
      </c>
      <c r="K15" s="11">
        <f t="shared" si="13"/>
        <v>78.998895471432874</v>
      </c>
      <c r="L15" s="11">
        <f>K15-78.8517</f>
        <v>0.14719547143288025</v>
      </c>
      <c r="M15" s="11">
        <v>93.5</v>
      </c>
      <c r="N15" s="11">
        <f t="shared" si="14"/>
        <v>-14.501104528567126</v>
      </c>
      <c r="O15" s="11">
        <f>IFERROR(262800/10225,0)</f>
        <v>25.701711491442541</v>
      </c>
      <c r="P15" s="11">
        <v>32</v>
      </c>
      <c r="Q15" s="11">
        <f t="shared" si="15"/>
        <v>-6.2982885085574587</v>
      </c>
      <c r="R15" s="7">
        <v>4750</v>
      </c>
      <c r="S15" s="11">
        <f t="shared" si="16"/>
        <v>119.23887940556281</v>
      </c>
      <c r="T15" s="13">
        <f t="shared" si="17"/>
        <v>6.6252631578947367</v>
      </c>
      <c r="U15" s="7">
        <v>7210</v>
      </c>
      <c r="V15" s="11">
        <f t="shared" si="18"/>
        <v>180.99206747665428</v>
      </c>
      <c r="W15" s="11">
        <f t="shared" si="19"/>
        <v>1.5178947368421052</v>
      </c>
      <c r="X15" s="11">
        <v>300.4375</v>
      </c>
      <c r="Y15" s="11">
        <f t="shared" si="20"/>
        <v>150.93740069907849</v>
      </c>
      <c r="Z15" s="11">
        <f t="shared" si="21"/>
        <v>45.347255322529399</v>
      </c>
      <c r="AA15" s="7">
        <v>0</v>
      </c>
      <c r="AB15" s="15">
        <f>IFERROR(AA15/1840,0)</f>
        <v>0</v>
      </c>
      <c r="AC15" s="11">
        <v>0</v>
      </c>
      <c r="AD15" s="15">
        <f>IFERROR(AC15/56.6,0)</f>
        <v>0</v>
      </c>
      <c r="AE15" s="11">
        <v>24</v>
      </c>
      <c r="AF15" s="11">
        <v>31</v>
      </c>
      <c r="AG15" s="7">
        <f t="shared" si="22"/>
        <v>-10109.155000000002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52</v>
      </c>
      <c r="C16" s="7"/>
      <c r="D16" s="7">
        <v>4</v>
      </c>
      <c r="E16" s="7">
        <v>56050</v>
      </c>
      <c r="F16" s="7">
        <v>52398</v>
      </c>
      <c r="G16" s="7">
        <v>74</v>
      </c>
      <c r="H16" s="9">
        <f t="shared" si="12"/>
        <v>1.4122676438031985E-3</v>
      </c>
      <c r="I16" s="9">
        <f>IFERROR((56050-F16)/56050,0)</f>
        <v>6.5156110615521859E-2</v>
      </c>
      <c r="J16" s="7">
        <v>190980</v>
      </c>
      <c r="K16" s="11">
        <f t="shared" si="13"/>
        <v>91.119890072140151</v>
      </c>
      <c r="L16" s="11">
        <f>K16-94.6887</f>
        <v>-3.5688099278598457</v>
      </c>
      <c r="M16" s="11">
        <v>93.1</v>
      </c>
      <c r="N16" s="11">
        <f t="shared" si="14"/>
        <v>-1.9801099278598429</v>
      </c>
      <c r="O16" s="11">
        <f>IFERROR(11433721/56050,0)</f>
        <v>203.991454058876</v>
      </c>
      <c r="P16" s="11">
        <v>207</v>
      </c>
      <c r="Q16" s="11">
        <f t="shared" si="15"/>
        <v>-3.0085459411239981</v>
      </c>
      <c r="R16" s="7">
        <v>26120</v>
      </c>
      <c r="S16" s="11">
        <f t="shared" si="16"/>
        <v>124.62307721668766</v>
      </c>
      <c r="T16" s="13">
        <f t="shared" si="17"/>
        <v>7.3116385911179176</v>
      </c>
      <c r="U16" s="7">
        <v>37900</v>
      </c>
      <c r="V16" s="11">
        <f t="shared" si="18"/>
        <v>180.82751250047713</v>
      </c>
      <c r="W16" s="11">
        <f t="shared" si="19"/>
        <v>1.4509954058192955</v>
      </c>
      <c r="X16" s="11">
        <v>301.82499999999999</v>
      </c>
      <c r="Y16" s="11">
        <f t="shared" si="20"/>
        <v>136.76824798408208</v>
      </c>
      <c r="Z16" s="11">
        <f t="shared" si="21"/>
        <v>41.280076447795572</v>
      </c>
      <c r="AA16" s="7">
        <v>1758</v>
      </c>
      <c r="AB16" s="15">
        <f>IFERROR(AA16/1725,0)</f>
        <v>1.0191304347826087</v>
      </c>
      <c r="AC16" s="11">
        <v>0</v>
      </c>
      <c r="AD16" s="15">
        <f>IFERROR(AC16/62.8,0)</f>
        <v>0</v>
      </c>
      <c r="AE16" s="11">
        <v>22</v>
      </c>
      <c r="AF16" s="11">
        <v>26</v>
      </c>
      <c r="AG16" s="7">
        <f t="shared" si="22"/>
        <v>-7262.7660000000024</v>
      </c>
      <c r="AH16" s="7">
        <v>16</v>
      </c>
      <c r="AI16" s="7">
        <v>23.75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IFERROR(110/F16,0)</f>
        <v>2.0993167678155654E-3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126</v>
      </c>
      <c r="C17" s="7">
        <v>10</v>
      </c>
      <c r="D17" s="7">
        <v>4</v>
      </c>
      <c r="E17" s="7">
        <v>17433</v>
      </c>
      <c r="F17" s="7">
        <v>17211</v>
      </c>
      <c r="G17" s="7">
        <v>37</v>
      </c>
      <c r="H17" s="9">
        <f t="shared" si="12"/>
        <v>2.1497879263261866E-3</v>
      </c>
      <c r="I17" s="9">
        <f>IFERROR((17433-F17)/17433,0)</f>
        <v>1.2734469110308037E-2</v>
      </c>
      <c r="J17" s="7">
        <v>45200</v>
      </c>
      <c r="K17" s="11">
        <f t="shared" si="13"/>
        <v>65.655685317529489</v>
      </c>
      <c r="L17" s="11">
        <f>K17-66.7218</f>
        <v>-1.0661146824705128</v>
      </c>
      <c r="M17" s="11">
        <v>82</v>
      </c>
      <c r="N17" s="11">
        <f t="shared" si="14"/>
        <v>-16.344314682470511</v>
      </c>
      <c r="O17" s="11">
        <f>IFERROR(711450/17433,0)</f>
        <v>40.810531750129066</v>
      </c>
      <c r="P17" s="11">
        <v>0</v>
      </c>
      <c r="Q17" s="11">
        <f t="shared" si="15"/>
        <v>40.810531750129066</v>
      </c>
      <c r="R17" s="7">
        <v>9330</v>
      </c>
      <c r="S17" s="11">
        <f t="shared" si="16"/>
        <v>135.52379292313054</v>
      </c>
      <c r="T17" s="13">
        <f t="shared" si="17"/>
        <v>4.844587352625938</v>
      </c>
      <c r="U17" s="7">
        <v>15140</v>
      </c>
      <c r="V17" s="11">
        <f t="shared" si="18"/>
        <v>219.91749462553017</v>
      </c>
      <c r="W17" s="11">
        <f t="shared" si="19"/>
        <v>1.6227224008574492</v>
      </c>
      <c r="X17" s="11">
        <v>297.27749999999997</v>
      </c>
      <c r="Y17" s="11">
        <f t="shared" si="20"/>
        <v>206.4159292035398</v>
      </c>
      <c r="Z17" s="11">
        <f t="shared" si="21"/>
        <v>61.362811393805302</v>
      </c>
      <c r="AA17" s="7">
        <v>2310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19</v>
      </c>
      <c r="AF17" s="11">
        <v>32</v>
      </c>
      <c r="AG17" s="7">
        <f t="shared" si="22"/>
        <v>-19691.14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 t="shared" ref="AO17:AO23" si="23"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45</v>
      </c>
      <c r="C18" s="7"/>
      <c r="D18" s="7">
        <v>4</v>
      </c>
      <c r="E18" s="7">
        <v>51536</v>
      </c>
      <c r="F18" s="7">
        <v>49589</v>
      </c>
      <c r="G18" s="7">
        <v>49</v>
      </c>
      <c r="H18" s="9">
        <f t="shared" si="12"/>
        <v>9.8812236584726451E-4</v>
      </c>
      <c r="I18" s="9">
        <f>IFERROR((51536-F18)/51536,0)</f>
        <v>3.7779416330332195E-2</v>
      </c>
      <c r="J18" s="7">
        <v>185460</v>
      </c>
      <c r="K18" s="11">
        <f t="shared" si="13"/>
        <v>93.498558147976368</v>
      </c>
      <c r="L18" s="11">
        <f>K18-94.9946</f>
        <v>-1.4960418520236374</v>
      </c>
      <c r="M18" s="11">
        <v>95.05</v>
      </c>
      <c r="N18" s="11">
        <f t="shared" si="14"/>
        <v>-1.5514418520236291</v>
      </c>
      <c r="O18" s="11">
        <f>IFERROR(7995350/51536,0)</f>
        <v>155.1410664389941</v>
      </c>
      <c r="P18" s="11">
        <v>163</v>
      </c>
      <c r="Q18" s="11">
        <f t="shared" si="15"/>
        <v>-7.8589335610058981</v>
      </c>
      <c r="R18" s="7">
        <v>23400</v>
      </c>
      <c r="S18" s="11">
        <f t="shared" si="16"/>
        <v>117.9697110246224</v>
      </c>
      <c r="T18" s="13">
        <f t="shared" si="17"/>
        <v>7.9256410256410259</v>
      </c>
      <c r="U18" s="7">
        <v>40730</v>
      </c>
      <c r="V18" s="11">
        <f t="shared" si="18"/>
        <v>205.33787735183208</v>
      </c>
      <c r="W18" s="11">
        <f t="shared" si="19"/>
        <v>1.7405982905982906</v>
      </c>
      <c r="X18" s="11">
        <v>296.98250000000002</v>
      </c>
      <c r="Y18" s="11">
        <f t="shared" si="20"/>
        <v>126.17275962471692</v>
      </c>
      <c r="Z18" s="11">
        <f t="shared" si="21"/>
        <v>37.471101585247496</v>
      </c>
      <c r="AA18" s="7">
        <v>1640</v>
      </c>
      <c r="AB18" s="15">
        <f>IFERROR(AA18/1715,0)</f>
        <v>0.95626822157434399</v>
      </c>
      <c r="AC18" s="11">
        <v>61.8</v>
      </c>
      <c r="AD18" s="15">
        <f>IFERROR(AC18/62.3,0)</f>
        <v>0.99197431781701439</v>
      </c>
      <c r="AE18" s="11">
        <v>21</v>
      </c>
      <c r="AF18" s="11">
        <v>28</v>
      </c>
      <c r="AG18" s="7">
        <f t="shared" si="22"/>
        <v>-5385.411499999982</v>
      </c>
      <c r="AH18" s="7">
        <v>10</v>
      </c>
      <c r="AI18" s="7">
        <v>18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 t="shared" si="23"/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93</v>
      </c>
      <c r="C19" s="7">
        <v>23</v>
      </c>
      <c r="D19" s="7">
        <v>4</v>
      </c>
      <c r="E19" s="7">
        <v>51311</v>
      </c>
      <c r="F19" s="7">
        <v>40517</v>
      </c>
      <c r="G19" s="7">
        <v>59</v>
      </c>
      <c r="H19" s="9">
        <f t="shared" si="12"/>
        <v>1.4561788878742256E-3</v>
      </c>
      <c r="I19" s="9">
        <f>IFERROR((51311-F19)/51311,0)</f>
        <v>0.21036424938122431</v>
      </c>
      <c r="J19" s="7">
        <v>145100</v>
      </c>
      <c r="K19" s="11">
        <f t="shared" si="13"/>
        <v>89.530320606165319</v>
      </c>
      <c r="L19" s="11">
        <f>K19-89.6321</f>
        <v>-0.1017793938346756</v>
      </c>
      <c r="M19" s="11">
        <v>78</v>
      </c>
      <c r="N19" s="11">
        <f t="shared" si="14"/>
        <v>11.530320606165319</v>
      </c>
      <c r="O19" s="11">
        <f>IFERROR(20285869/51311,0)</f>
        <v>395.35126970824967</v>
      </c>
      <c r="P19" s="11">
        <v>0</v>
      </c>
      <c r="Q19" s="11">
        <f t="shared" si="15"/>
        <v>395.35126970824967</v>
      </c>
      <c r="R19" s="7">
        <v>20050</v>
      </c>
      <c r="S19" s="11">
        <f t="shared" si="16"/>
        <v>123.71350297406026</v>
      </c>
      <c r="T19" s="13">
        <f t="shared" si="17"/>
        <v>7.2369077306733169</v>
      </c>
      <c r="U19" s="7">
        <v>31240</v>
      </c>
      <c r="V19" s="11">
        <f t="shared" si="18"/>
        <v>192.75859515758816</v>
      </c>
      <c r="W19" s="11">
        <f t="shared" si="19"/>
        <v>1.5581047381546136</v>
      </c>
      <c r="X19" s="11">
        <v>304.55</v>
      </c>
      <c r="Y19" s="11">
        <f t="shared" si="20"/>
        <v>138.18056512749828</v>
      </c>
      <c r="Z19" s="11">
        <f t="shared" si="21"/>
        <v>42.082891109579606</v>
      </c>
      <c r="AA19" s="7">
        <v>1628</v>
      </c>
      <c r="AB19" s="15">
        <f>IFERROR(AA19/1725,0)</f>
        <v>0.94376811594202903</v>
      </c>
      <c r="AC19" s="11">
        <v>0</v>
      </c>
      <c r="AD19" s="15">
        <f>IFERROR(AC19/64.75,0)</f>
        <v>0</v>
      </c>
      <c r="AE19" s="11">
        <v>22</v>
      </c>
      <c r="AF19" s="11">
        <v>28</v>
      </c>
      <c r="AG19" s="7">
        <f t="shared" si="22"/>
        <v>32702.180000000015</v>
      </c>
      <c r="AH19" s="7">
        <v>10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 t="shared" si="23"/>
        <v>0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24</v>
      </c>
      <c r="C20" s="7"/>
      <c r="D20" s="7">
        <v>4</v>
      </c>
      <c r="E20" s="7">
        <v>52424</v>
      </c>
      <c r="F20" s="7">
        <v>51976</v>
      </c>
      <c r="G20" s="7">
        <v>44</v>
      </c>
      <c r="H20" s="9">
        <f t="shared" si="12"/>
        <v>8.465445590272433E-4</v>
      </c>
      <c r="I20" s="9">
        <f>IFERROR((52424-F20)/52424,0)</f>
        <v>8.545704257591942E-3</v>
      </c>
      <c r="J20" s="7">
        <v>183380</v>
      </c>
      <c r="K20" s="11">
        <f t="shared" si="13"/>
        <v>88.204171155918118</v>
      </c>
      <c r="L20" s="11">
        <f>K20-82.8918</f>
        <v>5.3123711559181146</v>
      </c>
      <c r="M20" s="11">
        <v>91.55</v>
      </c>
      <c r="N20" s="11">
        <f t="shared" si="14"/>
        <v>-3.3458288440818791</v>
      </c>
      <c r="O20" s="11">
        <f>IFERROR(1213660/52424,0)</f>
        <v>23.150846940332674</v>
      </c>
      <c r="P20" s="11">
        <v>27</v>
      </c>
      <c r="Q20" s="11">
        <f t="shared" si="15"/>
        <v>-3.8491530596673265</v>
      </c>
      <c r="R20" s="7">
        <v>21605</v>
      </c>
      <c r="S20" s="11">
        <f t="shared" si="16"/>
        <v>103.91815453286132</v>
      </c>
      <c r="T20" s="13">
        <f t="shared" si="17"/>
        <v>8.487850034714187</v>
      </c>
      <c r="U20" s="7">
        <v>36798</v>
      </c>
      <c r="V20" s="11">
        <f t="shared" si="18"/>
        <v>176.99515160843464</v>
      </c>
      <c r="W20" s="11">
        <f t="shared" si="19"/>
        <v>1.7032168479518628</v>
      </c>
      <c r="X20" s="11">
        <v>305.84249999999997</v>
      </c>
      <c r="Y20" s="11">
        <f t="shared" si="20"/>
        <v>117.81546515432436</v>
      </c>
      <c r="Z20" s="11">
        <f t="shared" si="21"/>
        <v>36.03297640146144</v>
      </c>
      <c r="AA20" s="7">
        <v>1587</v>
      </c>
      <c r="AB20" s="15">
        <f>IFERROR(AA20/1510,0)</f>
        <v>1.0509933774834437</v>
      </c>
      <c r="AC20" s="11">
        <v>52.01</v>
      </c>
      <c r="AD20" s="15">
        <f>IFERROR(AC20/53.1,0)</f>
        <v>0.97947269303201501</v>
      </c>
      <c r="AE20" s="11">
        <v>22</v>
      </c>
      <c r="AF20" s="11">
        <v>27</v>
      </c>
      <c r="AG20" s="7">
        <f t="shared" si="22"/>
        <v>-12173.195999999984</v>
      </c>
      <c r="AH20" s="7">
        <v>16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 t="shared" si="23"/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33</v>
      </c>
      <c r="C21" s="7"/>
      <c r="D21" s="7">
        <v>4</v>
      </c>
      <c r="E21" s="7">
        <v>50845</v>
      </c>
      <c r="F21" s="7">
        <v>50049</v>
      </c>
      <c r="G21" s="7">
        <v>25</v>
      </c>
      <c r="H21" s="9">
        <f t="shared" si="12"/>
        <v>4.9951047972986477E-4</v>
      </c>
      <c r="I21" s="9">
        <f>IFERROR((50845-F21)/50845,0)</f>
        <v>1.5655423345461696E-2</v>
      </c>
      <c r="J21" s="7">
        <v>188890</v>
      </c>
      <c r="K21" s="11">
        <f t="shared" si="13"/>
        <v>94.352534516174146</v>
      </c>
      <c r="L21" s="11">
        <f>K21-94.6031</f>
        <v>-0.2505654838258522</v>
      </c>
      <c r="M21" s="11">
        <v>95.75</v>
      </c>
      <c r="N21" s="11">
        <f t="shared" si="14"/>
        <v>-1.3974654838258544</v>
      </c>
      <c r="O21" s="11">
        <f>IFERROR(4155710/50845,0)</f>
        <v>81.732913757498281</v>
      </c>
      <c r="P21" s="11">
        <v>86</v>
      </c>
      <c r="Q21" s="11">
        <f t="shared" si="15"/>
        <v>-4.2670862425017191</v>
      </c>
      <c r="R21" s="7">
        <v>23430</v>
      </c>
      <c r="S21" s="11">
        <f t="shared" si="16"/>
        <v>117.0353054007073</v>
      </c>
      <c r="T21" s="13">
        <f t="shared" si="17"/>
        <v>8.0618864703371749</v>
      </c>
      <c r="U21" s="7">
        <v>39100</v>
      </c>
      <c r="V21" s="11">
        <f t="shared" si="18"/>
        <v>195.3085975743771</v>
      </c>
      <c r="W21" s="11">
        <f t="shared" si="19"/>
        <v>1.66880068288519</v>
      </c>
      <c r="X21" s="11">
        <v>309.46749999999997</v>
      </c>
      <c r="Y21" s="11">
        <f t="shared" si="20"/>
        <v>124.04044682090105</v>
      </c>
      <c r="Z21" s="11">
        <f t="shared" si="21"/>
        <v>38.386486976547197</v>
      </c>
      <c r="AA21" s="7">
        <v>1695</v>
      </c>
      <c r="AB21" s="15">
        <f>IFERROR(AA21/1685,0)</f>
        <v>1.0059347181008902</v>
      </c>
      <c r="AC21" s="11">
        <v>60.01</v>
      </c>
      <c r="AD21" s="15">
        <f>IFERROR(AC21/60.3,0)</f>
        <v>0.99519071310116092</v>
      </c>
      <c r="AE21" s="11">
        <v>18</v>
      </c>
      <c r="AF21" s="11">
        <v>26</v>
      </c>
      <c r="AG21" s="7">
        <f t="shared" si="22"/>
        <v>-4895.9225000000124</v>
      </c>
      <c r="AH21" s="7">
        <v>16</v>
      </c>
      <c r="AI21" s="7">
        <v>21.25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 t="shared" si="23"/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83</v>
      </c>
      <c r="C22" s="7">
        <v>20</v>
      </c>
      <c r="D22" s="7">
        <v>4</v>
      </c>
      <c r="E22" s="7">
        <v>20160</v>
      </c>
      <c r="F22" s="7">
        <v>15903</v>
      </c>
      <c r="G22" s="7">
        <v>16</v>
      </c>
      <c r="H22" s="9">
        <f t="shared" si="12"/>
        <v>1.0060994780858958E-3</v>
      </c>
      <c r="I22" s="9">
        <f>IFERROR((20160-F22)/20160,0)</f>
        <v>0.21116071428571428</v>
      </c>
      <c r="J22" s="7">
        <v>49950</v>
      </c>
      <c r="K22" s="11">
        <f t="shared" si="13"/>
        <v>78.52292020373514</v>
      </c>
      <c r="L22" s="11">
        <f>K22-75.9024</f>
        <v>2.6205202037351398</v>
      </c>
      <c r="M22" s="11">
        <v>79</v>
      </c>
      <c r="N22" s="11">
        <f t="shared" si="14"/>
        <v>-0.47707979626486008</v>
      </c>
      <c r="O22" s="11">
        <f>IFERROR(5370069/20160,0)</f>
        <v>266.37247023809522</v>
      </c>
      <c r="P22" s="11">
        <v>0</v>
      </c>
      <c r="Q22" s="11">
        <f t="shared" si="15"/>
        <v>266.37247023809522</v>
      </c>
      <c r="R22" s="7">
        <v>8900</v>
      </c>
      <c r="S22" s="11">
        <f t="shared" si="16"/>
        <v>139.9107086713199</v>
      </c>
      <c r="T22" s="13">
        <f t="shared" si="17"/>
        <v>5.6123595505617976</v>
      </c>
      <c r="U22" s="7">
        <v>11780</v>
      </c>
      <c r="V22" s="11">
        <f t="shared" si="18"/>
        <v>185.18518518518516</v>
      </c>
      <c r="W22" s="11">
        <f t="shared" si="19"/>
        <v>1.3235955056179771</v>
      </c>
      <c r="X22" s="11">
        <v>275.14749999999998</v>
      </c>
      <c r="Y22" s="11">
        <f t="shared" si="20"/>
        <v>178.17817817817823</v>
      </c>
      <c r="Z22" s="11">
        <f t="shared" si="21"/>
        <v>49.025280280280292</v>
      </c>
      <c r="AA22" s="7">
        <v>2060</v>
      </c>
      <c r="AB22" s="15">
        <f>IFERROR(AA22/1970,0)</f>
        <v>1.0456852791878173</v>
      </c>
      <c r="AC22" s="11">
        <v>65.3</v>
      </c>
      <c r="AD22" s="15">
        <f>IFERROR(AC22/64.9,0)</f>
        <v>1.0061633281972264</v>
      </c>
      <c r="AE22" s="11">
        <v>22</v>
      </c>
      <c r="AF22" s="11">
        <v>25</v>
      </c>
      <c r="AG22" s="7">
        <f t="shared" si="22"/>
        <v>-531.09000000000492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 t="shared" si="23"/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24</v>
      </c>
      <c r="C23" s="7"/>
      <c r="D23" s="7">
        <v>4</v>
      </c>
      <c r="E23" s="7">
        <v>21875</v>
      </c>
      <c r="F23" s="7">
        <v>21658</v>
      </c>
      <c r="G23" s="7">
        <v>15</v>
      </c>
      <c r="H23" s="9">
        <f t="shared" si="12"/>
        <v>6.9258472619817158E-4</v>
      </c>
      <c r="I23" s="9">
        <f>IFERROR((21875-F23)/21875,0)</f>
        <v>9.92E-3</v>
      </c>
      <c r="J23" s="7">
        <v>79970</v>
      </c>
      <c r="K23" s="11">
        <f t="shared" si="13"/>
        <v>92.310000923446296</v>
      </c>
      <c r="L23" s="11">
        <f>K23-87.7612</f>
        <v>4.5488009234462936</v>
      </c>
      <c r="M23" s="11">
        <v>93.5</v>
      </c>
      <c r="N23" s="11">
        <f t="shared" si="14"/>
        <v>-1.1899990765537041</v>
      </c>
      <c r="O23" s="11">
        <f>IFERROR(753650/21875,0)</f>
        <v>34.452571428571432</v>
      </c>
      <c r="P23" s="11">
        <v>32</v>
      </c>
      <c r="Q23" s="11">
        <f t="shared" si="15"/>
        <v>2.4525714285714315</v>
      </c>
      <c r="R23" s="7">
        <v>10920</v>
      </c>
      <c r="S23" s="11">
        <f t="shared" si="16"/>
        <v>126.05042016806722</v>
      </c>
      <c r="T23" s="13">
        <f t="shared" si="17"/>
        <v>7.323260073260073</v>
      </c>
      <c r="U23" s="7">
        <v>19032</v>
      </c>
      <c r="V23" s="11">
        <f t="shared" si="18"/>
        <v>219.68787515006002</v>
      </c>
      <c r="W23" s="11">
        <f t="shared" si="19"/>
        <v>1.7428571428571429</v>
      </c>
      <c r="X23" s="11">
        <v>299.86750000000001</v>
      </c>
      <c r="Y23" s="11">
        <f t="shared" si="20"/>
        <v>136.55120670251347</v>
      </c>
      <c r="Z23" s="11">
        <f t="shared" si="21"/>
        <v>40.94726897586596</v>
      </c>
      <c r="AA23" s="7">
        <v>1936</v>
      </c>
      <c r="AB23" s="15">
        <f>IFERROR(AA23/1840,0)</f>
        <v>1.0521739130434782</v>
      </c>
      <c r="AC23" s="11">
        <v>56.61</v>
      </c>
      <c r="AD23" s="15">
        <f>IFERROR(AC23/56.6,0)</f>
        <v>1.0001766784452297</v>
      </c>
      <c r="AE23" s="11">
        <v>21</v>
      </c>
      <c r="AF23" s="11">
        <v>27</v>
      </c>
      <c r="AG23" s="7">
        <f t="shared" si="22"/>
        <v>-1804.1100000000088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 t="shared" si="23"/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83</v>
      </c>
      <c r="C24" s="7">
        <v>16</v>
      </c>
      <c r="D24" s="7">
        <v>4</v>
      </c>
      <c r="E24" s="7">
        <v>51833</v>
      </c>
      <c r="F24" s="7">
        <v>43370</v>
      </c>
      <c r="G24" s="7">
        <v>72</v>
      </c>
      <c r="H24" s="9">
        <f t="shared" si="12"/>
        <v>1.6601337329951579E-3</v>
      </c>
      <c r="I24" s="9">
        <f>IFERROR((51833-F24)/51833,0)</f>
        <v>0.16327436189300254</v>
      </c>
      <c r="J24" s="7">
        <v>135420</v>
      </c>
      <c r="K24" s="11">
        <f t="shared" si="13"/>
        <v>78.060871570209827</v>
      </c>
      <c r="L24" s="11">
        <f>K24-81.1105</f>
        <v>-3.0496284297901752</v>
      </c>
      <c r="M24" s="11">
        <v>81</v>
      </c>
      <c r="N24" s="11">
        <f t="shared" si="14"/>
        <v>-2.9391284297901734</v>
      </c>
      <c r="O24" s="11">
        <f>IFERROR(16770338/51833,0)</f>
        <v>323.54557907124803</v>
      </c>
      <c r="P24" s="11">
        <v>0</v>
      </c>
      <c r="Q24" s="11">
        <f t="shared" si="15"/>
        <v>323.54557907124803</v>
      </c>
      <c r="R24" s="7">
        <v>19961</v>
      </c>
      <c r="S24" s="11">
        <f t="shared" si="16"/>
        <v>115.06225501498731</v>
      </c>
      <c r="T24" s="13">
        <f t="shared" si="17"/>
        <v>6.7842292470317123</v>
      </c>
      <c r="U24" s="7">
        <v>32721</v>
      </c>
      <c r="V24" s="11">
        <f t="shared" si="18"/>
        <v>188.61540235185612</v>
      </c>
      <c r="W24" s="11">
        <f t="shared" si="19"/>
        <v>1.6392465307349331</v>
      </c>
      <c r="X24" s="11">
        <v>295.27499999999998</v>
      </c>
      <c r="Y24" s="11">
        <f t="shared" si="20"/>
        <v>147.40067936789248</v>
      </c>
      <c r="Z24" s="11">
        <f t="shared" si="21"/>
        <v>43.523735600354449</v>
      </c>
      <c r="AA24" s="7">
        <v>1663</v>
      </c>
      <c r="AB24" s="15">
        <f>IFERROR(AA24/1970,0)</f>
        <v>0.84416243654822332</v>
      </c>
      <c r="AC24" s="11">
        <v>0</v>
      </c>
      <c r="AD24" s="15">
        <f>IFERROR(AC24/64.9,0)</f>
        <v>0</v>
      </c>
      <c r="AE24" s="11">
        <v>22</v>
      </c>
      <c r="AF24" s="11">
        <v>26</v>
      </c>
      <c r="AG24" s="7">
        <f t="shared" si="22"/>
        <v>-8922.8999999999887</v>
      </c>
      <c r="AH24" s="7">
        <v>26</v>
      </c>
      <c r="AI24" s="7">
        <v>16.1538461538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IFERROR(400/F24,0)</f>
        <v>9.2229651833064322E-3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82</v>
      </c>
      <c r="C25" s="7">
        <v>16</v>
      </c>
      <c r="D25" s="7">
        <v>4</v>
      </c>
      <c r="E25" s="7">
        <v>21623</v>
      </c>
      <c r="F25" s="7">
        <v>18592</v>
      </c>
      <c r="G25" s="7">
        <v>18</v>
      </c>
      <c r="H25" s="9">
        <f t="shared" si="12"/>
        <v>9.6815834767641998E-4</v>
      </c>
      <c r="I25" s="9">
        <f>IFERROR((21623-F25)/21623,0)</f>
        <v>0.1401748138556167</v>
      </c>
      <c r="J25" s="7">
        <v>58430</v>
      </c>
      <c r="K25" s="11">
        <f t="shared" si="13"/>
        <v>78.568739242685027</v>
      </c>
      <c r="L25" s="11">
        <f>K25-80.1827</f>
        <v>-1.6139607573149704</v>
      </c>
      <c r="M25" s="11">
        <v>87</v>
      </c>
      <c r="N25" s="11">
        <f t="shared" si="14"/>
        <v>-8.4312607573149734</v>
      </c>
      <c r="O25" s="11">
        <f>IFERROR(6923185/21623,0)</f>
        <v>320.17689497294549</v>
      </c>
      <c r="P25" s="11">
        <v>0</v>
      </c>
      <c r="Q25" s="11">
        <f t="shared" si="15"/>
        <v>320.17689497294549</v>
      </c>
      <c r="R25" s="7">
        <v>9334</v>
      </c>
      <c r="S25" s="11">
        <f t="shared" si="16"/>
        <v>125.51097246127365</v>
      </c>
      <c r="T25" s="13">
        <f t="shared" si="17"/>
        <v>6.2599100064281119</v>
      </c>
      <c r="U25" s="7">
        <v>16350</v>
      </c>
      <c r="V25" s="11">
        <f t="shared" si="18"/>
        <v>219.8526247848537</v>
      </c>
      <c r="W25" s="11">
        <f t="shared" si="19"/>
        <v>1.7516605956717379</v>
      </c>
      <c r="X25" s="11">
        <v>281.84500000000003</v>
      </c>
      <c r="Y25" s="11">
        <f t="shared" si="20"/>
        <v>159.74670545952418</v>
      </c>
      <c r="Z25" s="11">
        <f t="shared" si="21"/>
        <v>45.023810200239595</v>
      </c>
      <c r="AA25" s="7">
        <v>2105</v>
      </c>
      <c r="AB25" s="15">
        <f>IFERROR(AA25/1970,0)</f>
        <v>1.0685279187817258</v>
      </c>
      <c r="AC25" s="11">
        <v>65.010000000000005</v>
      </c>
      <c r="AD25" s="15">
        <f>IFERROR(AC25/64.8,0)</f>
        <v>1.0032407407407409</v>
      </c>
      <c r="AE25" s="11">
        <v>22</v>
      </c>
      <c r="AF25" s="11">
        <v>26</v>
      </c>
      <c r="AG25" s="7">
        <f t="shared" si="22"/>
        <v>-10972.779999999999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IFERROR(200/F25,0)</f>
        <v>1.0757314974182444E-2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70</v>
      </c>
      <c r="B26" s="5">
        <v>72</v>
      </c>
      <c r="C26" s="7"/>
      <c r="D26" s="7">
        <v>4</v>
      </c>
      <c r="E26" s="7">
        <v>47224</v>
      </c>
      <c r="F26" s="7">
        <v>39354</v>
      </c>
      <c r="G26" s="7">
        <v>121</v>
      </c>
      <c r="H26" s="9">
        <f t="shared" si="12"/>
        <v>3.0746556893835441E-3</v>
      </c>
      <c r="I26" s="9">
        <f>IFERROR((47224-F26)/47224,0)</f>
        <v>0.16665254955107572</v>
      </c>
      <c r="J26" s="7">
        <v>116620</v>
      </c>
      <c r="K26" s="11">
        <f t="shared" si="13"/>
        <v>74.08395588758448</v>
      </c>
      <c r="L26" s="11">
        <f>K26-72.8964</f>
        <v>1.1875558875844803</v>
      </c>
      <c r="M26" s="11">
        <v>82</v>
      </c>
      <c r="N26" s="11">
        <f t="shared" si="14"/>
        <v>-7.9160441124155199</v>
      </c>
      <c r="O26" s="11">
        <f>IFERROR(13343170/47224,0)</f>
        <v>282.55060985939355</v>
      </c>
      <c r="P26" s="11">
        <v>325</v>
      </c>
      <c r="Q26" s="11">
        <f t="shared" si="15"/>
        <v>-42.449390140606454</v>
      </c>
      <c r="R26" s="7">
        <v>20880</v>
      </c>
      <c r="S26" s="11">
        <f t="shared" si="16"/>
        <v>132.64217106266199</v>
      </c>
      <c r="T26" s="13">
        <f t="shared" si="17"/>
        <v>5.5852490421455938</v>
      </c>
      <c r="U26" s="7">
        <v>36900</v>
      </c>
      <c r="V26" s="11">
        <f t="shared" si="18"/>
        <v>234.4107333434975</v>
      </c>
      <c r="W26" s="11">
        <f t="shared" si="19"/>
        <v>1.767241379310345</v>
      </c>
      <c r="X26" s="11">
        <v>299.43</v>
      </c>
      <c r="Y26" s="11">
        <f t="shared" si="20"/>
        <v>179.0430457897445</v>
      </c>
      <c r="Z26" s="11">
        <f t="shared" si="21"/>
        <v>53.610859200823192</v>
      </c>
      <c r="AA26" s="7">
        <v>1597</v>
      </c>
      <c r="AB26" s="15">
        <f>IFERROR(AA26/1580,0)</f>
        <v>1.0107594936708861</v>
      </c>
      <c r="AC26" s="11">
        <v>0</v>
      </c>
      <c r="AD26" s="15">
        <f>IFERROR(AC26/63.4,0)</f>
        <v>0</v>
      </c>
      <c r="AE26" s="11">
        <v>18</v>
      </c>
      <c r="AF26" s="11">
        <v>31</v>
      </c>
      <c r="AG26" s="7">
        <f t="shared" si="22"/>
        <v>-21806.960000000025</v>
      </c>
      <c r="AH26" s="7">
        <v>42</v>
      </c>
      <c r="AI26" s="7">
        <v>9.5238095238000007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IFERROR(480/F26,0)</f>
        <v>1.2196981247141333E-2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103</v>
      </c>
      <c r="C27" s="7">
        <v>30</v>
      </c>
      <c r="D27" s="7">
        <v>4</v>
      </c>
      <c r="E27" s="7">
        <v>33376</v>
      </c>
      <c r="F27" s="7">
        <v>23712</v>
      </c>
      <c r="G27" s="7">
        <v>90</v>
      </c>
      <c r="H27" s="9">
        <f t="shared" si="12"/>
        <v>3.7955465587044533E-3</v>
      </c>
      <c r="I27" s="9">
        <f>IFERROR((33376-F27)/33376,0)</f>
        <v>0.28954937679769893</v>
      </c>
      <c r="J27" s="7">
        <v>0</v>
      </c>
      <c r="K27" s="11">
        <f t="shared" si="13"/>
        <v>0</v>
      </c>
      <c r="L27" s="11">
        <f>K27-0</f>
        <v>0</v>
      </c>
      <c r="M27" s="11">
        <v>72</v>
      </c>
      <c r="N27" s="11">
        <f t="shared" si="14"/>
        <v>-72</v>
      </c>
      <c r="O27" s="11">
        <f>IFERROR(13137833/33376,0)</f>
        <v>393.6311421380633</v>
      </c>
      <c r="P27" s="11">
        <v>0</v>
      </c>
      <c r="Q27" s="11">
        <f t="shared" si="15"/>
        <v>393.6311421380633</v>
      </c>
      <c r="R27" s="7">
        <v>14090</v>
      </c>
      <c r="S27" s="11">
        <f t="shared" si="16"/>
        <v>148.55347503373821</v>
      </c>
      <c r="T27" s="13">
        <f t="shared" si="17"/>
        <v>0</v>
      </c>
      <c r="U27" s="7">
        <v>16155</v>
      </c>
      <c r="V27" s="11">
        <f t="shared" si="18"/>
        <v>170.32515182186233</v>
      </c>
      <c r="W27" s="11">
        <f t="shared" si="19"/>
        <v>1.1465578424414475</v>
      </c>
      <c r="X27" s="11">
        <v>272.72000000000003</v>
      </c>
      <c r="Y27" s="11">
        <f t="shared" si="20"/>
        <v>0</v>
      </c>
      <c r="Z27" s="11">
        <f t="shared" si="21"/>
        <v>0</v>
      </c>
      <c r="AA27" s="7">
        <v>0</v>
      </c>
      <c r="AB27" s="15">
        <f>IFERROR(AA27/0,0)</f>
        <v>0</v>
      </c>
      <c r="AC27" s="11">
        <v>0</v>
      </c>
      <c r="AD27" s="15">
        <f>IFERROR(AC27/0,0)</f>
        <v>0</v>
      </c>
      <c r="AE27" s="11">
        <v>19</v>
      </c>
      <c r="AF27" s="11">
        <v>30</v>
      </c>
      <c r="AG27" s="7">
        <f t="shared" si="22"/>
        <v>-119508.48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103</v>
      </c>
      <c r="C28" s="7">
        <v>30</v>
      </c>
      <c r="D28" s="7">
        <v>4</v>
      </c>
      <c r="E28" s="7">
        <v>12390</v>
      </c>
      <c r="F28" s="7">
        <v>10375</v>
      </c>
      <c r="G28" s="7">
        <v>15</v>
      </c>
      <c r="H28" s="9">
        <f t="shared" si="12"/>
        <v>1.4457831325301205E-3</v>
      </c>
      <c r="I28" s="9">
        <f>IFERROR((12390-F28)/12390,0)</f>
        <v>0.16263115415657789</v>
      </c>
      <c r="J28" s="7">
        <v>0</v>
      </c>
      <c r="K28" s="11">
        <f t="shared" si="13"/>
        <v>0</v>
      </c>
      <c r="L28" s="11">
        <f>K28-0</f>
        <v>0</v>
      </c>
      <c r="M28" s="11">
        <v>72</v>
      </c>
      <c r="N28" s="11">
        <f t="shared" si="14"/>
        <v>-72</v>
      </c>
      <c r="O28" s="11">
        <f>IFERROR(5357978/12390,0)</f>
        <v>432.44374495560936</v>
      </c>
      <c r="P28" s="11">
        <v>0</v>
      </c>
      <c r="Q28" s="11">
        <f t="shared" si="15"/>
        <v>432.44374495560936</v>
      </c>
      <c r="R28" s="7">
        <v>5690</v>
      </c>
      <c r="S28" s="11">
        <f t="shared" si="16"/>
        <v>137.10843373493975</v>
      </c>
      <c r="T28" s="13">
        <f t="shared" si="17"/>
        <v>0</v>
      </c>
      <c r="U28" s="7">
        <v>10600</v>
      </c>
      <c r="V28" s="11">
        <f t="shared" si="18"/>
        <v>255.42168674698794</v>
      </c>
      <c r="W28" s="11">
        <f t="shared" si="19"/>
        <v>1.8629173989455186</v>
      </c>
      <c r="X28" s="11">
        <v>277.52999999999997</v>
      </c>
      <c r="Y28" s="11">
        <f t="shared" si="20"/>
        <v>0</v>
      </c>
      <c r="Z28" s="11">
        <f t="shared" si="21"/>
        <v>0</v>
      </c>
      <c r="AA28" s="7">
        <v>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18</v>
      </c>
      <c r="AF28" s="11">
        <v>30</v>
      </c>
      <c r="AG28" s="7">
        <f t="shared" si="22"/>
        <v>-52290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4</v>
      </c>
      <c r="E29" s="17">
        <f>SUM(E14:E28)</f>
        <v>519693</v>
      </c>
      <c r="F29" s="17">
        <f>SUM(F14:F28)</f>
        <v>462165</v>
      </c>
      <c r="G29" s="17">
        <f>SUM(G14:G28)</f>
        <v>695</v>
      </c>
      <c r="H29" s="18">
        <f t="shared" si="12"/>
        <v>1.5037919357805112E-3</v>
      </c>
      <c r="I29" s="18"/>
      <c r="J29" s="17">
        <f>SUM(J14:J28)</f>
        <v>1466230</v>
      </c>
      <c r="K29" s="19">
        <f t="shared" si="13"/>
        <v>79.313124100699966</v>
      </c>
      <c r="L29" s="19"/>
      <c r="M29" s="19">
        <f>IFERROR(SUMPRODUCT($F14:$F28,M14:M28)/$F29, 0)</f>
        <v>87.075774452846915</v>
      </c>
      <c r="N29" s="19">
        <f t="shared" si="14"/>
        <v>-7.7626503521469488</v>
      </c>
      <c r="O29" s="19">
        <f>IFERROR(SUMPRODUCT($E14:$E28,O14:O28)/$E29, 0)</f>
        <v>215.12002855532015</v>
      </c>
      <c r="P29" s="19">
        <f>IFERROR(SUMPRODUCT($E14:$E28,P14:P28)/$E29, 0)</f>
        <v>92.412535862518837</v>
      </c>
      <c r="Q29" s="19">
        <f>IFERROR(SUMPRODUCT($E14:$E28,Q14:Q28)/$E29, 0)</f>
        <v>122.70749269280132</v>
      </c>
      <c r="R29" s="17">
        <f>SUM(R14:R28)</f>
        <v>225260</v>
      </c>
      <c r="S29" s="19">
        <f>IFERROR(R29/D29/$F29*1000,0)</f>
        <v>121.85042138630143</v>
      </c>
      <c r="T29" s="20">
        <f t="shared" si="17"/>
        <v>6.509056201722454</v>
      </c>
      <c r="U29" s="17">
        <f>SUM(U14:U28)</f>
        <v>364336</v>
      </c>
      <c r="V29" s="19">
        <f>IFERROR(U29/D29/$F29*1000,0)</f>
        <v>197.08112903400303</v>
      </c>
      <c r="W29" s="19">
        <f t="shared" si="19"/>
        <v>1.6174021131137353</v>
      </c>
      <c r="X29" s="19">
        <f>IFERROR(SUMPRODUCT(R14:R28,X14:X28)/R29,0)</f>
        <v>296.50838228047593</v>
      </c>
      <c r="Y29" s="19">
        <f>IFERROR(($F29*S29)/($F29*K29)*100,0)</f>
        <v>153.63210410372179</v>
      </c>
      <c r="Z29" s="19">
        <f t="shared" si="21"/>
        <v>45.553206654140219</v>
      </c>
      <c r="AA29" s="17"/>
      <c r="AB29" s="21">
        <f>IFERROR(SUMPRODUCT($F14:$F28,AB14:AB28)/$F29,0)</f>
        <v>0.87047213063147355</v>
      </c>
      <c r="AC29" s="19"/>
      <c r="AD29" s="21">
        <f>AVERAGE(AD14:AD28)</f>
        <v>0.46656036507251636</v>
      </c>
      <c r="AE29" s="19"/>
      <c r="AF29" s="19"/>
      <c r="AG29" s="17">
        <f>SUM(AG14:AG28)</f>
        <v>-251133.77100000001</v>
      </c>
      <c r="AH29" s="17">
        <f>SUM(AH14:AH28)</f>
        <v>136</v>
      </c>
      <c r="AI29" s="17">
        <f>IFERROR(SUMPRODUCT(AH14:AH28,AI14:AI28)/AH29, 0)</f>
        <v>16.470588235282353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4</v>
      </c>
      <c r="E31" s="23">
        <f>E12+E29</f>
        <v>565898</v>
      </c>
      <c r="F31" s="23">
        <f>F12+F29</f>
        <v>503779</v>
      </c>
      <c r="G31" s="23">
        <f>G12+G29</f>
        <v>806</v>
      </c>
      <c r="H31" s="24">
        <f>IFERROR(G31/F31,0)</f>
        <v>1.5999078961211166E-3</v>
      </c>
      <c r="I31" s="23"/>
      <c r="J31" s="23">
        <f>J12+J29</f>
        <v>1595290</v>
      </c>
      <c r="K31" s="25">
        <f>IFERROR(J31/D31/F31*100,0)</f>
        <v>79.166162146496774</v>
      </c>
      <c r="L31" s="23"/>
      <c r="M31" s="25">
        <f>IFERROR($F$12/$F31*M$12,0)+IFERROR($F$29/$F31*M$29,0)</f>
        <v>87.02700549248776</v>
      </c>
      <c r="N31" s="25">
        <f>K31-M31</f>
        <v>-7.8608433459909861</v>
      </c>
      <c r="O31" s="23">
        <f>IFERROR($E$12/$E31*O$12,0)+IFERROR($E$29/$E31*O$29,0)</f>
        <v>213.38993776263564</v>
      </c>
      <c r="P31" s="23">
        <f>IFERROR($E$12/$E31*P$12,0)+IFERROR($E$29/$E31*P$29,0)</f>
        <v>102.62904268967199</v>
      </c>
      <c r="Q31" s="23">
        <f>IFERROR($E$12/$E31*Q$12,0)+IFERROR($E$29/$E31*Q$29,0)</f>
        <v>110.76089507296368</v>
      </c>
      <c r="R31" s="23">
        <f>R12+R29</f>
        <v>244982</v>
      </c>
      <c r="S31" s="25">
        <f>IFERROR(R31/D31/$F31*1000,0)</f>
        <v>121.57215763261271</v>
      </c>
      <c r="T31" s="26">
        <f>IFERROR(J31/R31,0)</f>
        <v>6.5118661779232756</v>
      </c>
      <c r="U31" s="23">
        <f>U12+U29</f>
        <v>372976</v>
      </c>
      <c r="V31" s="25">
        <f>IFERROR(U31/D31/$F31*1000,0)</f>
        <v>185.08909660783794</v>
      </c>
      <c r="W31" s="25">
        <f>IFERROR(V31/S31,0)</f>
        <v>1.5224628748234563</v>
      </c>
      <c r="X31" s="25">
        <f>IFERROR($F$12/$F31*X$12,0)+IFERROR($F$29/$F31*X$29,0)</f>
        <v>300.15030430962054</v>
      </c>
      <c r="Y31" s="25">
        <f>IFERROR(($F31*S31)/($F31*K31)*100,0)</f>
        <v>153.56580935127781</v>
      </c>
      <c r="Z31" s="25">
        <f>IFERROR(Y31*X31/1000,0)</f>
        <v>46.092824408339204</v>
      </c>
      <c r="AA31" s="23"/>
      <c r="AB31" s="27"/>
      <c r="AC31" s="23"/>
      <c r="AD31" s="27"/>
      <c r="AE31" s="23"/>
      <c r="AF31" s="23"/>
      <c r="AG31" s="23">
        <f>AG12+AG29</f>
        <v>-277208.946</v>
      </c>
      <c r="AH31" s="23">
        <f>AH12+AH29</f>
        <v>136</v>
      </c>
      <c r="AI31" s="23">
        <f>IFERROR(AH$12/AH31*AI$12,0)+IFERROR(AH$29/AH31*AI$29,0)</f>
        <v>16.470588235282353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27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61</v>
      </c>
      <c r="T34" s="32" t="s">
        <v>70</v>
      </c>
      <c r="U34" s="32" t="s">
        <v>71</v>
      </c>
      <c r="V34" s="32" t="s">
        <v>72</v>
      </c>
      <c r="W34" s="32" t="s">
        <v>62</v>
      </c>
      <c r="X34" s="32" t="s">
        <v>66</v>
      </c>
      <c r="Y34" s="32" t="s">
        <v>67</v>
      </c>
      <c r="Z34" s="32" t="s">
        <v>81</v>
      </c>
      <c r="AA34" s="32" t="s">
        <v>64</v>
      </c>
    </row>
    <row r="35" spans="1:27" ht="15" thickBot="1" x14ac:dyDescent="0.35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>
        <v>2.5000000000000001E-3</v>
      </c>
      <c r="T35" s="8">
        <v>5.3E-3</v>
      </c>
      <c r="U35" s="8">
        <v>6.3E-3</v>
      </c>
      <c r="V35" s="8">
        <v>2.7000000000000001E-3</v>
      </c>
      <c r="W35" s="8">
        <v>1.5E-3</v>
      </c>
      <c r="X35" s="8">
        <v>1.4E-3</v>
      </c>
      <c r="Y35" s="8">
        <v>2.8E-3</v>
      </c>
      <c r="Z35" s="8">
        <v>1.6999999999999999E-3</v>
      </c>
      <c r="AA35" s="8">
        <v>6.9999999999999999E-4</v>
      </c>
    </row>
    <row r="36" spans="1:27" ht="15" thickBot="1" x14ac:dyDescent="0.35">
      <c r="B36" s="22" t="s">
        <v>82</v>
      </c>
      <c r="C36" s="22"/>
      <c r="D36" s="24">
        <f t="shared" ref="D36:AA36" si="24">AVERAGE(D35:D35)</f>
        <v>2.8E-3</v>
      </c>
      <c r="E36" s="24">
        <f t="shared" si="24"/>
        <v>5.1000000000000004E-3</v>
      </c>
      <c r="F36" s="24">
        <f t="shared" si="24"/>
        <v>2.5999999999999999E-3</v>
      </c>
      <c r="G36" s="24">
        <f t="shared" si="24"/>
        <v>7.7999999999999996E-3</v>
      </c>
      <c r="H36" s="24">
        <f t="shared" si="24"/>
        <v>4.4999999999999997E-3</v>
      </c>
      <c r="I36" s="24">
        <f t="shared" si="24"/>
        <v>3.5000000000000001E-3</v>
      </c>
      <c r="J36" s="24">
        <f t="shared" si="24"/>
        <v>3.2000000000000002E-3</v>
      </c>
      <c r="K36" s="24">
        <f t="shared" si="24"/>
        <v>4.7999999999999996E-3</v>
      </c>
      <c r="L36" s="24">
        <f t="shared" si="24"/>
        <v>1.9E-3</v>
      </c>
      <c r="M36" s="24">
        <f t="shared" si="24"/>
        <v>2.3999999999999998E-3</v>
      </c>
      <c r="N36" s="24">
        <f t="shared" si="24"/>
        <v>2E-3</v>
      </c>
      <c r="O36" s="24">
        <f t="shared" si="24"/>
        <v>5.7999999999999996E-3</v>
      </c>
      <c r="P36" s="24">
        <f t="shared" si="24"/>
        <v>2.3999999999999998E-3</v>
      </c>
      <c r="Q36" s="24">
        <f t="shared" si="24"/>
        <v>3.3999999999999998E-3</v>
      </c>
      <c r="R36" s="24">
        <f t="shared" si="24"/>
        <v>1.6999999999999999E-3</v>
      </c>
      <c r="S36" s="24">
        <f t="shared" si="24"/>
        <v>2.5000000000000001E-3</v>
      </c>
      <c r="T36" s="24">
        <f t="shared" si="24"/>
        <v>5.3E-3</v>
      </c>
      <c r="U36" s="24">
        <f t="shared" si="24"/>
        <v>6.3E-3</v>
      </c>
      <c r="V36" s="24">
        <f t="shared" si="24"/>
        <v>2.7000000000000001E-3</v>
      </c>
      <c r="W36" s="24">
        <f t="shared" si="24"/>
        <v>1.5E-3</v>
      </c>
      <c r="X36" s="24">
        <f t="shared" si="24"/>
        <v>1.4E-3</v>
      </c>
      <c r="Y36" s="24">
        <f t="shared" si="24"/>
        <v>2.8E-3</v>
      </c>
      <c r="Z36" s="24">
        <f t="shared" si="24"/>
        <v>1.6999999999999999E-3</v>
      </c>
      <c r="AA36" s="24">
        <f t="shared" si="24"/>
        <v>6.9999999999999999E-4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7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5.44140625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45662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45668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104</v>
      </c>
      <c r="C6" s="7">
        <v>5</v>
      </c>
      <c r="D6" s="7">
        <v>7</v>
      </c>
      <c r="E6" s="7">
        <v>1197</v>
      </c>
      <c r="F6" s="7">
        <v>1124</v>
      </c>
      <c r="G6" s="7">
        <v>5</v>
      </c>
      <c r="H6" s="9">
        <f t="shared" ref="H6:H12" si="0">IFERROR(G6/F6,0)</f>
        <v>4.4483985765124559E-3</v>
      </c>
      <c r="I6" s="9">
        <f>IFERROR((1197-F6)/1197,0)</f>
        <v>6.0985797827903088E-2</v>
      </c>
      <c r="J6" s="7">
        <v>4890</v>
      </c>
      <c r="K6" s="11">
        <f t="shared" ref="K6:K12" si="1">IFERROR(J6/D6/F6*100,0)</f>
        <v>62.150482968988307</v>
      </c>
      <c r="L6" s="11">
        <f>K6-64.9696</f>
        <v>-2.8191170310116931</v>
      </c>
      <c r="M6" s="11">
        <v>27</v>
      </c>
      <c r="N6" s="11">
        <f t="shared" ref="N6:N12" si="2">K6-M6</f>
        <v>35.150482968988307</v>
      </c>
      <c r="O6" s="11">
        <f>IFERROR(69240/1197,0)</f>
        <v>57.844611528822057</v>
      </c>
      <c r="P6" s="11">
        <v>0</v>
      </c>
      <c r="Q6" s="11">
        <f t="shared" ref="Q6:Q11" si="3">IFERROR(O6-P6,0)</f>
        <v>57.844611528822057</v>
      </c>
      <c r="R6" s="7">
        <v>878</v>
      </c>
      <c r="S6" s="11">
        <f t="shared" ref="S6:S11" si="4">IFERROR(R6/D6/F6*1000,0)</f>
        <v>111.5912557193696</v>
      </c>
      <c r="T6" s="13">
        <f t="shared" ref="T6:T12" si="5">IFERROR(J6/R6,0)</f>
        <v>5.5694760820045559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179.55010224948879</v>
      </c>
      <c r="Z6" s="11">
        <f t="shared" ref="Z6:Z12" si="9">IFERROR(Y6*X6/1000,0)</f>
        <v>53.304834355828227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38</v>
      </c>
      <c r="AG6" s="7">
        <f t="shared" ref="AG6:AG11" si="10">IF(M6=0,0,IFERROR(N6/100*7*F6,0))</f>
        <v>2765.64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64</v>
      </c>
      <c r="C7" s="7"/>
      <c r="D7" s="7">
        <v>7</v>
      </c>
      <c r="E7" s="7">
        <v>14440</v>
      </c>
      <c r="F7" s="7">
        <v>12542</v>
      </c>
      <c r="G7" s="7">
        <v>79</v>
      </c>
      <c r="H7" s="9">
        <f t="shared" si="0"/>
        <v>6.2988359113379045E-3</v>
      </c>
      <c r="I7" s="9">
        <f>IFERROR((14440-F7)/14440,0)</f>
        <v>0.1314404432132964</v>
      </c>
      <c r="J7" s="7">
        <v>63450</v>
      </c>
      <c r="K7" s="11">
        <f t="shared" si="1"/>
        <v>72.271453630088615</v>
      </c>
      <c r="L7" s="11">
        <f>K7-75.2735</f>
        <v>-3.0020463699113833</v>
      </c>
      <c r="M7" s="11">
        <v>84</v>
      </c>
      <c r="N7" s="11">
        <f t="shared" si="2"/>
        <v>-11.728546369911385</v>
      </c>
      <c r="O7" s="11">
        <f>IFERROR(3698250/14440,0)</f>
        <v>256.11149584487532</v>
      </c>
      <c r="P7" s="11">
        <v>281</v>
      </c>
      <c r="Q7" s="11">
        <f t="shared" si="3"/>
        <v>-24.888504155124679</v>
      </c>
      <c r="R7" s="7">
        <v>10000</v>
      </c>
      <c r="S7" s="11">
        <f t="shared" si="4"/>
        <v>113.90300020502541</v>
      </c>
      <c r="T7" s="13">
        <f t="shared" si="5"/>
        <v>6.3449999999999998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157.60441292356188</v>
      </c>
      <c r="Z7" s="11">
        <f t="shared" si="9"/>
        <v>58.810086682427112</v>
      </c>
      <c r="AA7" s="7">
        <v>2010</v>
      </c>
      <c r="AB7" s="15">
        <f>IFERROR(AA7/1960,0)</f>
        <v>1.0255102040816326</v>
      </c>
      <c r="AC7" s="11">
        <v>0</v>
      </c>
      <c r="AD7" s="15">
        <f>IFERROR(AC7/63.85,0)</f>
        <v>0</v>
      </c>
      <c r="AE7" s="11">
        <v>0</v>
      </c>
      <c r="AF7" s="11">
        <v>38</v>
      </c>
      <c r="AG7" s="7">
        <f t="shared" si="10"/>
        <v>-10296.960000000001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64</v>
      </c>
      <c r="C8" s="7"/>
      <c r="D8" s="7">
        <v>7</v>
      </c>
      <c r="E8" s="7">
        <v>16063</v>
      </c>
      <c r="F8" s="7">
        <v>14192</v>
      </c>
      <c r="G8" s="7">
        <v>64</v>
      </c>
      <c r="H8" s="9">
        <f t="shared" si="0"/>
        <v>4.5095828635851182E-3</v>
      </c>
      <c r="I8" s="9">
        <f>IFERROR((16063-F8)/16063,0)</f>
        <v>0.11647886447114486</v>
      </c>
      <c r="J8" s="7">
        <v>67680</v>
      </c>
      <c r="K8" s="11">
        <f t="shared" si="1"/>
        <v>68.126912546303757</v>
      </c>
      <c r="L8" s="11">
        <f>K8-70.6403</f>
        <v>-2.5133874536962395</v>
      </c>
      <c r="M8" s="11">
        <v>86</v>
      </c>
      <c r="N8" s="11">
        <f t="shared" si="2"/>
        <v>-17.873087453696243</v>
      </c>
      <c r="O8" s="11">
        <f>IFERROR(3835980/16063,0)</f>
        <v>238.80844176056777</v>
      </c>
      <c r="P8" s="11">
        <v>280</v>
      </c>
      <c r="Q8" s="11">
        <f t="shared" si="3"/>
        <v>-41.191558239432226</v>
      </c>
      <c r="R8" s="7">
        <v>10740</v>
      </c>
      <c r="S8" s="11">
        <f t="shared" si="4"/>
        <v>108.10919632791109</v>
      </c>
      <c r="T8" s="13">
        <f t="shared" si="5"/>
        <v>6.3016759776536313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158.68794326241132</v>
      </c>
      <c r="Z8" s="11">
        <f t="shared" si="9"/>
        <v>58.714539007092192</v>
      </c>
      <c r="AA8" s="7">
        <v>1590</v>
      </c>
      <c r="AB8" s="15">
        <f>IFERROR(AA8/1580,0)</f>
        <v>1.0063291139240507</v>
      </c>
      <c r="AC8" s="11">
        <v>0</v>
      </c>
      <c r="AD8" s="15">
        <f>IFERROR(AC8/63.1,0)</f>
        <v>0</v>
      </c>
      <c r="AE8" s="11">
        <v>0</v>
      </c>
      <c r="AF8" s="11">
        <v>38</v>
      </c>
      <c r="AG8" s="7">
        <f t="shared" si="10"/>
        <v>-17755.839999999997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25</v>
      </c>
      <c r="C9" s="7"/>
      <c r="D9" s="7">
        <v>7</v>
      </c>
      <c r="E9" s="7">
        <v>4686</v>
      </c>
      <c r="F9" s="7">
        <v>4411</v>
      </c>
      <c r="G9" s="7">
        <v>14</v>
      </c>
      <c r="H9" s="9">
        <f t="shared" si="0"/>
        <v>3.1738834731353436E-3</v>
      </c>
      <c r="I9" s="9">
        <f>IFERROR((4686-F9)/4686,0)</f>
        <v>5.8685446009389672E-2</v>
      </c>
      <c r="J9" s="7">
        <v>28440</v>
      </c>
      <c r="K9" s="11">
        <f t="shared" si="1"/>
        <v>92.107393853029762</v>
      </c>
      <c r="L9" s="11">
        <f>K9-92.1002</f>
        <v>7.1938530297614989E-3</v>
      </c>
      <c r="M9" s="11">
        <v>94</v>
      </c>
      <c r="N9" s="11">
        <f t="shared" si="2"/>
        <v>-1.8926061469702375</v>
      </c>
      <c r="O9" s="11">
        <f>IFERROR(142260/4686,0)</f>
        <v>30.358514724711906</v>
      </c>
      <c r="P9" s="11">
        <v>38</v>
      </c>
      <c r="Q9" s="11">
        <f t="shared" si="3"/>
        <v>-7.641485275288094</v>
      </c>
      <c r="R9" s="7">
        <v>4487</v>
      </c>
      <c r="S9" s="11">
        <f t="shared" si="4"/>
        <v>145.31852187712539</v>
      </c>
      <c r="T9" s="13">
        <f t="shared" si="5"/>
        <v>6.3383106752841538</v>
      </c>
      <c r="U9" s="7">
        <v>5040</v>
      </c>
      <c r="V9" s="11">
        <f t="shared" si="6"/>
        <v>163.22829290410337</v>
      </c>
      <c r="W9" s="11">
        <f t="shared" si="7"/>
        <v>1.1232449297971916</v>
      </c>
      <c r="X9" s="11">
        <v>362.76</v>
      </c>
      <c r="Y9" s="11">
        <f t="shared" si="8"/>
        <v>157.77074542897333</v>
      </c>
      <c r="Z9" s="11">
        <f t="shared" si="9"/>
        <v>57.232915611814363</v>
      </c>
      <c r="AA9" s="7">
        <v>1774</v>
      </c>
      <c r="AB9" s="15">
        <f>IFERROR(AA9/1850,0)</f>
        <v>0.95891891891891889</v>
      </c>
      <c r="AC9" s="11">
        <v>0</v>
      </c>
      <c r="AD9" s="15">
        <f>IFERROR(AC9/57.8,0)</f>
        <v>0</v>
      </c>
      <c r="AE9" s="11">
        <v>19</v>
      </c>
      <c r="AF9" s="11">
        <v>33</v>
      </c>
      <c r="AG9" s="7">
        <f t="shared" si="10"/>
        <v>-584.38000000000022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64</v>
      </c>
      <c r="C10" s="7"/>
      <c r="D10" s="7">
        <v>7</v>
      </c>
      <c r="E10" s="7">
        <v>5000</v>
      </c>
      <c r="F10" s="7">
        <v>4403</v>
      </c>
      <c r="G10" s="7">
        <v>12</v>
      </c>
      <c r="H10" s="9">
        <f t="shared" si="0"/>
        <v>2.7254144901203725E-3</v>
      </c>
      <c r="I10" s="9">
        <f>IFERROR((5000-F10)/5000,0)</f>
        <v>0.11940000000000001</v>
      </c>
      <c r="J10" s="7">
        <v>29550</v>
      </c>
      <c r="K10" s="11">
        <f t="shared" si="1"/>
        <v>95.876188313163098</v>
      </c>
      <c r="L10" s="11">
        <f>K10-90.0565</f>
        <v>5.8196883131630983</v>
      </c>
      <c r="M10" s="11">
        <v>84</v>
      </c>
      <c r="N10" s="11">
        <f t="shared" si="2"/>
        <v>11.876188313163098</v>
      </c>
      <c r="O10" s="11">
        <f>IFERROR(1281580/5000,0)</f>
        <v>256.31599999999997</v>
      </c>
      <c r="P10" s="11">
        <v>281</v>
      </c>
      <c r="Q10" s="11">
        <f t="shared" si="3"/>
        <v>-24.684000000000026</v>
      </c>
      <c r="R10" s="7">
        <v>4522</v>
      </c>
      <c r="S10" s="11">
        <f t="shared" si="4"/>
        <v>146.71814671814673</v>
      </c>
      <c r="T10" s="13">
        <f t="shared" si="5"/>
        <v>6.5347191508182219</v>
      </c>
      <c r="U10" s="7">
        <v>5040</v>
      </c>
      <c r="V10" s="11">
        <f t="shared" si="6"/>
        <v>163.52486940722235</v>
      </c>
      <c r="W10" s="11">
        <f t="shared" si="7"/>
        <v>1.1145510835913313</v>
      </c>
      <c r="X10" s="11">
        <v>374.81</v>
      </c>
      <c r="Y10" s="11">
        <f t="shared" si="8"/>
        <v>153.02876480541457</v>
      </c>
      <c r="Z10" s="11">
        <f t="shared" si="9"/>
        <v>57.356711336717431</v>
      </c>
      <c r="AA10" s="7">
        <v>2030</v>
      </c>
      <c r="AB10" s="15">
        <f>IFERROR(AA10/1960,0)</f>
        <v>1.0357142857142858</v>
      </c>
      <c r="AC10" s="11">
        <v>0</v>
      </c>
      <c r="AD10" s="15">
        <f>IFERROR(AC10/63.85,0)</f>
        <v>0</v>
      </c>
      <c r="AE10" s="11">
        <v>19</v>
      </c>
      <c r="AF10" s="11">
        <v>32</v>
      </c>
      <c r="AG10" s="7">
        <f t="shared" si="10"/>
        <v>3660.3599999999988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25</v>
      </c>
      <c r="C11" s="7"/>
      <c r="D11" s="7">
        <v>7</v>
      </c>
      <c r="E11" s="7">
        <v>4819</v>
      </c>
      <c r="F11" s="7">
        <v>4758</v>
      </c>
      <c r="G11" s="7">
        <v>10</v>
      </c>
      <c r="H11" s="9">
        <f t="shared" si="0"/>
        <v>2.101723413198823E-3</v>
      </c>
      <c r="I11" s="9">
        <f>IFERROR((4819-F11)/4819,0)</f>
        <v>1.2658227848101266E-2</v>
      </c>
      <c r="J11" s="7">
        <v>29010</v>
      </c>
      <c r="K11" s="11">
        <f t="shared" si="1"/>
        <v>87.101423166996952</v>
      </c>
      <c r="L11" s="11">
        <f>K11-89.8516</f>
        <v>-2.7501768330030529</v>
      </c>
      <c r="M11" s="11">
        <v>94</v>
      </c>
      <c r="N11" s="11">
        <f t="shared" si="2"/>
        <v>-6.8985768330030481</v>
      </c>
      <c r="O11" s="11">
        <f>IFERROR(156276/4819,0)</f>
        <v>32.429134675243823</v>
      </c>
      <c r="P11" s="11">
        <v>38</v>
      </c>
      <c r="Q11" s="11">
        <f t="shared" si="3"/>
        <v>-5.570865324756177</v>
      </c>
      <c r="R11" s="7">
        <v>3726</v>
      </c>
      <c r="S11" s="11">
        <f t="shared" si="4"/>
        <v>111.87173482255452</v>
      </c>
      <c r="T11" s="13">
        <f t="shared" si="5"/>
        <v>7.7858293075684379</v>
      </c>
      <c r="U11" s="7">
        <v>5040</v>
      </c>
      <c r="V11" s="11">
        <f t="shared" si="6"/>
        <v>151.32408575031525</v>
      </c>
      <c r="W11" s="11">
        <f t="shared" si="7"/>
        <v>1.3526570048309174</v>
      </c>
      <c r="X11" s="11">
        <v>362.76</v>
      </c>
      <c r="Y11" s="11">
        <f t="shared" si="8"/>
        <v>128.43846949327821</v>
      </c>
      <c r="Z11" s="11">
        <f t="shared" si="9"/>
        <v>46.592339193381605</v>
      </c>
      <c r="AA11" s="7">
        <v>0</v>
      </c>
      <c r="AB11" s="15">
        <f>IFERROR(AA11/1850,0)</f>
        <v>0</v>
      </c>
      <c r="AC11" s="11">
        <v>0</v>
      </c>
      <c r="AD11" s="15">
        <f>IFERROR(AC11/57.8,0)</f>
        <v>0</v>
      </c>
      <c r="AE11" s="11">
        <v>17</v>
      </c>
      <c r="AF11" s="11">
        <v>32</v>
      </c>
      <c r="AG11" s="7">
        <f t="shared" si="10"/>
        <v>-2297.6399999999953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41430</v>
      </c>
      <c r="G12" s="17">
        <f>SUM(G6:G11)</f>
        <v>184</v>
      </c>
      <c r="H12" s="18">
        <f t="shared" si="0"/>
        <v>4.441226164615013E-3</v>
      </c>
      <c r="I12" s="18"/>
      <c r="J12" s="17">
        <f>SUM(J6:J11)</f>
        <v>223020</v>
      </c>
      <c r="K12" s="19">
        <f t="shared" si="1"/>
        <v>76.900796524257785</v>
      </c>
      <c r="L12" s="19"/>
      <c r="M12" s="19">
        <f>IFERROR(SUMPRODUCT($F6:$F11,M6:M11)/$F12, 0)</f>
        <v>85.351822350953412</v>
      </c>
      <c r="N12" s="19">
        <f t="shared" si="2"/>
        <v>-8.4510258266956271</v>
      </c>
      <c r="O12" s="19">
        <f>IFERROR(SUMPRODUCT($E6:$E11,O6:O11)/$E12, 0)</f>
        <v>198.75740720701222</v>
      </c>
      <c r="P12" s="19">
        <f>IFERROR(SUMPRODUCT($E6:$E11,P6:P11)/$E12, 0)</f>
        <v>223.38426577210259</v>
      </c>
      <c r="Q12" s="19">
        <f>IFERROR(SUMPRODUCT($E6:$E11,Q6:Q11)/$E12, 0)</f>
        <v>-24.62685856509037</v>
      </c>
      <c r="R12" s="17">
        <f>SUM(R6:R11)</f>
        <v>34353</v>
      </c>
      <c r="S12" s="19">
        <f>IFERROR(R12/D12/$F12*1000,0)</f>
        <v>118.45453605048102</v>
      </c>
      <c r="T12" s="20">
        <f t="shared" si="5"/>
        <v>6.4920094314906995</v>
      </c>
      <c r="U12" s="17">
        <f>SUM(U6:U11)</f>
        <v>15120</v>
      </c>
      <c r="V12" s="19">
        <f>IFERROR(U12/D12/$F12*1000,0)</f>
        <v>52.136133236784943</v>
      </c>
      <c r="W12" s="19">
        <f t="shared" si="7"/>
        <v>0.44013623264343726</v>
      </c>
      <c r="X12" s="19">
        <f>IFERROR(SUMPRODUCT(R6:R11,X6:X11)/R12,0)</f>
        <v>367.95037813291412</v>
      </c>
      <c r="Y12" s="19">
        <f>IFERROR(($F12*S12)/($F12*K12)*100,0)</f>
        <v>154.03551251008881</v>
      </c>
      <c r="Z12" s="19">
        <f t="shared" si="9"/>
        <v>56.677425073984402</v>
      </c>
      <c r="AA12" s="17"/>
      <c r="AB12" s="21">
        <f>IFERROR(SUMPRODUCT($F6:$F11,AB6:AB11)/$F12,0)</f>
        <v>0.86733799458733574</v>
      </c>
      <c r="AC12" s="19"/>
      <c r="AD12" s="21">
        <f>AVERAGE(AD6:AD11)</f>
        <v>0</v>
      </c>
      <c r="AE12" s="19"/>
      <c r="AF12" s="19"/>
      <c r="AG12" s="17">
        <f>SUM(AG6:AG11)</f>
        <v>-24508.819999999996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64</v>
      </c>
      <c r="C14" s="6"/>
      <c r="D14" s="6">
        <v>7</v>
      </c>
      <c r="E14" s="6">
        <v>21388</v>
      </c>
      <c r="F14" s="6">
        <v>17400</v>
      </c>
      <c r="G14" s="6">
        <v>59</v>
      </c>
      <c r="H14" s="8">
        <f t="shared" ref="H14:H29" si="12">IFERROR(G14/F14,0)</f>
        <v>3.3908045977011493E-3</v>
      </c>
      <c r="I14" s="8">
        <f>IFERROR((21388-F14)/21388,0)</f>
        <v>0.18645969702636991</v>
      </c>
      <c r="J14" s="6">
        <v>53370</v>
      </c>
      <c r="K14" s="10">
        <f t="shared" ref="K14:K29" si="13">IFERROR(J14/D14/F14*100,0)</f>
        <v>43.817733990147786</v>
      </c>
      <c r="L14" s="10">
        <f>K14-74.3047</f>
        <v>-30.48696600985221</v>
      </c>
      <c r="M14" s="10">
        <v>86</v>
      </c>
      <c r="N14" s="10">
        <f t="shared" ref="N14:N29" si="14">K14-M14</f>
        <v>-42.182266009852214</v>
      </c>
      <c r="O14" s="10">
        <f>IFERROR(4134960/21388,0)</f>
        <v>193.33083972320927</v>
      </c>
      <c r="P14" s="10">
        <v>280</v>
      </c>
      <c r="Q14" s="10">
        <f t="shared" ref="Q14:Q28" si="15">IFERROR(O14-P14,0)</f>
        <v>-86.669160276790734</v>
      </c>
      <c r="R14" s="6">
        <v>1741</v>
      </c>
      <c r="S14" s="10">
        <f t="shared" ref="S14:S28" si="16">IFERROR(R14/D14/F14*1000,0)</f>
        <v>14.293924466338259</v>
      </c>
      <c r="T14" s="12">
        <f t="shared" ref="T14:T29" si="17">IFERROR(J14/R14,0)</f>
        <v>30.654796094198737</v>
      </c>
      <c r="U14" s="6">
        <v>22470</v>
      </c>
      <c r="V14" s="10">
        <f t="shared" ref="V14:V28" si="18">IFERROR(U14/D14/F14*1000,0)</f>
        <v>184.48275862068965</v>
      </c>
      <c r="W14" s="10">
        <f t="shared" ref="W14:W29" si="19">IFERROR(V14/S14,0)</f>
        <v>12.906375646180356</v>
      </c>
      <c r="X14" s="10">
        <v>275.57</v>
      </c>
      <c r="Y14" s="10">
        <f t="shared" ref="Y14:Y28" si="20">IFERROR((F14*S14)/(F14*K14)*100,0)</f>
        <v>32.621322840547123</v>
      </c>
      <c r="Z14" s="10">
        <f t="shared" ref="Z14:Z29" si="21">IFERROR(Y14*X14/1000,0)</f>
        <v>8.98945793516957</v>
      </c>
      <c r="AA14" s="6">
        <v>1640</v>
      </c>
      <c r="AB14" s="14">
        <f>IFERROR(AA14/1580,0)</f>
        <v>1.0379746835443038</v>
      </c>
      <c r="AC14" s="10">
        <v>0</v>
      </c>
      <c r="AD14" s="14">
        <f>IFERROR(AC14/63.1,0)</f>
        <v>0</v>
      </c>
      <c r="AE14" s="10">
        <v>23</v>
      </c>
      <c r="AF14" s="10">
        <v>25</v>
      </c>
      <c r="AG14" s="6">
        <f t="shared" ref="AG14:AG28" si="22">IF(M14=0,0,IFERROR(N14/100*7*F14,0))</f>
        <v>-51378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25</v>
      </c>
      <c r="C15" s="7"/>
      <c r="D15" s="7">
        <v>7</v>
      </c>
      <c r="E15" s="7">
        <v>10225</v>
      </c>
      <c r="F15" s="7">
        <v>9829</v>
      </c>
      <c r="G15" s="7">
        <v>130</v>
      </c>
      <c r="H15" s="9">
        <f t="shared" si="12"/>
        <v>1.3226167463628039E-2</v>
      </c>
      <c r="I15" s="9">
        <f>IFERROR((10225-F15)/10225,0)</f>
        <v>3.8728606356968218E-2</v>
      </c>
      <c r="J15" s="7">
        <v>54120</v>
      </c>
      <c r="K15" s="11">
        <f t="shared" si="13"/>
        <v>78.659360783686765</v>
      </c>
      <c r="L15" s="11">
        <f>K15-77.5888</f>
        <v>1.0705607836867586</v>
      </c>
      <c r="M15" s="11">
        <v>94</v>
      </c>
      <c r="N15" s="11">
        <f t="shared" si="14"/>
        <v>-15.340639216313235</v>
      </c>
      <c r="O15" s="11">
        <f>IFERROR(316920/10225,0)</f>
        <v>30.994621026894865</v>
      </c>
      <c r="P15" s="11">
        <v>38</v>
      </c>
      <c r="Q15" s="11">
        <f t="shared" si="15"/>
        <v>-7.0053789731051346</v>
      </c>
      <c r="R15" s="7">
        <v>8020</v>
      </c>
      <c r="S15" s="11">
        <f t="shared" si="16"/>
        <v>116.56468467944713</v>
      </c>
      <c r="T15" s="13">
        <f t="shared" si="17"/>
        <v>6.7481296758104738</v>
      </c>
      <c r="U15" s="7">
        <v>12640</v>
      </c>
      <c r="V15" s="11">
        <f t="shared" si="18"/>
        <v>183.7129194947895</v>
      </c>
      <c r="W15" s="11">
        <f t="shared" si="19"/>
        <v>1.576059850374065</v>
      </c>
      <c r="X15" s="11">
        <v>305.19428571430001</v>
      </c>
      <c r="Y15" s="11">
        <f t="shared" si="20"/>
        <v>148.18920916481895</v>
      </c>
      <c r="Z15" s="11">
        <f t="shared" si="21"/>
        <v>45.226499841623919</v>
      </c>
      <c r="AA15" s="7">
        <v>1760</v>
      </c>
      <c r="AB15" s="15">
        <f>IFERROR(AA15/1850,0)</f>
        <v>0.9513513513513514</v>
      </c>
      <c r="AC15" s="11">
        <v>0</v>
      </c>
      <c r="AD15" s="15">
        <f>IFERROR(AC15/57.8,0)</f>
        <v>0</v>
      </c>
      <c r="AE15" s="11">
        <v>22</v>
      </c>
      <c r="AF15" s="11">
        <v>32</v>
      </c>
      <c r="AG15" s="7">
        <f t="shared" si="22"/>
        <v>-10554.819999999994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53</v>
      </c>
      <c r="C16" s="7"/>
      <c r="D16" s="7">
        <v>7</v>
      </c>
      <c r="E16" s="7">
        <v>56050</v>
      </c>
      <c r="F16" s="7">
        <v>52318</v>
      </c>
      <c r="G16" s="7">
        <v>124</v>
      </c>
      <c r="H16" s="9">
        <f t="shared" si="12"/>
        <v>2.37012118200237E-3</v>
      </c>
      <c r="I16" s="9">
        <f>IFERROR((56050-F16)/56050,0)</f>
        <v>6.6583407671721676E-2</v>
      </c>
      <c r="J16" s="7">
        <v>360070</v>
      </c>
      <c r="K16" s="11">
        <f t="shared" si="13"/>
        <v>98.319070737741171</v>
      </c>
      <c r="L16" s="11">
        <f>K16-92.5518</f>
        <v>5.7672707377411712</v>
      </c>
      <c r="M16" s="11">
        <v>93.2</v>
      </c>
      <c r="N16" s="11">
        <f t="shared" si="14"/>
        <v>5.1190707377411684</v>
      </c>
      <c r="O16" s="11">
        <f>IFERROR(11793791/56050,0)</f>
        <v>210.41553969669937</v>
      </c>
      <c r="P16" s="11">
        <v>214</v>
      </c>
      <c r="Q16" s="11">
        <f t="shared" si="15"/>
        <v>-3.5844603033006308</v>
      </c>
      <c r="R16" s="7">
        <v>42620</v>
      </c>
      <c r="S16" s="11">
        <f t="shared" si="16"/>
        <v>116.37622670154495</v>
      </c>
      <c r="T16" s="13">
        <f t="shared" si="17"/>
        <v>8.4483810417644296</v>
      </c>
      <c r="U16" s="7">
        <v>64150</v>
      </c>
      <c r="V16" s="11">
        <f t="shared" si="18"/>
        <v>175.16506201088944</v>
      </c>
      <c r="W16" s="11">
        <f t="shared" si="19"/>
        <v>1.5051618958235569</v>
      </c>
      <c r="X16" s="11">
        <v>304.75714285710001</v>
      </c>
      <c r="Y16" s="11">
        <f t="shared" si="20"/>
        <v>118.36587330241343</v>
      </c>
      <c r="Z16" s="11">
        <f t="shared" si="21"/>
        <v>36.07284535942901</v>
      </c>
      <c r="AA16" s="7">
        <v>1756</v>
      </c>
      <c r="AB16" s="15">
        <f>IFERROR(AA16/1675,0)</f>
        <v>1.0483582089552239</v>
      </c>
      <c r="AC16" s="11">
        <v>0</v>
      </c>
      <c r="AD16" s="15">
        <f>IFERROR(AC16/62.85,0)</f>
        <v>0</v>
      </c>
      <c r="AE16" s="11">
        <v>22</v>
      </c>
      <c r="AF16" s="11">
        <v>27</v>
      </c>
      <c r="AG16" s="7">
        <f t="shared" si="22"/>
        <v>18747.367999999969</v>
      </c>
      <c r="AH16" s="7">
        <v>27</v>
      </c>
      <c r="AI16" s="7">
        <v>21.481481481500001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IFERROR(770/F16,0)</f>
        <v>1.4717687985014717E-2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127</v>
      </c>
      <c r="C17" s="7">
        <v>11</v>
      </c>
      <c r="D17" s="7">
        <v>7</v>
      </c>
      <c r="E17" s="7">
        <v>17433</v>
      </c>
      <c r="F17" s="7">
        <v>16528</v>
      </c>
      <c r="G17" s="7">
        <v>69</v>
      </c>
      <c r="H17" s="9">
        <f t="shared" si="12"/>
        <v>4.1747337850919653E-3</v>
      </c>
      <c r="I17" s="9">
        <f>IFERROR((17433-F17)/17433,0)</f>
        <v>5.19130384902197E-2</v>
      </c>
      <c r="J17" s="7">
        <v>79180</v>
      </c>
      <c r="K17" s="11">
        <f t="shared" si="13"/>
        <v>68.437975383764339</v>
      </c>
      <c r="L17" s="11">
        <f>K17-66.8451</f>
        <v>1.592875383764337</v>
      </c>
      <c r="M17" s="11">
        <v>82</v>
      </c>
      <c r="N17" s="11">
        <f t="shared" si="14"/>
        <v>-13.562024616235661</v>
      </c>
      <c r="O17" s="11">
        <f>IFERROR(790630/17433,0)</f>
        <v>45.352492399472268</v>
      </c>
      <c r="P17" s="11">
        <v>0</v>
      </c>
      <c r="Q17" s="11">
        <f t="shared" si="15"/>
        <v>45.352492399472268</v>
      </c>
      <c r="R17" s="7">
        <v>20920</v>
      </c>
      <c r="S17" s="11">
        <f t="shared" si="16"/>
        <v>180.81869727561886</v>
      </c>
      <c r="T17" s="13">
        <f t="shared" si="17"/>
        <v>3.7848948374760996</v>
      </c>
      <c r="U17" s="7">
        <v>25970</v>
      </c>
      <c r="V17" s="11">
        <f t="shared" si="18"/>
        <v>224.46757018393029</v>
      </c>
      <c r="W17" s="11">
        <f t="shared" si="19"/>
        <v>1.2413957934990441</v>
      </c>
      <c r="X17" s="11">
        <v>297.71285714290002</v>
      </c>
      <c r="Y17" s="11">
        <f t="shared" si="20"/>
        <v>264.2081333670119</v>
      </c>
      <c r="Z17" s="11">
        <f t="shared" si="21"/>
        <v>78.65815826508549</v>
      </c>
      <c r="AA17" s="7">
        <v>2358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17</v>
      </c>
      <c r="AF17" s="11">
        <v>32</v>
      </c>
      <c r="AG17" s="7">
        <f t="shared" si="22"/>
        <v>-15690.72000000001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 t="shared" ref="AO17:AO23" si="23"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46</v>
      </c>
      <c r="C18" s="7"/>
      <c r="D18" s="7">
        <v>7</v>
      </c>
      <c r="E18" s="7">
        <v>51536</v>
      </c>
      <c r="F18" s="7">
        <v>49504</v>
      </c>
      <c r="G18" s="7">
        <v>85</v>
      </c>
      <c r="H18" s="9">
        <f t="shared" si="12"/>
        <v>1.717032967032967E-3</v>
      </c>
      <c r="I18" s="9">
        <f>IFERROR((51536-F18)/51536,0)</f>
        <v>3.942874883576529E-2</v>
      </c>
      <c r="J18" s="7">
        <v>326840</v>
      </c>
      <c r="K18" s="11">
        <f t="shared" si="13"/>
        <v>94.318496629421006</v>
      </c>
      <c r="L18" s="11">
        <f>K18-92.0363</f>
        <v>2.2821966294210085</v>
      </c>
      <c r="M18" s="11">
        <v>94.7</v>
      </c>
      <c r="N18" s="11">
        <f t="shared" si="14"/>
        <v>-0.38150337057899719</v>
      </c>
      <c r="O18" s="11">
        <f>IFERROR(8322190/51536,0)</f>
        <v>161.48304098106178</v>
      </c>
      <c r="P18" s="11">
        <v>170</v>
      </c>
      <c r="Q18" s="11">
        <f t="shared" si="15"/>
        <v>-8.5169590189382234</v>
      </c>
      <c r="R18" s="7">
        <v>41600</v>
      </c>
      <c r="S18" s="11">
        <f t="shared" si="16"/>
        <v>120.04801920768308</v>
      </c>
      <c r="T18" s="13">
        <f t="shared" si="17"/>
        <v>7.8567307692307695</v>
      </c>
      <c r="U18" s="7">
        <v>69876</v>
      </c>
      <c r="V18" s="11">
        <f t="shared" si="18"/>
        <v>201.64604303259765</v>
      </c>
      <c r="W18" s="11">
        <f t="shared" si="19"/>
        <v>1.6797115384615382</v>
      </c>
      <c r="X18" s="11">
        <v>298.12714285710001</v>
      </c>
      <c r="Y18" s="11">
        <f t="shared" si="20"/>
        <v>127.27940276587934</v>
      </c>
      <c r="Z18" s="11">
        <f t="shared" si="21"/>
        <v>37.945444691149675</v>
      </c>
      <c r="AA18" s="7">
        <v>1658</v>
      </c>
      <c r="AB18" s="15">
        <f>IFERROR(AA18/1715,0)</f>
        <v>0.96676384839650142</v>
      </c>
      <c r="AC18" s="11">
        <v>61.6</v>
      </c>
      <c r="AD18" s="15">
        <f>IFERROR(AC18/62.4,0)</f>
        <v>0.98717948717948723</v>
      </c>
      <c r="AE18" s="11">
        <v>22</v>
      </c>
      <c r="AF18" s="11">
        <v>29</v>
      </c>
      <c r="AG18" s="7">
        <f t="shared" si="22"/>
        <v>-1322.0159999999873</v>
      </c>
      <c r="AH18" s="7">
        <v>14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 t="shared" si="23"/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94</v>
      </c>
      <c r="C19" s="7">
        <v>24</v>
      </c>
      <c r="D19" s="7">
        <v>7</v>
      </c>
      <c r="E19" s="7">
        <v>51311</v>
      </c>
      <c r="F19" s="7">
        <v>40417</v>
      </c>
      <c r="G19" s="7">
        <v>100</v>
      </c>
      <c r="H19" s="9">
        <f t="shared" si="12"/>
        <v>2.474206398297746E-3</v>
      </c>
      <c r="I19" s="9">
        <f>IFERROR((51311-F19)/51311,0)</f>
        <v>0.21231314922726122</v>
      </c>
      <c r="J19" s="7">
        <v>246980</v>
      </c>
      <c r="K19" s="11">
        <f t="shared" si="13"/>
        <v>87.297070893082477</v>
      </c>
      <c r="L19" s="11">
        <f>K19-87.2116</f>
        <v>8.5470893082472799E-2</v>
      </c>
      <c r="M19" s="11">
        <v>77</v>
      </c>
      <c r="N19" s="11">
        <f t="shared" si="14"/>
        <v>10.297070893082477</v>
      </c>
      <c r="O19" s="11">
        <f>IFERROR(20532849/51311,0)</f>
        <v>400.16466254799167</v>
      </c>
      <c r="P19" s="11">
        <v>0</v>
      </c>
      <c r="Q19" s="11">
        <f t="shared" si="15"/>
        <v>400.16466254799167</v>
      </c>
      <c r="R19" s="7">
        <v>33060</v>
      </c>
      <c r="S19" s="11">
        <f t="shared" si="16"/>
        <v>116.85323361103356</v>
      </c>
      <c r="T19" s="13">
        <f t="shared" si="17"/>
        <v>7.4706594071385357</v>
      </c>
      <c r="U19" s="7">
        <v>55130</v>
      </c>
      <c r="V19" s="11">
        <f t="shared" si="18"/>
        <v>194.86142676879248</v>
      </c>
      <c r="W19" s="11">
        <f t="shared" si="19"/>
        <v>1.6675741076830004</v>
      </c>
      <c r="X19" s="11">
        <v>306.6057142857</v>
      </c>
      <c r="Y19" s="11">
        <f t="shared" si="20"/>
        <v>133.85699246902584</v>
      </c>
      <c r="Z19" s="11">
        <f t="shared" si="21"/>
        <v>41.041318788101236</v>
      </c>
      <c r="AA19" s="7">
        <v>0</v>
      </c>
      <c r="AB19" s="15">
        <f>IFERROR(AA19/1725,0)</f>
        <v>0</v>
      </c>
      <c r="AC19" s="11">
        <v>0</v>
      </c>
      <c r="AD19" s="15">
        <f>IFERROR(AC19/64.75,0)</f>
        <v>0</v>
      </c>
      <c r="AE19" s="11">
        <v>22</v>
      </c>
      <c r="AF19" s="11">
        <v>29</v>
      </c>
      <c r="AG19" s="7">
        <f t="shared" si="22"/>
        <v>29132.370000000017</v>
      </c>
      <c r="AH19" s="7">
        <v>21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 t="shared" si="23"/>
        <v>0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25</v>
      </c>
      <c r="C20" s="7"/>
      <c r="D20" s="7">
        <v>7</v>
      </c>
      <c r="E20" s="7">
        <v>52424</v>
      </c>
      <c r="F20" s="7">
        <v>51897</v>
      </c>
      <c r="G20" s="7">
        <v>79</v>
      </c>
      <c r="H20" s="9">
        <f t="shared" si="12"/>
        <v>1.5222459872439641E-3</v>
      </c>
      <c r="I20" s="9">
        <f>IFERROR((52424-F20)/52424,0)</f>
        <v>1.0052647642301236E-2</v>
      </c>
      <c r="J20" s="7">
        <v>322640</v>
      </c>
      <c r="K20" s="11">
        <f t="shared" si="13"/>
        <v>88.81328125215056</v>
      </c>
      <c r="L20" s="11">
        <f>K20-87.8651</f>
        <v>0.9481812521505617</v>
      </c>
      <c r="M20" s="11">
        <v>93.2</v>
      </c>
      <c r="N20" s="11">
        <f t="shared" si="14"/>
        <v>-4.3867187478494429</v>
      </c>
      <c r="O20" s="11">
        <f>IFERROR(1536300/52424,0)</f>
        <v>29.305280024416298</v>
      </c>
      <c r="P20" s="11">
        <v>33</v>
      </c>
      <c r="Q20" s="11">
        <f t="shared" si="15"/>
        <v>-3.6947199755837019</v>
      </c>
      <c r="R20" s="7">
        <v>41534</v>
      </c>
      <c r="S20" s="11">
        <f t="shared" si="16"/>
        <v>114.3308586513396</v>
      </c>
      <c r="T20" s="13">
        <f t="shared" si="17"/>
        <v>7.7680936100544136</v>
      </c>
      <c r="U20" s="7">
        <v>64396</v>
      </c>
      <c r="V20" s="11">
        <f t="shared" si="18"/>
        <v>177.26320541512169</v>
      </c>
      <c r="W20" s="11">
        <f t="shared" si="19"/>
        <v>1.5504406028795685</v>
      </c>
      <c r="X20" s="11">
        <v>308.57285714289998</v>
      </c>
      <c r="Y20" s="11">
        <f t="shared" si="20"/>
        <v>128.73171336474087</v>
      </c>
      <c r="Z20" s="11">
        <f t="shared" si="21"/>
        <v>39.723112597858936</v>
      </c>
      <c r="AA20" s="7">
        <v>1587</v>
      </c>
      <c r="AB20" s="15">
        <f>IFERROR(AA20/1545,0)</f>
        <v>1.0271844660194174</v>
      </c>
      <c r="AC20" s="11">
        <v>54.11</v>
      </c>
      <c r="AD20" s="15">
        <f>IFERROR(AC20/54.35,0)</f>
        <v>0.99558417663293464</v>
      </c>
      <c r="AE20" s="11">
        <v>22</v>
      </c>
      <c r="AF20" s="11">
        <v>27</v>
      </c>
      <c r="AG20" s="7">
        <f t="shared" si="22"/>
        <v>-15936.027999999977</v>
      </c>
      <c r="AH20" s="7">
        <v>31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 t="shared" si="23"/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34</v>
      </c>
      <c r="C21" s="7"/>
      <c r="D21" s="7">
        <v>7</v>
      </c>
      <c r="E21" s="7">
        <v>50845</v>
      </c>
      <c r="F21" s="7">
        <v>50000</v>
      </c>
      <c r="G21" s="7">
        <v>49</v>
      </c>
      <c r="H21" s="9">
        <f t="shared" si="12"/>
        <v>9.7999999999999997E-4</v>
      </c>
      <c r="I21" s="9">
        <f>IFERROR((50845-F21)/50845,0)</f>
        <v>1.6619136591601927E-2</v>
      </c>
      <c r="J21" s="7">
        <v>333700</v>
      </c>
      <c r="K21" s="11">
        <f t="shared" si="13"/>
        <v>95.342857142857142</v>
      </c>
      <c r="L21" s="11">
        <f>K21-94.1617</f>
        <v>1.1811571428571455</v>
      </c>
      <c r="M21" s="11">
        <v>95.65</v>
      </c>
      <c r="N21" s="11">
        <f t="shared" si="14"/>
        <v>-0.30714285714286405</v>
      </c>
      <c r="O21" s="11">
        <f>IFERROR(4489410/50845,0)</f>
        <v>88.295997639885925</v>
      </c>
      <c r="P21" s="11">
        <v>92</v>
      </c>
      <c r="Q21" s="11">
        <f t="shared" si="15"/>
        <v>-3.7040023601140746</v>
      </c>
      <c r="R21" s="7">
        <v>40701</v>
      </c>
      <c r="S21" s="11">
        <f t="shared" si="16"/>
        <v>116.28857142857143</v>
      </c>
      <c r="T21" s="13">
        <f t="shared" si="17"/>
        <v>8.1988157539126796</v>
      </c>
      <c r="U21" s="7">
        <v>66100</v>
      </c>
      <c r="V21" s="11">
        <f t="shared" si="18"/>
        <v>188.85714285714286</v>
      </c>
      <c r="W21" s="11">
        <f t="shared" si="19"/>
        <v>1.6240387214073364</v>
      </c>
      <c r="X21" s="11">
        <v>309.93714285710001</v>
      </c>
      <c r="Y21" s="11">
        <f t="shared" si="20"/>
        <v>121.96883428228948</v>
      </c>
      <c r="Z21" s="11">
        <f t="shared" si="21"/>
        <v>37.802672015063905</v>
      </c>
      <c r="AA21" s="7">
        <v>1691</v>
      </c>
      <c r="AB21" s="15">
        <f>IFERROR(AA21/1690,0)</f>
        <v>1.0005917159763313</v>
      </c>
      <c r="AC21" s="11">
        <v>60.43</v>
      </c>
      <c r="AD21" s="15">
        <f>IFERROR(AC21/60.6,0)</f>
        <v>0.99719471947194716</v>
      </c>
      <c r="AE21" s="11">
        <v>18</v>
      </c>
      <c r="AF21" s="11">
        <v>27</v>
      </c>
      <c r="AG21" s="7">
        <f t="shared" si="22"/>
        <v>-1075.0000000000241</v>
      </c>
      <c r="AH21" s="7">
        <v>29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 t="shared" si="23"/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84</v>
      </c>
      <c r="C22" s="7">
        <v>21</v>
      </c>
      <c r="D22" s="7">
        <v>7</v>
      </c>
      <c r="E22" s="7">
        <v>20160</v>
      </c>
      <c r="F22" s="7">
        <v>15873</v>
      </c>
      <c r="G22" s="7">
        <v>30</v>
      </c>
      <c r="H22" s="9">
        <f t="shared" si="12"/>
        <v>1.89000189000189E-3</v>
      </c>
      <c r="I22" s="9">
        <f>IFERROR((20160-F22)/20160,0)</f>
        <v>0.21264880952380952</v>
      </c>
      <c r="J22" s="7">
        <v>81420</v>
      </c>
      <c r="K22" s="11">
        <f t="shared" si="13"/>
        <v>73.278073278073279</v>
      </c>
      <c r="L22" s="11">
        <f>K22-74.3958</f>
        <v>-1.1177267219267151</v>
      </c>
      <c r="M22" s="11">
        <v>79</v>
      </c>
      <c r="N22" s="11">
        <f t="shared" si="14"/>
        <v>-5.7219267219267209</v>
      </c>
      <c r="O22" s="11">
        <f>IFERROR(5451489/20160,0)</f>
        <v>270.4111607142857</v>
      </c>
      <c r="P22" s="11">
        <v>0</v>
      </c>
      <c r="Q22" s="11">
        <f t="shared" si="15"/>
        <v>270.4111607142857</v>
      </c>
      <c r="R22" s="7">
        <v>16190</v>
      </c>
      <c r="S22" s="11">
        <f t="shared" si="16"/>
        <v>145.7101457101457</v>
      </c>
      <c r="T22" s="13">
        <f t="shared" si="17"/>
        <v>5.029030265596047</v>
      </c>
      <c r="U22" s="7">
        <v>22440</v>
      </c>
      <c r="V22" s="11">
        <f t="shared" si="18"/>
        <v>201.96020196020194</v>
      </c>
      <c r="W22" s="11">
        <f t="shared" si="19"/>
        <v>1.3860407659048797</v>
      </c>
      <c r="X22" s="11">
        <v>275.43857142860003</v>
      </c>
      <c r="Y22" s="11">
        <f t="shared" si="20"/>
        <v>198.84549250798332</v>
      </c>
      <c r="Z22" s="11">
        <f t="shared" si="21"/>
        <v>54.769718391415317</v>
      </c>
      <c r="AA22" s="7">
        <v>2040</v>
      </c>
      <c r="AB22" s="15">
        <f>IFERROR(AA22/1970,0)</f>
        <v>1.0355329949238579</v>
      </c>
      <c r="AC22" s="11">
        <v>65.3</v>
      </c>
      <c r="AD22" s="15">
        <f>IFERROR(AC22/64.9,0)</f>
        <v>1.0061633281972264</v>
      </c>
      <c r="AE22" s="11">
        <v>22</v>
      </c>
      <c r="AF22" s="11">
        <v>25</v>
      </c>
      <c r="AG22" s="7">
        <f t="shared" si="22"/>
        <v>-6357.6899999999987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 t="shared" si="23"/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25</v>
      </c>
      <c r="C23" s="7"/>
      <c r="D23" s="7">
        <v>7</v>
      </c>
      <c r="E23" s="7">
        <v>21875</v>
      </c>
      <c r="F23" s="7">
        <v>21636</v>
      </c>
      <c r="G23" s="7">
        <v>22</v>
      </c>
      <c r="H23" s="9">
        <f t="shared" si="12"/>
        <v>1.0168238121649102E-3</v>
      </c>
      <c r="I23" s="9">
        <f>IFERROR((21875-F23)/21875,0)</f>
        <v>1.0925714285714285E-2</v>
      </c>
      <c r="J23" s="7">
        <v>138640</v>
      </c>
      <c r="K23" s="11">
        <f t="shared" si="13"/>
        <v>91.540554102950111</v>
      </c>
      <c r="L23" s="11">
        <f>K23-88.5646</f>
        <v>2.9759541029501122</v>
      </c>
      <c r="M23" s="11">
        <v>94</v>
      </c>
      <c r="N23" s="11">
        <f t="shared" si="14"/>
        <v>-2.4594458970498891</v>
      </c>
      <c r="O23" s="11">
        <f>IFERROR(892290/21875,0)</f>
        <v>40.790399999999998</v>
      </c>
      <c r="P23" s="11">
        <v>38</v>
      </c>
      <c r="Q23" s="11">
        <f t="shared" si="15"/>
        <v>2.7903999999999982</v>
      </c>
      <c r="R23" s="7">
        <v>18710</v>
      </c>
      <c r="S23" s="11">
        <f t="shared" si="16"/>
        <v>123.53749042600954</v>
      </c>
      <c r="T23" s="13">
        <f t="shared" si="17"/>
        <v>7.409941207910208</v>
      </c>
      <c r="U23" s="7">
        <v>32197</v>
      </c>
      <c r="V23" s="11">
        <f t="shared" si="18"/>
        <v>212.58880701476374</v>
      </c>
      <c r="W23" s="11">
        <f t="shared" si="19"/>
        <v>1.7208444681988244</v>
      </c>
      <c r="X23" s="11">
        <v>302.2785714286</v>
      </c>
      <c r="Y23" s="11">
        <f t="shared" si="20"/>
        <v>134.95383727639927</v>
      </c>
      <c r="Z23" s="11">
        <f t="shared" si="21"/>
        <v>40.793653140717716</v>
      </c>
      <c r="AA23" s="7">
        <v>0</v>
      </c>
      <c r="AB23" s="15">
        <f>IFERROR(AA23/1850,0)</f>
        <v>0</v>
      </c>
      <c r="AC23" s="11">
        <v>0</v>
      </c>
      <c r="AD23" s="15">
        <f>IFERROR(AC23/57.8,0)</f>
        <v>0</v>
      </c>
      <c r="AE23" s="11">
        <v>22</v>
      </c>
      <c r="AF23" s="11">
        <v>27</v>
      </c>
      <c r="AG23" s="7">
        <f t="shared" si="22"/>
        <v>-3724.8799999999983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 t="shared" si="23"/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84</v>
      </c>
      <c r="C24" s="7">
        <v>17</v>
      </c>
      <c r="D24" s="7">
        <v>7</v>
      </c>
      <c r="E24" s="7">
        <v>51833</v>
      </c>
      <c r="F24" s="7">
        <v>43242</v>
      </c>
      <c r="G24" s="7">
        <v>128</v>
      </c>
      <c r="H24" s="9">
        <f t="shared" si="12"/>
        <v>2.9600851024466955E-3</v>
      </c>
      <c r="I24" s="9">
        <f>IFERROR((51833-F24)/51833,0)</f>
        <v>0.16574383115003954</v>
      </c>
      <c r="J24" s="7">
        <v>236740</v>
      </c>
      <c r="K24" s="11">
        <f t="shared" si="13"/>
        <v>78.210998566208772</v>
      </c>
      <c r="L24" s="11">
        <f>K24-78.4395</f>
        <v>-0.22850143379122301</v>
      </c>
      <c r="M24" s="11">
        <v>81</v>
      </c>
      <c r="N24" s="11">
        <f t="shared" si="14"/>
        <v>-2.7890014337912277</v>
      </c>
      <c r="O24" s="11">
        <f>IFERROR(17007078/51833,0)</f>
        <v>328.11293963305229</v>
      </c>
      <c r="P24" s="11">
        <v>0</v>
      </c>
      <c r="Q24" s="11">
        <f t="shared" si="15"/>
        <v>328.11293963305229</v>
      </c>
      <c r="R24" s="7">
        <v>34830</v>
      </c>
      <c r="S24" s="11">
        <f t="shared" si="16"/>
        <v>115.06670102479731</v>
      </c>
      <c r="T24" s="13">
        <f t="shared" si="17"/>
        <v>6.7970140683318974</v>
      </c>
      <c r="U24" s="7">
        <v>54471</v>
      </c>
      <c r="V24" s="11">
        <f t="shared" si="18"/>
        <v>179.95401296358699</v>
      </c>
      <c r="W24" s="11">
        <f t="shared" si="19"/>
        <v>1.5639104220499571</v>
      </c>
      <c r="X24" s="11">
        <v>297.74</v>
      </c>
      <c r="Y24" s="11">
        <f t="shared" si="20"/>
        <v>147.1234265438878</v>
      </c>
      <c r="Z24" s="11">
        <f t="shared" si="21"/>
        <v>43.80452901917716</v>
      </c>
      <c r="AA24" s="7">
        <v>1611</v>
      </c>
      <c r="AB24" s="15">
        <f>IFERROR(AA24/1970,0)</f>
        <v>0.81776649746192898</v>
      </c>
      <c r="AC24" s="11">
        <v>0</v>
      </c>
      <c r="AD24" s="15">
        <f>IFERROR(AC24/64.9,0)</f>
        <v>0</v>
      </c>
      <c r="AE24" s="11">
        <v>22</v>
      </c>
      <c r="AF24" s="11">
        <v>27</v>
      </c>
      <c r="AG24" s="7">
        <f t="shared" si="22"/>
        <v>-8442.1400000000194</v>
      </c>
      <c r="AH24" s="7">
        <v>35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IFERROR(700/F24,0)</f>
        <v>1.6187965404005366E-2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83</v>
      </c>
      <c r="C25" s="7">
        <v>17</v>
      </c>
      <c r="D25" s="7">
        <v>7</v>
      </c>
      <c r="E25" s="7">
        <v>21623</v>
      </c>
      <c r="F25" s="7">
        <v>18559</v>
      </c>
      <c r="G25" s="7">
        <v>33</v>
      </c>
      <c r="H25" s="9">
        <f t="shared" si="12"/>
        <v>1.7781130448838837E-3</v>
      </c>
      <c r="I25" s="9">
        <f>IFERROR((21623-F25)/21623,0)</f>
        <v>0.14170096656338158</v>
      </c>
      <c r="J25" s="7">
        <v>99060</v>
      </c>
      <c r="K25" s="11">
        <f t="shared" si="13"/>
        <v>76.251029535150437</v>
      </c>
      <c r="L25" s="11">
        <f>K25-78.4526</f>
        <v>-2.2015704648495671</v>
      </c>
      <c r="M25" s="11">
        <v>87</v>
      </c>
      <c r="N25" s="11">
        <f t="shared" si="14"/>
        <v>-10.748970464849563</v>
      </c>
      <c r="O25" s="11">
        <f>IFERROR(7022245/21623,0)</f>
        <v>324.75812791934516</v>
      </c>
      <c r="P25" s="11">
        <v>0</v>
      </c>
      <c r="Q25" s="11">
        <f t="shared" si="15"/>
        <v>324.75812791934516</v>
      </c>
      <c r="R25" s="7">
        <v>13698</v>
      </c>
      <c r="S25" s="11">
        <f t="shared" si="16"/>
        <v>105.43979432389368</v>
      </c>
      <c r="T25" s="13">
        <f t="shared" si="17"/>
        <v>7.2317126587823042</v>
      </c>
      <c r="U25" s="7">
        <v>27236</v>
      </c>
      <c r="V25" s="11">
        <f t="shared" si="18"/>
        <v>209.64799519678553</v>
      </c>
      <c r="W25" s="11">
        <f t="shared" si="19"/>
        <v>1.988319462695284</v>
      </c>
      <c r="X25" s="11">
        <v>284.31857142860002</v>
      </c>
      <c r="Y25" s="11">
        <f t="shared" si="20"/>
        <v>138.27983040581466</v>
      </c>
      <c r="Z25" s="11">
        <f t="shared" si="21"/>
        <v>39.315523838370311</v>
      </c>
      <c r="AA25" s="7">
        <v>2079</v>
      </c>
      <c r="AB25" s="15">
        <f>IFERROR(AA25/1970,0)</f>
        <v>1.0553299492385786</v>
      </c>
      <c r="AC25" s="11">
        <v>65.11</v>
      </c>
      <c r="AD25" s="15">
        <f>IFERROR(AC25/64.9,0)</f>
        <v>1.0032357473035438</v>
      </c>
      <c r="AE25" s="11">
        <v>22</v>
      </c>
      <c r="AF25" s="11">
        <v>27</v>
      </c>
      <c r="AG25" s="7">
        <f t="shared" si="22"/>
        <v>-13964.310000000014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70</v>
      </c>
      <c r="B26" s="5">
        <v>73</v>
      </c>
      <c r="C26" s="7">
        <v>1</v>
      </c>
      <c r="D26" s="7">
        <v>7</v>
      </c>
      <c r="E26" s="7">
        <v>47224</v>
      </c>
      <c r="F26" s="7">
        <v>39128</v>
      </c>
      <c r="G26" s="7">
        <v>226</v>
      </c>
      <c r="H26" s="9">
        <f t="shared" si="12"/>
        <v>5.7759149458188512E-3</v>
      </c>
      <c r="I26" s="9">
        <f>IFERROR((47224-F26)/47224,0)</f>
        <v>0.17143825173640523</v>
      </c>
      <c r="J26" s="7">
        <v>129920</v>
      </c>
      <c r="K26" s="11">
        <f t="shared" si="13"/>
        <v>47.434062563892866</v>
      </c>
      <c r="L26" s="11">
        <f>K26-73.546</f>
        <v>-26.111937436107141</v>
      </c>
      <c r="M26" s="11">
        <v>26</v>
      </c>
      <c r="N26" s="11">
        <f t="shared" si="14"/>
        <v>21.434062563892866</v>
      </c>
      <c r="O26" s="11">
        <f>IFERROR(13473090/47224,0)</f>
        <v>285.30175334575637</v>
      </c>
      <c r="P26" s="11">
        <v>0</v>
      </c>
      <c r="Q26" s="11">
        <f t="shared" si="15"/>
        <v>285.30175334575637</v>
      </c>
      <c r="R26" s="7">
        <v>11630</v>
      </c>
      <c r="S26" s="11">
        <f t="shared" si="16"/>
        <v>42.461372199667025</v>
      </c>
      <c r="T26" s="13">
        <f t="shared" si="17"/>
        <v>11.171109200343938</v>
      </c>
      <c r="U26" s="7">
        <v>42900</v>
      </c>
      <c r="V26" s="11">
        <f t="shared" si="18"/>
        <v>156.62879341063763</v>
      </c>
      <c r="W26" s="11">
        <f t="shared" si="19"/>
        <v>3.6887360275150476</v>
      </c>
      <c r="X26" s="11">
        <v>299.39</v>
      </c>
      <c r="Y26" s="11">
        <f t="shared" si="20"/>
        <v>89.516625615763544</v>
      </c>
      <c r="Z26" s="11">
        <f t="shared" si="21"/>
        <v>26.800382543103446</v>
      </c>
      <c r="AA26" s="7">
        <v>0</v>
      </c>
      <c r="AB26" s="15">
        <f>IFERROR(AA26/1580,0)</f>
        <v>0</v>
      </c>
      <c r="AC26" s="11">
        <v>0</v>
      </c>
      <c r="AD26" s="15">
        <f>IFERROR(AC26/63.4,0)</f>
        <v>0</v>
      </c>
      <c r="AE26" s="11">
        <v>17</v>
      </c>
      <c r="AF26" s="11">
        <v>30</v>
      </c>
      <c r="AG26" s="7">
        <f t="shared" si="22"/>
        <v>58707.040000000008</v>
      </c>
      <c r="AH26" s="7">
        <v>28</v>
      </c>
      <c r="AI26" s="7">
        <v>15.714285714300001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104</v>
      </c>
      <c r="C27" s="7">
        <v>31</v>
      </c>
      <c r="D27" s="7">
        <v>7</v>
      </c>
      <c r="E27" s="7">
        <v>33376</v>
      </c>
      <c r="F27" s="7">
        <v>30649</v>
      </c>
      <c r="G27" s="7">
        <v>111</v>
      </c>
      <c r="H27" s="9">
        <f t="shared" si="12"/>
        <v>3.6216516036412282E-3</v>
      </c>
      <c r="I27" s="9">
        <f>IFERROR((33376-F27)/33376,0)</f>
        <v>8.170541706615532E-2</v>
      </c>
      <c r="J27" s="7">
        <v>61860</v>
      </c>
      <c r="K27" s="11">
        <f t="shared" si="13"/>
        <v>28.833380720881131</v>
      </c>
      <c r="L27" s="11">
        <f>K27-0</f>
        <v>28.833380720881131</v>
      </c>
      <c r="M27" s="11">
        <v>72</v>
      </c>
      <c r="N27" s="11">
        <f t="shared" si="14"/>
        <v>-43.166619279118869</v>
      </c>
      <c r="O27" s="11">
        <f>IFERROR(13199693/33376,0)</f>
        <v>395.48456975071906</v>
      </c>
      <c r="P27" s="11">
        <v>0</v>
      </c>
      <c r="Q27" s="11">
        <f t="shared" si="15"/>
        <v>395.48456975071906</v>
      </c>
      <c r="R27" s="7">
        <v>25010</v>
      </c>
      <c r="S27" s="11">
        <f t="shared" si="16"/>
        <v>116.57336757666295</v>
      </c>
      <c r="T27" s="13">
        <f t="shared" si="17"/>
        <v>2.4734106357457017</v>
      </c>
      <c r="U27" s="7">
        <v>42000</v>
      </c>
      <c r="V27" s="11">
        <f t="shared" si="18"/>
        <v>195.76495154817451</v>
      </c>
      <c r="W27" s="11">
        <f t="shared" si="19"/>
        <v>1.6793282686925233</v>
      </c>
      <c r="X27" s="11">
        <v>266.46142857140001</v>
      </c>
      <c r="Y27" s="11">
        <f t="shared" si="20"/>
        <v>404.3000323310701</v>
      </c>
      <c r="Z27" s="11">
        <f t="shared" si="21"/>
        <v>107.73036418640015</v>
      </c>
      <c r="AA27" s="7">
        <v>0</v>
      </c>
      <c r="AB27" s="15">
        <f>IFERROR(AA27/0,0)</f>
        <v>0</v>
      </c>
      <c r="AC27" s="11">
        <v>0</v>
      </c>
      <c r="AD27" s="15">
        <f>IFERROR(AC27/0,0)</f>
        <v>0</v>
      </c>
      <c r="AE27" s="11">
        <v>17</v>
      </c>
      <c r="AF27" s="11">
        <v>30</v>
      </c>
      <c r="AG27" s="7">
        <f t="shared" si="22"/>
        <v>-92610.959999999992</v>
      </c>
      <c r="AH27" s="7">
        <v>17</v>
      </c>
      <c r="AI27" s="7">
        <v>29.411764705900001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IFERROR(200/F27,0)</f>
        <v>6.5254983849391494E-3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104</v>
      </c>
      <c r="C28" s="7">
        <v>31</v>
      </c>
      <c r="D28" s="7">
        <v>7</v>
      </c>
      <c r="E28" s="7">
        <v>12390</v>
      </c>
      <c r="F28" s="7">
        <v>10351</v>
      </c>
      <c r="G28" s="7">
        <v>24</v>
      </c>
      <c r="H28" s="9">
        <f t="shared" si="12"/>
        <v>2.3186165587865907E-3</v>
      </c>
      <c r="I28" s="9">
        <f>IFERROR((12390-F28)/12390,0)</f>
        <v>0.16456820016142051</v>
      </c>
      <c r="J28" s="7">
        <v>23980</v>
      </c>
      <c r="K28" s="11">
        <f t="shared" si="13"/>
        <v>33.095491118870498</v>
      </c>
      <c r="L28" s="11">
        <f>K28-0</f>
        <v>33.095491118870498</v>
      </c>
      <c r="M28" s="11">
        <v>72</v>
      </c>
      <c r="N28" s="11">
        <f t="shared" si="14"/>
        <v>-38.904508881129502</v>
      </c>
      <c r="O28" s="11">
        <f>IFERROR(5381958/12390,0)</f>
        <v>434.37917675544793</v>
      </c>
      <c r="P28" s="11">
        <v>0</v>
      </c>
      <c r="Q28" s="11">
        <f t="shared" si="15"/>
        <v>434.37917675544793</v>
      </c>
      <c r="R28" s="7">
        <v>9860</v>
      </c>
      <c r="S28" s="11">
        <f t="shared" si="16"/>
        <v>136.08070993830825</v>
      </c>
      <c r="T28" s="13">
        <f t="shared" si="17"/>
        <v>2.4320486815415823</v>
      </c>
      <c r="U28" s="7">
        <v>20700</v>
      </c>
      <c r="V28" s="11">
        <f t="shared" si="18"/>
        <v>285.68668313620492</v>
      </c>
      <c r="W28" s="11">
        <f t="shared" si="19"/>
        <v>2.099391480730223</v>
      </c>
      <c r="X28" s="11">
        <v>285.48857142859998</v>
      </c>
      <c r="Y28" s="11">
        <f t="shared" si="20"/>
        <v>411.17597998331956</v>
      </c>
      <c r="Z28" s="11">
        <f t="shared" si="21"/>
        <v>117.38604313119252</v>
      </c>
      <c r="AA28" s="7">
        <v>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18</v>
      </c>
      <c r="AF28" s="11">
        <v>30</v>
      </c>
      <c r="AG28" s="7">
        <f t="shared" si="22"/>
        <v>-28189.040000000001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IFERROR(70/F28,0)</f>
        <v>6.7626316297942227E-3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7</v>
      </c>
      <c r="E29" s="17">
        <f>SUM(E14:E28)</f>
        <v>519693</v>
      </c>
      <c r="F29" s="17">
        <f>SUM(F14:F28)</f>
        <v>467331</v>
      </c>
      <c r="G29" s="17">
        <f>SUM(G14:G28)</f>
        <v>1269</v>
      </c>
      <c r="H29" s="18">
        <f t="shared" si="12"/>
        <v>2.7154201197866182E-3</v>
      </c>
      <c r="I29" s="18"/>
      <c r="J29" s="17">
        <f>SUM(J14:J28)</f>
        <v>2548520</v>
      </c>
      <c r="K29" s="19">
        <f t="shared" si="13"/>
        <v>77.90501501383082</v>
      </c>
      <c r="L29" s="19"/>
      <c r="M29" s="19">
        <f>IFERROR(SUMPRODUCT($F14:$F28,M14:M28)/$F29, 0)</f>
        <v>82.265913881167748</v>
      </c>
      <c r="N29" s="19">
        <f t="shared" si="14"/>
        <v>-4.3608988673369282</v>
      </c>
      <c r="O29" s="19">
        <f>IFERROR(SUMPRODUCT($E14:$E28,O14:O28)/$E29, 0)</f>
        <v>220.02392373959242</v>
      </c>
      <c r="P29" s="19">
        <f>IFERROR(SUMPRODUCT($E14:$E28,P14:P28)/$E29, 0)</f>
        <v>66.139032082402494</v>
      </c>
      <c r="Q29" s="19">
        <f>IFERROR(SUMPRODUCT($E14:$E28,Q14:Q28)/$E29, 0)</f>
        <v>153.88489165718991</v>
      </c>
      <c r="R29" s="17">
        <f>SUM(R14:R28)</f>
        <v>360124</v>
      </c>
      <c r="S29" s="19">
        <f>IFERROR(R29/D29/$F29*1000,0)</f>
        <v>110.08532649082923</v>
      </c>
      <c r="T29" s="20">
        <f t="shared" si="17"/>
        <v>7.0767846630605016</v>
      </c>
      <c r="U29" s="17">
        <f>SUM(U14:U28)</f>
        <v>622676</v>
      </c>
      <c r="V29" s="19">
        <f>IFERROR(U29/D29/$F29*1000,0)</f>
        <v>190.34413357066896</v>
      </c>
      <c r="W29" s="19">
        <f t="shared" si="19"/>
        <v>1.7290599904477348</v>
      </c>
      <c r="X29" s="19">
        <f>IFERROR(SUMPRODUCT(R14:R28,X14:X28)/R29,0)</f>
        <v>298.38251428872331</v>
      </c>
      <c r="Y29" s="19">
        <f>IFERROR(($F29*S29)/($F29*K29)*100,0)</f>
        <v>141.30711157848478</v>
      </c>
      <c r="Z29" s="19">
        <f t="shared" si="21"/>
        <v>42.163571239665458</v>
      </c>
      <c r="AA29" s="17"/>
      <c r="AB29" s="21">
        <f>IFERROR(SUMPRODUCT($F14:$F28,AB14:AB28)/$F29,0)</f>
        <v>0.65230082088426256</v>
      </c>
      <c r="AC29" s="19"/>
      <c r="AD29" s="21">
        <f>AVERAGE(AD14:AD28)</f>
        <v>0.33262383058567591</v>
      </c>
      <c r="AE29" s="19"/>
      <c r="AF29" s="19"/>
      <c r="AG29" s="17">
        <f>SUM(AG14:AG28)</f>
        <v>-142658.826</v>
      </c>
      <c r="AH29" s="17">
        <f>SUM(AH14:AH28)</f>
        <v>202</v>
      </c>
      <c r="AI29" s="17">
        <f>IFERROR(SUMPRODUCT(AH14:AH28,AI14:AI28)/AH29, 0)</f>
        <v>20.39603960396634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7</v>
      </c>
      <c r="E31" s="23">
        <f>E12+E29</f>
        <v>565898</v>
      </c>
      <c r="F31" s="23">
        <f>F12+F29</f>
        <v>508761</v>
      </c>
      <c r="G31" s="23">
        <f>G12+G29</f>
        <v>1453</v>
      </c>
      <c r="H31" s="24">
        <f>IFERROR(G31/F31,0)</f>
        <v>2.8559579055784544E-3</v>
      </c>
      <c r="I31" s="23"/>
      <c r="J31" s="23">
        <f>J12+J29</f>
        <v>2771540</v>
      </c>
      <c r="K31" s="25">
        <f>IFERROR(J31/D31/F31*100,0)</f>
        <v>77.82323836030784</v>
      </c>
      <c r="L31" s="23"/>
      <c r="M31" s="25">
        <f>IFERROR($F$12/$F31*M$12,0)+IFERROR($F$29/$F31*M$29,0)</f>
        <v>82.517209062801612</v>
      </c>
      <c r="N31" s="25">
        <f>K31-M31</f>
        <v>-4.6939707024937718</v>
      </c>
      <c r="O31" s="23">
        <f>IFERROR($E$12/$E31*O$12,0)+IFERROR($E$29/$E31*O$29,0)</f>
        <v>218.28753414926365</v>
      </c>
      <c r="P31" s="23">
        <f>IFERROR($E$12/$E31*P$12,0)+IFERROR($E$29/$E31*P$29,0)</f>
        <v>78.97794655573972</v>
      </c>
      <c r="Q31" s="23">
        <f>IFERROR($E$12/$E31*Q$12,0)+IFERROR($E$29/$E31*Q$29,0)</f>
        <v>139.3095875935239</v>
      </c>
      <c r="R31" s="23">
        <f>R12+R29</f>
        <v>394477</v>
      </c>
      <c r="S31" s="25">
        <f>IFERROR(R31/D31/$F31*1000,0)</f>
        <v>110.76685741017324</v>
      </c>
      <c r="T31" s="26">
        <f>IFERROR(J31/R31,0)</f>
        <v>7.0258595558169423</v>
      </c>
      <c r="U31" s="23">
        <f>U12+U29</f>
        <v>637796</v>
      </c>
      <c r="V31" s="25">
        <f>IFERROR(U31/D31/$F31*1000,0)</f>
        <v>179.08942368954044</v>
      </c>
      <c r="W31" s="25">
        <f>IFERROR(V31/S31,0)</f>
        <v>1.6168141615353997</v>
      </c>
      <c r="X31" s="25">
        <f>IFERROR($F$12/$F31*X$12,0)+IFERROR($F$29/$F31*X$29,0)</f>
        <v>304.04764309982488</v>
      </c>
      <c r="Y31" s="25">
        <f>IFERROR(($F31*S31)/($F31*K31)*100,0)</f>
        <v>142.331339255432</v>
      </c>
      <c r="Z31" s="25">
        <f>IFERROR(Y31*X31/1000,0)</f>
        <v>43.275508239855682</v>
      </c>
      <c r="AA31" s="23"/>
      <c r="AB31" s="27"/>
      <c r="AC31" s="23"/>
      <c r="AD31" s="27"/>
      <c r="AE31" s="23"/>
      <c r="AF31" s="23"/>
      <c r="AG31" s="23">
        <f>AG12+AG29</f>
        <v>-167167.64600000001</v>
      </c>
      <c r="AH31" s="23">
        <f>AH12+AH29</f>
        <v>202</v>
      </c>
      <c r="AI31" s="23">
        <f>IFERROR(AH$12/AH31*AI$12,0)+IFERROR(AH$29/AH31*AI$29,0)</f>
        <v>20.39603960396634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27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61</v>
      </c>
      <c r="T34" s="32" t="s">
        <v>70</v>
      </c>
      <c r="U34" s="32" t="s">
        <v>71</v>
      </c>
      <c r="V34" s="32" t="s">
        <v>72</v>
      </c>
      <c r="W34" s="32" t="s">
        <v>62</v>
      </c>
      <c r="X34" s="32" t="s">
        <v>66</v>
      </c>
      <c r="Y34" s="32" t="s">
        <v>67</v>
      </c>
      <c r="Z34" s="32" t="s">
        <v>81</v>
      </c>
      <c r="AA34" s="32" t="s">
        <v>64</v>
      </c>
    </row>
    <row r="35" spans="1:27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>
        <v>2.5000000000000001E-3</v>
      </c>
      <c r="T35" s="8">
        <v>5.3E-3</v>
      </c>
      <c r="U35" s="8">
        <v>6.3E-3</v>
      </c>
      <c r="V35" s="8">
        <v>2.7000000000000001E-3</v>
      </c>
      <c r="W35" s="8">
        <v>1.5E-3</v>
      </c>
      <c r="X35" s="8">
        <v>1.4E-3</v>
      </c>
      <c r="Y35" s="8">
        <v>2.8E-3</v>
      </c>
      <c r="Z35" s="8">
        <v>1.6999999999999999E-3</v>
      </c>
      <c r="AA35" s="8">
        <v>6.9999999999999999E-4</v>
      </c>
    </row>
    <row r="36" spans="1:27" ht="15" thickBot="1" x14ac:dyDescent="0.35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>
        <v>1.32E-2</v>
      </c>
      <c r="P36" s="9">
        <v>2.3999999999999998E-3</v>
      </c>
      <c r="Q36" s="9">
        <v>4.1999999999999997E-3</v>
      </c>
      <c r="R36" s="9">
        <v>1.6999999999999999E-3</v>
      </c>
      <c r="S36" s="9">
        <v>2.5000000000000001E-3</v>
      </c>
      <c r="T36" s="9">
        <v>5.7999999999999996E-3</v>
      </c>
      <c r="U36" s="9">
        <v>3.5999999999999999E-3</v>
      </c>
      <c r="V36" s="9">
        <v>2.3E-3</v>
      </c>
      <c r="W36" s="9">
        <v>1.5E-3</v>
      </c>
      <c r="X36" s="9">
        <v>1E-3</v>
      </c>
      <c r="Y36" s="9">
        <v>3.0000000000000001E-3</v>
      </c>
      <c r="Z36" s="9">
        <v>1.8E-3</v>
      </c>
      <c r="AA36" s="9">
        <v>1E-3</v>
      </c>
    </row>
    <row r="37" spans="1:27" ht="15" thickBot="1" x14ac:dyDescent="0.35">
      <c r="B37" s="22" t="s">
        <v>82</v>
      </c>
      <c r="C37" s="22"/>
      <c r="D37" s="24">
        <f t="shared" ref="D37:AA37" si="24">AVERAGE(D35:D36)</f>
        <v>2.8500000000000001E-3</v>
      </c>
      <c r="E37" s="24">
        <f t="shared" si="24"/>
        <v>4.7500000000000007E-3</v>
      </c>
      <c r="F37" s="24">
        <f t="shared" si="24"/>
        <v>2.65E-3</v>
      </c>
      <c r="G37" s="24">
        <f t="shared" si="24"/>
        <v>7.0499999999999998E-3</v>
      </c>
      <c r="H37" s="24">
        <f t="shared" si="24"/>
        <v>4.4999999999999997E-3</v>
      </c>
      <c r="I37" s="24">
        <f t="shared" si="24"/>
        <v>3.9500000000000004E-3</v>
      </c>
      <c r="J37" s="24">
        <f t="shared" si="24"/>
        <v>3.2000000000000002E-3</v>
      </c>
      <c r="K37" s="24">
        <f t="shared" si="24"/>
        <v>3.7499999999999999E-3</v>
      </c>
      <c r="L37" s="24">
        <f t="shared" si="24"/>
        <v>2E-3</v>
      </c>
      <c r="M37" s="24">
        <f t="shared" si="24"/>
        <v>2.8999999999999998E-3</v>
      </c>
      <c r="N37" s="24">
        <f t="shared" si="24"/>
        <v>1.9499999999999999E-3</v>
      </c>
      <c r="O37" s="24">
        <f t="shared" si="24"/>
        <v>9.4999999999999998E-3</v>
      </c>
      <c r="P37" s="24">
        <f t="shared" si="24"/>
        <v>2.3999999999999998E-3</v>
      </c>
      <c r="Q37" s="24">
        <f t="shared" si="24"/>
        <v>3.7999999999999996E-3</v>
      </c>
      <c r="R37" s="24">
        <f t="shared" si="24"/>
        <v>1.6999999999999999E-3</v>
      </c>
      <c r="S37" s="24">
        <f t="shared" si="24"/>
        <v>2.5000000000000001E-3</v>
      </c>
      <c r="T37" s="24">
        <f t="shared" si="24"/>
        <v>5.5499999999999994E-3</v>
      </c>
      <c r="U37" s="24">
        <f t="shared" si="24"/>
        <v>4.9499999999999995E-3</v>
      </c>
      <c r="V37" s="24">
        <f t="shared" si="24"/>
        <v>2.5000000000000001E-3</v>
      </c>
      <c r="W37" s="24">
        <f t="shared" si="24"/>
        <v>1.5E-3</v>
      </c>
      <c r="X37" s="24">
        <f t="shared" si="24"/>
        <v>1.2000000000000001E-3</v>
      </c>
      <c r="Y37" s="24">
        <f t="shared" si="24"/>
        <v>2.8999999999999998E-3</v>
      </c>
      <c r="Z37" s="24">
        <f t="shared" si="24"/>
        <v>1.7499999999999998E-3</v>
      </c>
      <c r="AA37" s="24">
        <f t="shared" si="24"/>
        <v>8.5000000000000006E-4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38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5.44140625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45669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45675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105</v>
      </c>
      <c r="C6" s="7">
        <v>35</v>
      </c>
      <c r="D6" s="7">
        <v>7</v>
      </c>
      <c r="E6" s="7">
        <v>1197</v>
      </c>
      <c r="F6" s="7">
        <v>1120</v>
      </c>
      <c r="G6" s="7">
        <v>4</v>
      </c>
      <c r="H6" s="9">
        <f t="shared" ref="H6:H12" si="0">IFERROR(G6/F6,0)</f>
        <v>3.5714285714285713E-3</v>
      </c>
      <c r="I6" s="9">
        <f>IFERROR((1197-F6)/1197,0)</f>
        <v>6.4327485380116955E-2</v>
      </c>
      <c r="J6" s="7">
        <v>5040</v>
      </c>
      <c r="K6" s="11">
        <f t="shared" ref="K6:K12" si="1">IFERROR(J6/D6/F6*100,0)</f>
        <v>64.285714285714292</v>
      </c>
      <c r="L6" s="11">
        <f>K6-62.1505</f>
        <v>2.1352142857142908</v>
      </c>
      <c r="M6" s="11">
        <v>68</v>
      </c>
      <c r="N6" s="11">
        <f t="shared" ref="N6:N12" si="2">K6-M6</f>
        <v>-3.7142857142857082</v>
      </c>
      <c r="O6" s="11">
        <f>IFERROR(74280/1197,0)</f>
        <v>62.055137844611529</v>
      </c>
      <c r="P6" s="11">
        <v>0</v>
      </c>
      <c r="Q6" s="11">
        <f t="shared" ref="Q6:Q11" si="3">IFERROR(O6-P6,0)</f>
        <v>62.055137844611529</v>
      </c>
      <c r="R6" s="7">
        <v>875</v>
      </c>
      <c r="S6" s="11">
        <f t="shared" ref="S6:S11" si="4">IFERROR(R6/D6/F6*1000,0)</f>
        <v>111.60714285714286</v>
      </c>
      <c r="T6" s="13">
        <f t="shared" ref="T6:T12" si="5">IFERROR(J6/R6,0)</f>
        <v>5.76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173.61111111111111</v>
      </c>
      <c r="Z6" s="11">
        <f t="shared" ref="Z6:Z12" si="9">IFERROR(Y6*X6/1000,0)</f>
        <v>51.541666666666664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14</v>
      </c>
      <c r="AF6" s="11">
        <v>39</v>
      </c>
      <c r="AG6" s="7">
        <f t="shared" ref="AG6:AG11" si="10">IF(M6=0,0,IFERROR(N6/100*7*F6,0))</f>
        <v>-291.19999999999953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65</v>
      </c>
      <c r="C7" s="7"/>
      <c r="D7" s="7">
        <v>7</v>
      </c>
      <c r="E7" s="7">
        <v>14440</v>
      </c>
      <c r="F7" s="7">
        <v>12469</v>
      </c>
      <c r="G7" s="7">
        <v>73</v>
      </c>
      <c r="H7" s="9">
        <f t="shared" si="0"/>
        <v>5.8545192076349343E-3</v>
      </c>
      <c r="I7" s="9">
        <f>IFERROR((14440-F7)/14440,0)</f>
        <v>0.13649584487534627</v>
      </c>
      <c r="J7" s="7">
        <v>62160</v>
      </c>
      <c r="K7" s="11">
        <f t="shared" si="1"/>
        <v>71.2166172106825</v>
      </c>
      <c r="L7" s="11">
        <f>K7-72.2715</f>
        <v>-1.054882789317503</v>
      </c>
      <c r="M7" s="11">
        <v>84</v>
      </c>
      <c r="N7" s="11">
        <f t="shared" si="2"/>
        <v>-12.7833827893175</v>
      </c>
      <c r="O7" s="11">
        <f>IFERROR(3760410/14440,0)</f>
        <v>260.41620498614958</v>
      </c>
      <c r="P7" s="11">
        <v>286</v>
      </c>
      <c r="Q7" s="11">
        <f t="shared" si="3"/>
        <v>-25.58379501385042</v>
      </c>
      <c r="R7" s="7">
        <v>9940</v>
      </c>
      <c r="S7" s="11">
        <f t="shared" si="4"/>
        <v>113.88242842248778</v>
      </c>
      <c r="T7" s="13">
        <f t="shared" si="5"/>
        <v>6.253521126760563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159.90990990990989</v>
      </c>
      <c r="Z7" s="11">
        <f t="shared" si="9"/>
        <v>59.670382882882869</v>
      </c>
      <c r="AA7" s="7">
        <v>2012</v>
      </c>
      <c r="AB7" s="15">
        <f>IFERROR(AA7/1960,0)</f>
        <v>1.0265306122448981</v>
      </c>
      <c r="AC7" s="11">
        <v>0</v>
      </c>
      <c r="AD7" s="15">
        <f>IFERROR(AC7/64,0)</f>
        <v>0</v>
      </c>
      <c r="AE7" s="11">
        <v>14</v>
      </c>
      <c r="AF7" s="11">
        <v>39</v>
      </c>
      <c r="AG7" s="7">
        <f t="shared" si="10"/>
        <v>-11157.719999999992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65</v>
      </c>
      <c r="C8" s="7"/>
      <c r="D8" s="7">
        <v>7</v>
      </c>
      <c r="E8" s="7">
        <v>16063</v>
      </c>
      <c r="F8" s="7">
        <v>14109</v>
      </c>
      <c r="G8" s="7">
        <v>83</v>
      </c>
      <c r="H8" s="9">
        <f t="shared" si="0"/>
        <v>5.8827698632078814E-3</v>
      </c>
      <c r="I8" s="9">
        <f>IFERROR((16063-F8)/16063,0)</f>
        <v>0.12164601880097117</v>
      </c>
      <c r="J8" s="7">
        <v>61650</v>
      </c>
      <c r="K8" s="11">
        <f t="shared" si="1"/>
        <v>62.422162145742831</v>
      </c>
      <c r="L8" s="11">
        <f>K8-68.1269</f>
        <v>-5.7047378542571749</v>
      </c>
      <c r="M8" s="11">
        <v>85</v>
      </c>
      <c r="N8" s="11">
        <f t="shared" si="2"/>
        <v>-22.577837854257169</v>
      </c>
      <c r="O8" s="11">
        <f>IFERROR(3897630/16063,0)</f>
        <v>242.64645458507127</v>
      </c>
      <c r="P8" s="11">
        <v>285</v>
      </c>
      <c r="Q8" s="11">
        <f t="shared" si="3"/>
        <v>-42.353545414928732</v>
      </c>
      <c r="R8" s="7">
        <v>10710</v>
      </c>
      <c r="S8" s="11">
        <f t="shared" si="4"/>
        <v>108.44142036997661</v>
      </c>
      <c r="T8" s="13">
        <f t="shared" si="5"/>
        <v>5.7563025210084033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173.7226277372263</v>
      </c>
      <c r="Z8" s="11">
        <f t="shared" si="9"/>
        <v>64.277372262773724</v>
      </c>
      <c r="AA8" s="7">
        <v>1590</v>
      </c>
      <c r="AB8" s="15">
        <f>IFERROR(AA8/1580,0)</f>
        <v>1.0063291139240507</v>
      </c>
      <c r="AC8" s="11">
        <v>0</v>
      </c>
      <c r="AD8" s="15">
        <f>IFERROR(AC8/63.2,0)</f>
        <v>0</v>
      </c>
      <c r="AE8" s="11">
        <v>14</v>
      </c>
      <c r="AF8" s="11">
        <v>39</v>
      </c>
      <c r="AG8" s="7">
        <f t="shared" si="10"/>
        <v>-22298.550000000007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26</v>
      </c>
      <c r="C9" s="7"/>
      <c r="D9" s="7">
        <v>7</v>
      </c>
      <c r="E9" s="7">
        <v>4686</v>
      </c>
      <c r="F9" s="7">
        <v>4396</v>
      </c>
      <c r="G9" s="7">
        <v>15</v>
      </c>
      <c r="H9" s="9">
        <f t="shared" si="0"/>
        <v>3.4121929026387624E-3</v>
      </c>
      <c r="I9" s="9">
        <f>IFERROR((4686-F9)/4686,0)</f>
        <v>6.1886470337174565E-2</v>
      </c>
      <c r="J9" s="7">
        <v>26670</v>
      </c>
      <c r="K9" s="11">
        <f t="shared" si="1"/>
        <v>86.669699727024565</v>
      </c>
      <c r="L9" s="11">
        <f>K9-92.1074</f>
        <v>-5.4377002729754338</v>
      </c>
      <c r="M9" s="11">
        <v>95</v>
      </c>
      <c r="N9" s="11">
        <f t="shared" si="2"/>
        <v>-8.3303002729754354</v>
      </c>
      <c r="O9" s="11">
        <f>IFERROR(168930/4686,0)</f>
        <v>36.049935979513442</v>
      </c>
      <c r="P9" s="11">
        <v>45</v>
      </c>
      <c r="Q9" s="11">
        <f t="shared" si="3"/>
        <v>-8.9500640204865576</v>
      </c>
      <c r="R9" s="7">
        <v>4322</v>
      </c>
      <c r="S9" s="11">
        <f t="shared" si="4"/>
        <v>140.45235928766411</v>
      </c>
      <c r="T9" s="13">
        <f t="shared" si="5"/>
        <v>6.1707542804257285</v>
      </c>
      <c r="U9" s="7">
        <v>5040</v>
      </c>
      <c r="V9" s="11">
        <f t="shared" si="6"/>
        <v>163.78525932666059</v>
      </c>
      <c r="W9" s="11">
        <f t="shared" si="7"/>
        <v>1.1661267931513188</v>
      </c>
      <c r="X9" s="11">
        <v>362.76</v>
      </c>
      <c r="Y9" s="11">
        <f t="shared" si="8"/>
        <v>162.05474315710538</v>
      </c>
      <c r="Z9" s="11">
        <f t="shared" si="9"/>
        <v>58.786978627671544</v>
      </c>
      <c r="AA9" s="7">
        <v>0</v>
      </c>
      <c r="AB9" s="15">
        <f>IFERROR(AA9/1860,0)</f>
        <v>0</v>
      </c>
      <c r="AC9" s="11">
        <v>0</v>
      </c>
      <c r="AD9" s="15">
        <f>IFERROR(AC9/58.5,0)</f>
        <v>0</v>
      </c>
      <c r="AE9" s="11">
        <v>0</v>
      </c>
      <c r="AF9" s="11">
        <v>33</v>
      </c>
      <c r="AG9" s="7">
        <f t="shared" si="10"/>
        <v>-2563.400000000001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65</v>
      </c>
      <c r="C10" s="7"/>
      <c r="D10" s="7">
        <v>7</v>
      </c>
      <c r="E10" s="7">
        <v>5000</v>
      </c>
      <c r="F10" s="7">
        <v>4389</v>
      </c>
      <c r="G10" s="7">
        <v>14</v>
      </c>
      <c r="H10" s="9">
        <f t="shared" si="0"/>
        <v>3.189792663476874E-3</v>
      </c>
      <c r="I10" s="9">
        <f>IFERROR((5000-F10)/5000,0)</f>
        <v>0.1222</v>
      </c>
      <c r="J10" s="7">
        <v>28500</v>
      </c>
      <c r="K10" s="11">
        <f t="shared" si="1"/>
        <v>92.764378478664199</v>
      </c>
      <c r="L10" s="11">
        <f>K10-95.8762</f>
        <v>-3.1118215213357985</v>
      </c>
      <c r="M10" s="11">
        <v>84</v>
      </c>
      <c r="N10" s="11">
        <f t="shared" si="2"/>
        <v>8.7643784786641987</v>
      </c>
      <c r="O10" s="11">
        <f>IFERROR(1310080/5000,0)</f>
        <v>262.01600000000002</v>
      </c>
      <c r="P10" s="11">
        <v>286</v>
      </c>
      <c r="Q10" s="11">
        <f t="shared" si="3"/>
        <v>-23.98399999999998</v>
      </c>
      <c r="R10" s="7">
        <v>4065</v>
      </c>
      <c r="S10" s="11">
        <f t="shared" si="4"/>
        <v>132.31129772483155</v>
      </c>
      <c r="T10" s="13">
        <f t="shared" si="5"/>
        <v>7.0110701107011071</v>
      </c>
      <c r="U10" s="7">
        <v>5040</v>
      </c>
      <c r="V10" s="11">
        <f t="shared" si="6"/>
        <v>164.04647983595353</v>
      </c>
      <c r="W10" s="11">
        <f t="shared" si="7"/>
        <v>1.2398523985239855</v>
      </c>
      <c r="X10" s="11">
        <v>374.81</v>
      </c>
      <c r="Y10" s="11">
        <f t="shared" si="8"/>
        <v>142.63157894736841</v>
      </c>
      <c r="Z10" s="11">
        <f t="shared" si="9"/>
        <v>53.459742105263153</v>
      </c>
      <c r="AA10" s="7">
        <v>0</v>
      </c>
      <c r="AB10" s="15">
        <f>IFERROR(AA10/1960,0)</f>
        <v>0</v>
      </c>
      <c r="AC10" s="11">
        <v>0</v>
      </c>
      <c r="AD10" s="15">
        <f>IFERROR(AC10/64,0)</f>
        <v>0</v>
      </c>
      <c r="AE10" s="11">
        <v>18</v>
      </c>
      <c r="AF10" s="11">
        <v>33</v>
      </c>
      <c r="AG10" s="7">
        <f t="shared" si="10"/>
        <v>2692.6800000000017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26</v>
      </c>
      <c r="C11" s="7"/>
      <c r="D11" s="7">
        <v>7</v>
      </c>
      <c r="E11" s="7">
        <v>4819</v>
      </c>
      <c r="F11" s="7">
        <v>4744</v>
      </c>
      <c r="G11" s="7">
        <v>14</v>
      </c>
      <c r="H11" s="9">
        <f t="shared" si="0"/>
        <v>2.951096121416526E-3</v>
      </c>
      <c r="I11" s="9">
        <f>IFERROR((4819-F11)/4819,0)</f>
        <v>1.5563394895206474E-2</v>
      </c>
      <c r="J11" s="7">
        <v>28320</v>
      </c>
      <c r="K11" s="11">
        <f t="shared" si="1"/>
        <v>85.280655263791857</v>
      </c>
      <c r="L11" s="11">
        <f>K11-87.1014</f>
        <v>-1.820744736208141</v>
      </c>
      <c r="M11" s="11">
        <v>95</v>
      </c>
      <c r="N11" s="11">
        <f t="shared" si="2"/>
        <v>-9.7193447362081429</v>
      </c>
      <c r="O11" s="11">
        <f>IFERROR(184596/4819,0)</f>
        <v>38.30587258767379</v>
      </c>
      <c r="P11" s="11">
        <v>45</v>
      </c>
      <c r="Q11" s="11">
        <f t="shared" si="3"/>
        <v>-6.6941274123262104</v>
      </c>
      <c r="R11" s="7">
        <v>4583</v>
      </c>
      <c r="S11" s="11">
        <f t="shared" si="4"/>
        <v>138.0089135148157</v>
      </c>
      <c r="T11" s="13">
        <f t="shared" si="5"/>
        <v>6.1793584987999131</v>
      </c>
      <c r="U11" s="7">
        <v>5040</v>
      </c>
      <c r="V11" s="11">
        <f t="shared" si="6"/>
        <v>151.77065767284992</v>
      </c>
      <c r="W11" s="11">
        <f t="shared" si="7"/>
        <v>1.0997163430067642</v>
      </c>
      <c r="X11" s="11">
        <v>362.76</v>
      </c>
      <c r="Y11" s="11">
        <f t="shared" si="8"/>
        <v>161.82909604519773</v>
      </c>
      <c r="Z11" s="11">
        <f t="shared" si="9"/>
        <v>58.705122881355926</v>
      </c>
      <c r="AA11" s="7">
        <v>0</v>
      </c>
      <c r="AB11" s="15">
        <f>IFERROR(AA11/1860,0)</f>
        <v>0</v>
      </c>
      <c r="AC11" s="11">
        <v>0</v>
      </c>
      <c r="AD11" s="15">
        <f>IFERROR(AC11/58.5,0)</f>
        <v>0</v>
      </c>
      <c r="AE11" s="11">
        <v>18</v>
      </c>
      <c r="AF11" s="11">
        <v>33</v>
      </c>
      <c r="AG11" s="7">
        <f t="shared" si="10"/>
        <v>-3227.6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41227</v>
      </c>
      <c r="G12" s="17">
        <f>SUM(G6:G11)</f>
        <v>203</v>
      </c>
      <c r="H12" s="18">
        <f t="shared" si="0"/>
        <v>4.9239576006015473E-3</v>
      </c>
      <c r="I12" s="18"/>
      <c r="J12" s="17">
        <f>SUM(J6:J11)</f>
        <v>212340</v>
      </c>
      <c r="K12" s="19">
        <f t="shared" si="1"/>
        <v>73.57868803038231</v>
      </c>
      <c r="L12" s="19"/>
      <c r="M12" s="19">
        <f>IFERROR(SUMPRODUCT($F6:$F11,M6:M11)/$F12, 0)</f>
        <v>86.346253668712251</v>
      </c>
      <c r="N12" s="19">
        <f t="shared" si="2"/>
        <v>-12.767565638329941</v>
      </c>
      <c r="O12" s="19">
        <f>IFERROR(SUMPRODUCT($E6:$E11,O6:O11)/$E12, 0)</f>
        <v>203.3530137431014</v>
      </c>
      <c r="P12" s="19">
        <f>IFERROR(SUMPRODUCT($E6:$E11,P6:P11)/$E12, 0)</f>
        <v>228.66616167081486</v>
      </c>
      <c r="Q12" s="19">
        <f>IFERROR(SUMPRODUCT($E6:$E11,Q6:Q11)/$E12, 0)</f>
        <v>-25.313147927713455</v>
      </c>
      <c r="R12" s="17">
        <f>SUM(R6:R11)</f>
        <v>34495</v>
      </c>
      <c r="S12" s="19">
        <f>IFERROR(R12/D12/$F12*1000,0)</f>
        <v>119.52985041009879</v>
      </c>
      <c r="T12" s="20">
        <f t="shared" si="5"/>
        <v>6.1556747354689083</v>
      </c>
      <c r="U12" s="17">
        <f>SUM(U6:U11)</f>
        <v>15120</v>
      </c>
      <c r="V12" s="19">
        <f>IFERROR(U12/D12/$F12*1000,0)</f>
        <v>52.392849346302178</v>
      </c>
      <c r="W12" s="19">
        <f t="shared" si="7"/>
        <v>0.43832439483983182</v>
      </c>
      <c r="X12" s="19">
        <f>IFERROR(SUMPRODUCT(R6:R11,X6:X11)/R12,0)</f>
        <v>367.75073054065808</v>
      </c>
      <c r="Y12" s="19">
        <f>IFERROR(($F12*S12)/($F12*K12)*100,0)</f>
        <v>162.45172836017707</v>
      </c>
      <c r="Z12" s="19">
        <f t="shared" si="9"/>
        <v>59.741741782047662</v>
      </c>
      <c r="AA12" s="17"/>
      <c r="AB12" s="21">
        <f>IFERROR(SUMPRODUCT($F6:$F11,AB6:AB11)/$F12,0)</f>
        <v>0.65486471662832768</v>
      </c>
      <c r="AC12" s="19"/>
      <c r="AD12" s="21">
        <f>AVERAGE(AD6:AD11)</f>
        <v>0</v>
      </c>
      <c r="AE12" s="19"/>
      <c r="AF12" s="19"/>
      <c r="AG12" s="17">
        <f>SUM(AG6:AG11)</f>
        <v>-36845.79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65</v>
      </c>
      <c r="C14" s="6">
        <v>1</v>
      </c>
      <c r="D14" s="6">
        <v>7</v>
      </c>
      <c r="E14" s="6">
        <v>21388</v>
      </c>
      <c r="F14" s="6">
        <v>17361</v>
      </c>
      <c r="G14" s="6">
        <v>39</v>
      </c>
      <c r="H14" s="8">
        <f t="shared" ref="H14:H29" si="12">IFERROR(G14/F14,0)</f>
        <v>2.2464143770520133E-3</v>
      </c>
      <c r="I14" s="8">
        <f>IFERROR((21388-F14)/21388,0)</f>
        <v>0.18828314942958668</v>
      </c>
      <c r="J14" s="6">
        <v>0</v>
      </c>
      <c r="K14" s="10">
        <f t="shared" ref="K14:K29" si="13">IFERROR(J14/D14/F14*100,0)</f>
        <v>0</v>
      </c>
      <c r="L14" s="10">
        <f>K14-43.8177</f>
        <v>-43.817700000000002</v>
      </c>
      <c r="M14" s="10">
        <v>28</v>
      </c>
      <c r="N14" s="10">
        <f t="shared" ref="N14:N29" si="14">K14-M14</f>
        <v>-28</v>
      </c>
      <c r="O14" s="10">
        <f>IFERROR(4134960/21388,0)</f>
        <v>193.33083972320927</v>
      </c>
      <c r="P14" s="10">
        <v>0</v>
      </c>
      <c r="Q14" s="10">
        <f t="shared" ref="Q14:Q28" si="15">IFERROR(O14-P14,0)</f>
        <v>193.33083972320927</v>
      </c>
      <c r="R14" s="6">
        <v>6200</v>
      </c>
      <c r="S14" s="10">
        <f t="shared" ref="S14:S28" si="16">IFERROR(R14/D14/F14*1000,0)</f>
        <v>51.017469368946813</v>
      </c>
      <c r="T14" s="12">
        <f t="shared" ref="T14:T29" si="17">IFERROR(J14/R14,0)</f>
        <v>0</v>
      </c>
      <c r="U14" s="6">
        <v>22400</v>
      </c>
      <c r="V14" s="10">
        <f t="shared" ref="V14:V28" si="18">IFERROR(U14/D14/F14*1000,0)</f>
        <v>184.32117965554977</v>
      </c>
      <c r="W14" s="10">
        <f t="shared" ref="W14:W29" si="19">IFERROR(V14/S14,0)</f>
        <v>3.6129032258064515</v>
      </c>
      <c r="X14" s="10">
        <v>276.17250000000001</v>
      </c>
      <c r="Y14" s="10">
        <f t="shared" ref="Y14:Y28" si="20">IFERROR((F14*S14)/(F14*K14)*100,0)</f>
        <v>0</v>
      </c>
      <c r="Z14" s="10">
        <f t="shared" ref="Z14:Z29" si="21">IFERROR(Y14*X14/1000,0)</f>
        <v>0</v>
      </c>
      <c r="AA14" s="6">
        <v>0</v>
      </c>
      <c r="AB14" s="14">
        <f>IFERROR(AA14/1580,0)</f>
        <v>0</v>
      </c>
      <c r="AC14" s="10">
        <v>0</v>
      </c>
      <c r="AD14" s="14">
        <f>IFERROR(AC14/63.2,0)</f>
        <v>0</v>
      </c>
      <c r="AE14" s="10">
        <v>23</v>
      </c>
      <c r="AF14" s="10">
        <v>25</v>
      </c>
      <c r="AG14" s="6">
        <f t="shared" ref="AG14:AG28" si="22">IF(M14=0,0,IFERROR(N14/100*7*F14,0))</f>
        <v>-34027.560000000005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27</v>
      </c>
      <c r="C15" s="7"/>
      <c r="D15" s="7">
        <v>7</v>
      </c>
      <c r="E15" s="7">
        <v>10225</v>
      </c>
      <c r="F15" s="7">
        <v>9734</v>
      </c>
      <c r="G15" s="7">
        <v>95</v>
      </c>
      <c r="H15" s="9">
        <f t="shared" si="12"/>
        <v>9.7596055064721587E-3</v>
      </c>
      <c r="I15" s="9">
        <f>IFERROR((10225-F15)/10225,0)</f>
        <v>4.8019559902200491E-2</v>
      </c>
      <c r="J15" s="7">
        <v>47910</v>
      </c>
      <c r="K15" s="11">
        <f t="shared" si="13"/>
        <v>70.313187942117466</v>
      </c>
      <c r="L15" s="11">
        <f>K15-78.6594</f>
        <v>-8.3462120578825392</v>
      </c>
      <c r="M15" s="11">
        <v>95.5</v>
      </c>
      <c r="N15" s="11">
        <f t="shared" si="14"/>
        <v>-25.186812057882534</v>
      </c>
      <c r="O15" s="11">
        <f>IFERROR(364830/10225,0)</f>
        <v>35.680195599022007</v>
      </c>
      <c r="P15" s="11">
        <v>52</v>
      </c>
      <c r="Q15" s="11">
        <f t="shared" si="15"/>
        <v>-16.319804400977993</v>
      </c>
      <c r="R15" s="7">
        <v>7940</v>
      </c>
      <c r="S15" s="11">
        <f t="shared" si="16"/>
        <v>116.52822213742698</v>
      </c>
      <c r="T15" s="13">
        <f t="shared" si="17"/>
        <v>6.0340050377833752</v>
      </c>
      <c r="U15" s="7">
        <v>12700</v>
      </c>
      <c r="V15" s="11">
        <f t="shared" si="18"/>
        <v>186.38645102585926</v>
      </c>
      <c r="W15" s="11">
        <f t="shared" si="19"/>
        <v>1.5994962216624684</v>
      </c>
      <c r="X15" s="11">
        <v>307.53857142859999</v>
      </c>
      <c r="Y15" s="11">
        <f t="shared" si="20"/>
        <v>165.72740555207685</v>
      </c>
      <c r="Z15" s="11">
        <f t="shared" si="21"/>
        <v>50.967569550053945</v>
      </c>
      <c r="AA15" s="7">
        <v>0</v>
      </c>
      <c r="AB15" s="15">
        <f>IFERROR(AA15/1880,0)</f>
        <v>0</v>
      </c>
      <c r="AC15" s="11">
        <v>0</v>
      </c>
      <c r="AD15" s="15">
        <f>IFERROR(AC15/58.4,0)</f>
        <v>0</v>
      </c>
      <c r="AE15" s="11">
        <v>0</v>
      </c>
      <c r="AF15" s="11">
        <v>31</v>
      </c>
      <c r="AG15" s="7">
        <f t="shared" si="22"/>
        <v>-17161.79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54</v>
      </c>
      <c r="C16" s="7"/>
      <c r="D16" s="7">
        <v>7</v>
      </c>
      <c r="E16" s="7">
        <v>56050</v>
      </c>
      <c r="F16" s="7">
        <v>52185</v>
      </c>
      <c r="G16" s="7">
        <v>133</v>
      </c>
      <c r="H16" s="9">
        <f t="shared" si="12"/>
        <v>2.5486250838363516E-3</v>
      </c>
      <c r="I16" s="9">
        <f>IFERROR((56050-F16)/56050,0)</f>
        <v>6.8956289027653883E-2</v>
      </c>
      <c r="J16" s="7">
        <v>349500</v>
      </c>
      <c r="K16" s="11">
        <f t="shared" si="13"/>
        <v>95.676097400730924</v>
      </c>
      <c r="L16" s="11">
        <f>K16-98.3191</f>
        <v>-2.6430025992690815</v>
      </c>
      <c r="M16" s="11">
        <v>93</v>
      </c>
      <c r="N16" s="11">
        <f t="shared" si="14"/>
        <v>2.6760974007309244</v>
      </c>
      <c r="O16" s="11">
        <f>IFERROR(12143291/56050,0)</f>
        <v>216.65104371097235</v>
      </c>
      <c r="P16" s="11">
        <v>220</v>
      </c>
      <c r="Q16" s="11">
        <f t="shared" si="15"/>
        <v>-3.3489562890276545</v>
      </c>
      <c r="R16" s="7">
        <v>42860</v>
      </c>
      <c r="S16" s="11">
        <f t="shared" si="16"/>
        <v>117.32982931603225</v>
      </c>
      <c r="T16" s="13">
        <f t="shared" si="17"/>
        <v>8.154456369575362</v>
      </c>
      <c r="U16" s="7">
        <v>62500</v>
      </c>
      <c r="V16" s="11">
        <f t="shared" si="18"/>
        <v>171.09459477956173</v>
      </c>
      <c r="W16" s="11">
        <f t="shared" si="19"/>
        <v>1.4582361175921605</v>
      </c>
      <c r="X16" s="11">
        <v>296.96285714290002</v>
      </c>
      <c r="Y16" s="11">
        <f t="shared" si="20"/>
        <v>122.63233190271814</v>
      </c>
      <c r="Z16" s="11">
        <f t="shared" si="21"/>
        <v>36.417247659927583</v>
      </c>
      <c r="AA16" s="7">
        <v>1780</v>
      </c>
      <c r="AB16" s="15">
        <f>IFERROR(AA16/1725,0)</f>
        <v>1.0318840579710145</v>
      </c>
      <c r="AC16" s="11">
        <v>0</v>
      </c>
      <c r="AD16" s="15">
        <f>IFERROR(AC16/62.9,0)</f>
        <v>0</v>
      </c>
      <c r="AE16" s="11">
        <v>21</v>
      </c>
      <c r="AF16" s="11">
        <v>26</v>
      </c>
      <c r="AG16" s="7">
        <f t="shared" si="22"/>
        <v>9775.6500000000287</v>
      </c>
      <c r="AH16" s="7">
        <v>40</v>
      </c>
      <c r="AI16" s="7">
        <v>15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IFERROR(770/F16,0)</f>
        <v>1.4755197853789403E-2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128</v>
      </c>
      <c r="C17" s="7">
        <v>12</v>
      </c>
      <c r="D17" s="7">
        <v>7</v>
      </c>
      <c r="E17" s="7">
        <v>17433</v>
      </c>
      <c r="F17" s="7">
        <v>16474</v>
      </c>
      <c r="G17" s="7">
        <v>54</v>
      </c>
      <c r="H17" s="9">
        <f t="shared" si="12"/>
        <v>3.2778924365667113E-3</v>
      </c>
      <c r="I17" s="9">
        <f>IFERROR((17433-F17)/17433,0)</f>
        <v>5.5010612057591925E-2</v>
      </c>
      <c r="J17" s="7">
        <v>76190</v>
      </c>
      <c r="K17" s="11">
        <f t="shared" si="13"/>
        <v>66.069477444978233</v>
      </c>
      <c r="L17" s="11">
        <f>K17-68.438</f>
        <v>-2.3685225550217694</v>
      </c>
      <c r="M17" s="11">
        <v>81</v>
      </c>
      <c r="N17" s="11">
        <f t="shared" si="14"/>
        <v>-14.930522555021767</v>
      </c>
      <c r="O17" s="11">
        <f>IFERROR(866820/17433,0)</f>
        <v>49.722939253140595</v>
      </c>
      <c r="P17" s="11">
        <v>0</v>
      </c>
      <c r="Q17" s="11">
        <f t="shared" si="15"/>
        <v>49.722939253140595</v>
      </c>
      <c r="R17" s="7">
        <v>15030</v>
      </c>
      <c r="S17" s="11">
        <f t="shared" si="16"/>
        <v>130.33524688253354</v>
      </c>
      <c r="T17" s="13">
        <f t="shared" si="17"/>
        <v>5.0691949434464405</v>
      </c>
      <c r="U17" s="7">
        <v>26210</v>
      </c>
      <c r="V17" s="11">
        <f t="shared" si="18"/>
        <v>227.28455228151719</v>
      </c>
      <c r="W17" s="11">
        <f t="shared" si="19"/>
        <v>1.7438456420492345</v>
      </c>
      <c r="X17" s="11">
        <v>299.61571428569999</v>
      </c>
      <c r="Y17" s="11">
        <f t="shared" si="20"/>
        <v>197.26998293739342</v>
      </c>
      <c r="Z17" s="11">
        <f t="shared" si="21"/>
        <v>59.105186844914975</v>
      </c>
      <c r="AA17" s="7">
        <v>2423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17</v>
      </c>
      <c r="AF17" s="11">
        <v>33</v>
      </c>
      <c r="AG17" s="7">
        <f t="shared" si="22"/>
        <v>-17217.580000000002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47</v>
      </c>
      <c r="C18" s="7"/>
      <c r="D18" s="7">
        <v>7</v>
      </c>
      <c r="E18" s="7">
        <v>51536</v>
      </c>
      <c r="F18" s="7">
        <v>49417</v>
      </c>
      <c r="G18" s="7">
        <v>87</v>
      </c>
      <c r="H18" s="9">
        <f t="shared" si="12"/>
        <v>1.7605277536070583E-3</v>
      </c>
      <c r="I18" s="9">
        <f>IFERROR((51536-F18)/51536,0)</f>
        <v>4.1116889164855633E-2</v>
      </c>
      <c r="J18" s="7">
        <v>323640</v>
      </c>
      <c r="K18" s="11">
        <f t="shared" si="13"/>
        <v>93.559474905975108</v>
      </c>
      <c r="L18" s="11">
        <f>K18-94.3185</f>
        <v>-0.75902509402489216</v>
      </c>
      <c r="M18" s="11">
        <v>94.6</v>
      </c>
      <c r="N18" s="11">
        <f t="shared" si="14"/>
        <v>-1.0405250940248862</v>
      </c>
      <c r="O18" s="11">
        <f>IFERROR(8645830/51536,0)</f>
        <v>167.76292300527786</v>
      </c>
      <c r="P18" s="11">
        <v>176</v>
      </c>
      <c r="Q18" s="11">
        <f t="shared" si="15"/>
        <v>-8.2370769947221447</v>
      </c>
      <c r="R18" s="7">
        <v>40460</v>
      </c>
      <c r="S18" s="11">
        <f t="shared" si="16"/>
        <v>116.96379788331951</v>
      </c>
      <c r="T18" s="13">
        <f t="shared" si="17"/>
        <v>7.9990113692535836</v>
      </c>
      <c r="U18" s="7">
        <v>70633</v>
      </c>
      <c r="V18" s="11">
        <f t="shared" si="18"/>
        <v>204.18942006654737</v>
      </c>
      <c r="W18" s="11">
        <f t="shared" si="19"/>
        <v>1.7457488877904102</v>
      </c>
      <c r="X18" s="11">
        <v>299.56571428569998</v>
      </c>
      <c r="Y18" s="11">
        <f t="shared" si="20"/>
        <v>125.01544926461501</v>
      </c>
      <c r="Z18" s="11">
        <f t="shared" si="21"/>
        <v>37.450342355702084</v>
      </c>
      <c r="AA18" s="7">
        <v>1642</v>
      </c>
      <c r="AB18" s="15">
        <f>IFERROR(AA18/1720,0)</f>
        <v>0.95465116279069773</v>
      </c>
      <c r="AC18" s="11">
        <v>61.8</v>
      </c>
      <c r="AD18" s="15">
        <f>IFERROR(AC18/62.45,0)</f>
        <v>0.98959167333867082</v>
      </c>
      <c r="AE18" s="11">
        <v>22</v>
      </c>
      <c r="AF18" s="11">
        <v>28</v>
      </c>
      <c r="AG18" s="7">
        <f t="shared" si="22"/>
        <v>-3599.3739999999466</v>
      </c>
      <c r="AH18" s="7">
        <v>15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IFERROR(150/F18,0)</f>
        <v>3.0353926786328591E-3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95</v>
      </c>
      <c r="C19" s="7">
        <v>25</v>
      </c>
      <c r="D19" s="7">
        <v>7</v>
      </c>
      <c r="E19" s="7">
        <v>51311</v>
      </c>
      <c r="F19" s="7">
        <v>40318</v>
      </c>
      <c r="G19" s="7">
        <v>99</v>
      </c>
      <c r="H19" s="9">
        <f t="shared" si="12"/>
        <v>2.4554789424078576E-3</v>
      </c>
      <c r="I19" s="9">
        <f>IFERROR((51311-F19)/51311,0)</f>
        <v>0.21424256007483775</v>
      </c>
      <c r="J19" s="7">
        <v>247600</v>
      </c>
      <c r="K19" s="11">
        <f t="shared" si="13"/>
        <v>87.731109111137883</v>
      </c>
      <c r="L19" s="11">
        <f>K19-87.2971</f>
        <v>0.43400911113788254</v>
      </c>
      <c r="M19" s="11">
        <v>77</v>
      </c>
      <c r="N19" s="11">
        <f t="shared" si="14"/>
        <v>10.731109111137883</v>
      </c>
      <c r="O19" s="11">
        <f>IFERROR(20780449/51311,0)</f>
        <v>404.99013856677908</v>
      </c>
      <c r="P19" s="11">
        <v>0</v>
      </c>
      <c r="Q19" s="11">
        <f t="shared" si="15"/>
        <v>404.99013856677908</v>
      </c>
      <c r="R19" s="7">
        <v>34050</v>
      </c>
      <c r="S19" s="11">
        <f t="shared" si="16"/>
        <v>120.64799132610037</v>
      </c>
      <c r="T19" s="13">
        <f t="shared" si="17"/>
        <v>7.2716593245227603</v>
      </c>
      <c r="U19" s="7">
        <v>55990</v>
      </c>
      <c r="V19" s="11">
        <f t="shared" si="18"/>
        <v>198.38710820406342</v>
      </c>
      <c r="W19" s="11">
        <f t="shared" si="19"/>
        <v>1.6443465491923641</v>
      </c>
      <c r="X19" s="11">
        <v>308.43857142860003</v>
      </c>
      <c r="Y19" s="11">
        <f t="shared" si="20"/>
        <v>137.52019386106625</v>
      </c>
      <c r="Z19" s="11">
        <f t="shared" si="21"/>
        <v>42.416532137091401</v>
      </c>
      <c r="AA19" s="7">
        <v>0</v>
      </c>
      <c r="AB19" s="15">
        <f>IFERROR(AA19/1725,0)</f>
        <v>0</v>
      </c>
      <c r="AC19" s="11">
        <v>0</v>
      </c>
      <c r="AD19" s="15">
        <f>IFERROR(AC19/64.85,0)</f>
        <v>0</v>
      </c>
      <c r="AE19" s="11">
        <v>22</v>
      </c>
      <c r="AF19" s="11">
        <v>26</v>
      </c>
      <c r="AG19" s="7">
        <f t="shared" si="22"/>
        <v>30285.980000000003</v>
      </c>
      <c r="AH19" s="7">
        <v>20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IFERROR(150/F19,0)</f>
        <v>3.7204226400119052E-3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26</v>
      </c>
      <c r="C20" s="7"/>
      <c r="D20" s="7">
        <v>7</v>
      </c>
      <c r="E20" s="7">
        <v>52424</v>
      </c>
      <c r="F20" s="7">
        <v>51810</v>
      </c>
      <c r="G20" s="7">
        <v>87</v>
      </c>
      <c r="H20" s="9">
        <f t="shared" si="12"/>
        <v>1.6792125072379849E-3</v>
      </c>
      <c r="I20" s="9">
        <f>IFERROR((52424-F20)/52424,0)</f>
        <v>1.1712192888753243E-2</v>
      </c>
      <c r="J20" s="7">
        <v>323300</v>
      </c>
      <c r="K20" s="11">
        <f t="shared" si="13"/>
        <v>89.144401246312071</v>
      </c>
      <c r="L20" s="11">
        <f>K20-88.8133</f>
        <v>0.33110124631207327</v>
      </c>
      <c r="M20" s="11">
        <v>94.5</v>
      </c>
      <c r="N20" s="11">
        <f t="shared" si="14"/>
        <v>-5.3555987536879286</v>
      </c>
      <c r="O20" s="11">
        <f>IFERROR(1859600/52424,0)</f>
        <v>35.472302762093697</v>
      </c>
      <c r="P20" s="11">
        <v>40</v>
      </c>
      <c r="Q20" s="11">
        <f t="shared" si="15"/>
        <v>-4.5276972379063025</v>
      </c>
      <c r="R20" s="7">
        <v>41089</v>
      </c>
      <c r="S20" s="11">
        <f t="shared" si="16"/>
        <v>113.2958336779993</v>
      </c>
      <c r="T20" s="13">
        <f t="shared" si="17"/>
        <v>7.8682859159385723</v>
      </c>
      <c r="U20" s="7">
        <v>64530</v>
      </c>
      <c r="V20" s="11">
        <f t="shared" si="18"/>
        <v>177.93034990487223</v>
      </c>
      <c r="W20" s="11">
        <f t="shared" si="19"/>
        <v>1.5704933193798827</v>
      </c>
      <c r="X20" s="11">
        <v>310.24</v>
      </c>
      <c r="Y20" s="11">
        <f t="shared" si="20"/>
        <v>127.09248376121252</v>
      </c>
      <c r="Z20" s="11">
        <f t="shared" si="21"/>
        <v>39.429172162078572</v>
      </c>
      <c r="AA20" s="7">
        <v>1619</v>
      </c>
      <c r="AB20" s="15">
        <f>IFERROR(AA20/1575,0)</f>
        <v>1.0279365079365079</v>
      </c>
      <c r="AC20" s="11">
        <v>55.72</v>
      </c>
      <c r="AD20" s="15">
        <f>IFERROR(AC20/55.5,0)</f>
        <v>1.0039639639639639</v>
      </c>
      <c r="AE20" s="11">
        <v>22</v>
      </c>
      <c r="AF20" s="11">
        <v>27</v>
      </c>
      <c r="AG20" s="7">
        <f t="shared" si="22"/>
        <v>-19423.150000000009</v>
      </c>
      <c r="AH20" s="7">
        <v>31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35</v>
      </c>
      <c r="C21" s="7"/>
      <c r="D21" s="7">
        <v>7</v>
      </c>
      <c r="E21" s="7">
        <v>50845</v>
      </c>
      <c r="F21" s="7">
        <v>49918</v>
      </c>
      <c r="G21" s="7">
        <v>82</v>
      </c>
      <c r="H21" s="9">
        <f t="shared" si="12"/>
        <v>1.6426940181898313E-3</v>
      </c>
      <c r="I21" s="9">
        <f>IFERROR((50845-F21)/50845,0)</f>
        <v>1.8231881207591699E-2</v>
      </c>
      <c r="J21" s="7">
        <v>324020</v>
      </c>
      <c r="K21" s="11">
        <f t="shared" si="13"/>
        <v>92.729218775935379</v>
      </c>
      <c r="L21" s="11">
        <f>K21-95.3429</f>
        <v>-2.6136812240646208</v>
      </c>
      <c r="M21" s="11">
        <v>95.55</v>
      </c>
      <c r="N21" s="11">
        <f t="shared" si="14"/>
        <v>-2.8207812240646177</v>
      </c>
      <c r="O21" s="11">
        <f>IFERROR(4813430/50845,0)</f>
        <v>94.668698987117708</v>
      </c>
      <c r="P21" s="11">
        <v>99</v>
      </c>
      <c r="Q21" s="11">
        <f t="shared" si="15"/>
        <v>-4.3313010128822924</v>
      </c>
      <c r="R21" s="7">
        <v>41073</v>
      </c>
      <c r="S21" s="11">
        <f t="shared" si="16"/>
        <v>117.54420106116889</v>
      </c>
      <c r="T21" s="13">
        <f t="shared" si="17"/>
        <v>7.8888807732573714</v>
      </c>
      <c r="U21" s="7">
        <v>67464</v>
      </c>
      <c r="V21" s="11">
        <f t="shared" si="18"/>
        <v>193.07092202640905</v>
      </c>
      <c r="W21" s="11">
        <f t="shared" si="19"/>
        <v>1.6425388941640495</v>
      </c>
      <c r="X21" s="11">
        <v>311.29000000000002</v>
      </c>
      <c r="Y21" s="11">
        <f t="shared" si="20"/>
        <v>126.76069378433432</v>
      </c>
      <c r="Z21" s="11">
        <f t="shared" si="21"/>
        <v>39.459336368125435</v>
      </c>
      <c r="AA21" s="7">
        <v>1698</v>
      </c>
      <c r="AB21" s="15">
        <f>IFERROR(AA21/1695,0)</f>
        <v>1.0017699115044247</v>
      </c>
      <c r="AC21" s="11">
        <v>60.61</v>
      </c>
      <c r="AD21" s="15">
        <f>IFERROR(AC21/60.9,0)</f>
        <v>0.99523809523809526</v>
      </c>
      <c r="AE21" s="11">
        <v>20</v>
      </c>
      <c r="AF21" s="11">
        <v>27</v>
      </c>
      <c r="AG21" s="7">
        <f t="shared" si="22"/>
        <v>-9856.5430000000324</v>
      </c>
      <c r="AH21" s="7">
        <v>35</v>
      </c>
      <c r="AI21" s="7">
        <v>17.714285714300001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85</v>
      </c>
      <c r="C22" s="7">
        <v>22</v>
      </c>
      <c r="D22" s="7">
        <v>7</v>
      </c>
      <c r="E22" s="7">
        <v>20160</v>
      </c>
      <c r="F22" s="7">
        <v>15847</v>
      </c>
      <c r="G22" s="7">
        <v>26</v>
      </c>
      <c r="H22" s="9">
        <f t="shared" si="12"/>
        <v>1.6406890894175555E-3</v>
      </c>
      <c r="I22" s="9">
        <f>IFERROR((20160-F22)/20160,0)</f>
        <v>0.21393849206349205</v>
      </c>
      <c r="J22" s="7">
        <v>80630</v>
      </c>
      <c r="K22" s="11">
        <f t="shared" si="13"/>
        <v>72.686132571284347</v>
      </c>
      <c r="L22" s="11">
        <f>K22-73.2781</f>
        <v>-0.59196742871564823</v>
      </c>
      <c r="M22" s="11">
        <v>78</v>
      </c>
      <c r="N22" s="11">
        <f t="shared" si="14"/>
        <v>-5.3138674287156533</v>
      </c>
      <c r="O22" s="11">
        <f>IFERROR(5532119/20160,0)</f>
        <v>274.41066468253968</v>
      </c>
      <c r="P22" s="11">
        <v>0</v>
      </c>
      <c r="Q22" s="11">
        <f t="shared" si="15"/>
        <v>274.41066468253968</v>
      </c>
      <c r="R22" s="7">
        <v>13860</v>
      </c>
      <c r="S22" s="11">
        <f t="shared" si="16"/>
        <v>124.94478450179845</v>
      </c>
      <c r="T22" s="13">
        <f t="shared" si="17"/>
        <v>5.8174603174603172</v>
      </c>
      <c r="U22" s="7">
        <v>22430</v>
      </c>
      <c r="V22" s="11">
        <f t="shared" si="18"/>
        <v>202.20140810788882</v>
      </c>
      <c r="W22" s="11">
        <f t="shared" si="19"/>
        <v>1.6183261183261182</v>
      </c>
      <c r="X22" s="11">
        <v>275.9828571429</v>
      </c>
      <c r="Y22" s="11">
        <f t="shared" si="20"/>
        <v>171.8963165075034</v>
      </c>
      <c r="Z22" s="11">
        <f t="shared" si="21"/>
        <v>47.440436562081032</v>
      </c>
      <c r="AA22" s="7">
        <v>2040</v>
      </c>
      <c r="AB22" s="15">
        <f>IFERROR(AA22/1970,0)</f>
        <v>1.0355329949238579</v>
      </c>
      <c r="AC22" s="11">
        <v>65.3</v>
      </c>
      <c r="AD22" s="15">
        <f>IFERROR(AC22/64.9,0)</f>
        <v>1.0061633281972264</v>
      </c>
      <c r="AE22" s="11">
        <v>23</v>
      </c>
      <c r="AF22" s="11">
        <v>25</v>
      </c>
      <c r="AG22" s="7">
        <f t="shared" si="22"/>
        <v>-5894.6199999999872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26</v>
      </c>
      <c r="C23" s="7"/>
      <c r="D23" s="7">
        <v>7</v>
      </c>
      <c r="E23" s="7">
        <v>21875</v>
      </c>
      <c r="F23" s="7">
        <v>21620</v>
      </c>
      <c r="G23" s="7">
        <v>16</v>
      </c>
      <c r="H23" s="9">
        <f t="shared" si="12"/>
        <v>7.4005550416281218E-4</v>
      </c>
      <c r="I23" s="9">
        <f>IFERROR((21875-F23)/21875,0)</f>
        <v>1.1657142857142857E-2</v>
      </c>
      <c r="J23" s="7">
        <v>137620</v>
      </c>
      <c r="K23" s="11">
        <f t="shared" si="13"/>
        <v>90.934320074005541</v>
      </c>
      <c r="L23" s="11">
        <f>K23-91.5406</f>
        <v>-0.6062799259944569</v>
      </c>
      <c r="M23" s="11">
        <v>95</v>
      </c>
      <c r="N23" s="11">
        <f t="shared" si="14"/>
        <v>-4.0656799259944592</v>
      </c>
      <c r="O23" s="11">
        <f>IFERROR(1029910/21875,0)</f>
        <v>47.081600000000002</v>
      </c>
      <c r="P23" s="11">
        <v>45</v>
      </c>
      <c r="Q23" s="11">
        <f t="shared" si="15"/>
        <v>2.0816000000000017</v>
      </c>
      <c r="R23" s="7">
        <v>18640</v>
      </c>
      <c r="S23" s="11">
        <f t="shared" si="16"/>
        <v>123.16638033566802</v>
      </c>
      <c r="T23" s="13">
        <f t="shared" si="17"/>
        <v>7.383047210300429</v>
      </c>
      <c r="U23" s="7">
        <v>32264</v>
      </c>
      <c r="V23" s="11">
        <f t="shared" si="18"/>
        <v>213.18884630633011</v>
      </c>
      <c r="W23" s="11">
        <f t="shared" si="19"/>
        <v>1.730901287553648</v>
      </c>
      <c r="X23" s="11">
        <v>302.69</v>
      </c>
      <c r="Y23" s="11">
        <f t="shared" si="20"/>
        <v>135.44542944339486</v>
      </c>
      <c r="Z23" s="11">
        <f t="shared" si="21"/>
        <v>40.997977038221187</v>
      </c>
      <c r="AA23" s="7">
        <v>1939</v>
      </c>
      <c r="AB23" s="15">
        <f>IFERROR(AA23/1860,0)</f>
        <v>1.0424731182795699</v>
      </c>
      <c r="AC23" s="11">
        <v>58.54</v>
      </c>
      <c r="AD23" s="15">
        <f>IFERROR(AC23/58.5,0)</f>
        <v>1.0006837606837606</v>
      </c>
      <c r="AE23" s="11">
        <v>22</v>
      </c>
      <c r="AF23" s="11">
        <v>28</v>
      </c>
      <c r="AG23" s="7">
        <f t="shared" si="22"/>
        <v>-6153.0000000000155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85</v>
      </c>
      <c r="C24" s="7">
        <v>18</v>
      </c>
      <c r="D24" s="7">
        <v>7</v>
      </c>
      <c r="E24" s="7">
        <v>51833</v>
      </c>
      <c r="F24" s="7">
        <v>43121</v>
      </c>
      <c r="G24" s="7">
        <v>121</v>
      </c>
      <c r="H24" s="9">
        <f t="shared" si="12"/>
        <v>2.8060573734375364E-3</v>
      </c>
      <c r="I24" s="9">
        <f>IFERROR((51833-F24)/51833,0)</f>
        <v>0.16807825130708237</v>
      </c>
      <c r="J24" s="7">
        <v>226040</v>
      </c>
      <c r="K24" s="11">
        <f t="shared" si="13"/>
        <v>74.885620860899721</v>
      </c>
      <c r="L24" s="11">
        <f>K24-78.211</f>
        <v>-3.3253791391002778</v>
      </c>
      <c r="M24" s="11">
        <v>80</v>
      </c>
      <c r="N24" s="11">
        <f t="shared" si="14"/>
        <v>-5.1143791391002793</v>
      </c>
      <c r="O24" s="11">
        <f>IFERROR(17233118/51833,0)</f>
        <v>332.47386799915114</v>
      </c>
      <c r="P24" s="11">
        <v>0</v>
      </c>
      <c r="Q24" s="11">
        <f t="shared" si="15"/>
        <v>332.47386799915114</v>
      </c>
      <c r="R24" s="7">
        <v>35047</v>
      </c>
      <c r="S24" s="11">
        <f t="shared" si="16"/>
        <v>116.10849205060842</v>
      </c>
      <c r="T24" s="13">
        <f t="shared" si="17"/>
        <v>6.4496247895682943</v>
      </c>
      <c r="U24" s="7">
        <v>54465</v>
      </c>
      <c r="V24" s="11">
        <f t="shared" si="18"/>
        <v>180.43909662842432</v>
      </c>
      <c r="W24" s="11">
        <f t="shared" si="19"/>
        <v>1.5540559819670727</v>
      </c>
      <c r="X24" s="11">
        <v>300.06571428569998</v>
      </c>
      <c r="Y24" s="11">
        <f t="shared" si="20"/>
        <v>155.047779154132</v>
      </c>
      <c r="Z24" s="11">
        <f t="shared" si="21"/>
        <v>46.524522600296088</v>
      </c>
      <c r="AA24" s="7">
        <v>1807</v>
      </c>
      <c r="AB24" s="15">
        <f>IFERROR(AA24/1970,0)</f>
        <v>0.91725888324873095</v>
      </c>
      <c r="AC24" s="11">
        <v>0</v>
      </c>
      <c r="AD24" s="15">
        <f>IFERROR(AC24/64.9,0)</f>
        <v>0</v>
      </c>
      <c r="AE24" s="11">
        <v>18</v>
      </c>
      <c r="AF24" s="11">
        <v>27</v>
      </c>
      <c r="AG24" s="7">
        <f t="shared" si="22"/>
        <v>-15437.60000000002</v>
      </c>
      <c r="AH24" s="7">
        <v>37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IFERROR(200/F24,0)</f>
        <v>4.6381113610537792E-3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84</v>
      </c>
      <c r="C25" s="7">
        <v>18</v>
      </c>
      <c r="D25" s="7">
        <v>7</v>
      </c>
      <c r="E25" s="7">
        <v>21623</v>
      </c>
      <c r="F25" s="7">
        <v>18533</v>
      </c>
      <c r="G25" s="7">
        <v>26</v>
      </c>
      <c r="H25" s="9">
        <f t="shared" si="12"/>
        <v>1.4029029299088113E-3</v>
      </c>
      <c r="I25" s="9">
        <f>IFERROR((21623-F25)/21623,0)</f>
        <v>0.14290338990889331</v>
      </c>
      <c r="J25" s="7">
        <v>93860</v>
      </c>
      <c r="K25" s="11">
        <f t="shared" si="13"/>
        <v>72.34970824244013</v>
      </c>
      <c r="L25" s="11">
        <f>K25-76.251</f>
        <v>-3.9012917575598749</v>
      </c>
      <c r="M25" s="11">
        <v>86</v>
      </c>
      <c r="N25" s="11">
        <f t="shared" si="14"/>
        <v>-13.65029175755987</v>
      </c>
      <c r="O25" s="11">
        <f>IFERROR(7116105/21623,0)</f>
        <v>329.09887619664244</v>
      </c>
      <c r="P25" s="11">
        <v>0</v>
      </c>
      <c r="Q25" s="11">
        <f t="shared" si="15"/>
        <v>329.09887619664244</v>
      </c>
      <c r="R25" s="7">
        <v>15756</v>
      </c>
      <c r="S25" s="11">
        <f t="shared" si="16"/>
        <v>121.45131078924851</v>
      </c>
      <c r="T25" s="13">
        <f t="shared" si="17"/>
        <v>5.9570957095709574</v>
      </c>
      <c r="U25" s="7">
        <v>27232</v>
      </c>
      <c r="V25" s="11">
        <f t="shared" si="18"/>
        <v>209.91127795207004</v>
      </c>
      <c r="W25" s="11">
        <f t="shared" si="19"/>
        <v>1.7283574511297284</v>
      </c>
      <c r="X25" s="11">
        <v>286.36142857139998</v>
      </c>
      <c r="Y25" s="11">
        <f t="shared" si="20"/>
        <v>167.8670360110803</v>
      </c>
      <c r="Z25" s="11">
        <f t="shared" si="21"/>
        <v>48.070644242179604</v>
      </c>
      <c r="AA25" s="7">
        <v>2131</v>
      </c>
      <c r="AB25" s="15">
        <f>IFERROR(AA25/1970,0)</f>
        <v>1.081725888324873</v>
      </c>
      <c r="AC25" s="11">
        <v>65.11</v>
      </c>
      <c r="AD25" s="15">
        <f>IFERROR(AC25/64.9,0)</f>
        <v>1.0032357473035438</v>
      </c>
      <c r="AE25" s="11">
        <v>18</v>
      </c>
      <c r="AF25" s="11">
        <v>27</v>
      </c>
      <c r="AG25" s="7">
        <f t="shared" si="22"/>
        <v>-17708.659999999996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70</v>
      </c>
      <c r="B26" s="5">
        <v>74</v>
      </c>
      <c r="C26" s="7">
        <v>1</v>
      </c>
      <c r="D26" s="7">
        <v>7</v>
      </c>
      <c r="E26" s="7">
        <v>47224</v>
      </c>
      <c r="F26" s="7">
        <v>38914</v>
      </c>
      <c r="G26" s="7">
        <v>214</v>
      </c>
      <c r="H26" s="9">
        <f t="shared" si="12"/>
        <v>5.4993061623066245E-3</v>
      </c>
      <c r="I26" s="9">
        <f>IFERROR((47224-F26)/47224,0)</f>
        <v>0.17596984584109776</v>
      </c>
      <c r="J26" s="7">
        <v>0</v>
      </c>
      <c r="K26" s="11">
        <f t="shared" si="13"/>
        <v>0</v>
      </c>
      <c r="L26" s="11">
        <f>K26-47.4341</f>
        <v>-47.434100000000001</v>
      </c>
      <c r="M26" s="11">
        <v>26</v>
      </c>
      <c r="N26" s="11">
        <f t="shared" si="14"/>
        <v>-26</v>
      </c>
      <c r="O26" s="11">
        <f>IFERROR(13473090/47224,0)</f>
        <v>285.30175334575637</v>
      </c>
      <c r="P26" s="11">
        <v>0</v>
      </c>
      <c r="Q26" s="11">
        <f t="shared" si="15"/>
        <v>285.30175334575637</v>
      </c>
      <c r="R26" s="7">
        <v>7840</v>
      </c>
      <c r="S26" s="11">
        <f t="shared" si="16"/>
        <v>28.781415428894483</v>
      </c>
      <c r="T26" s="13">
        <f t="shared" si="17"/>
        <v>0</v>
      </c>
      <c r="U26" s="7">
        <v>24700</v>
      </c>
      <c r="V26" s="11">
        <f t="shared" si="18"/>
        <v>90.676142996644614</v>
      </c>
      <c r="W26" s="11">
        <f t="shared" si="19"/>
        <v>3.1505102040816326</v>
      </c>
      <c r="X26" s="11">
        <v>299.39</v>
      </c>
      <c r="Y26" s="11">
        <f t="shared" si="20"/>
        <v>0</v>
      </c>
      <c r="Z26" s="11">
        <f t="shared" si="21"/>
        <v>0</v>
      </c>
      <c r="AA26" s="7">
        <v>0</v>
      </c>
      <c r="AB26" s="15">
        <f>IFERROR(AA26/1580,0)</f>
        <v>0</v>
      </c>
      <c r="AC26" s="11">
        <v>0</v>
      </c>
      <c r="AD26" s="15">
        <f>IFERROR(AC26/63.4,0)</f>
        <v>0</v>
      </c>
      <c r="AE26" s="11">
        <v>17</v>
      </c>
      <c r="AF26" s="11">
        <v>29</v>
      </c>
      <c r="AG26" s="7">
        <f t="shared" si="22"/>
        <v>-70823.48</v>
      </c>
      <c r="AH26" s="7">
        <v>3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105</v>
      </c>
      <c r="C27" s="7">
        <v>32</v>
      </c>
      <c r="D27" s="7">
        <v>7</v>
      </c>
      <c r="E27" s="7">
        <v>33376</v>
      </c>
      <c r="F27" s="7">
        <v>30541</v>
      </c>
      <c r="G27" s="7">
        <v>108</v>
      </c>
      <c r="H27" s="9">
        <f t="shared" si="12"/>
        <v>3.5362299859205658E-3</v>
      </c>
      <c r="I27" s="9">
        <f>IFERROR((33376-F27)/33376,0)</f>
        <v>8.4941275167785241E-2</v>
      </c>
      <c r="J27" s="7">
        <v>129360</v>
      </c>
      <c r="K27" s="11">
        <f t="shared" si="13"/>
        <v>60.508824203529677</v>
      </c>
      <c r="L27" s="11">
        <f>K27-28.8334</f>
        <v>31.675424203529676</v>
      </c>
      <c r="M27" s="11">
        <v>71</v>
      </c>
      <c r="N27" s="11">
        <f t="shared" si="14"/>
        <v>-10.491175796470323</v>
      </c>
      <c r="O27" s="11">
        <f>IFERROR(13329053/33376,0)</f>
        <v>399.3604086768936</v>
      </c>
      <c r="P27" s="11">
        <v>0</v>
      </c>
      <c r="Q27" s="11">
        <f t="shared" si="15"/>
        <v>399.3604086768936</v>
      </c>
      <c r="R27" s="7">
        <v>24040</v>
      </c>
      <c r="S27" s="11">
        <f t="shared" si="16"/>
        <v>112.44837150996084</v>
      </c>
      <c r="T27" s="13">
        <f t="shared" si="17"/>
        <v>5.3810316139767052</v>
      </c>
      <c r="U27" s="7">
        <v>38400</v>
      </c>
      <c r="V27" s="11">
        <f t="shared" si="18"/>
        <v>179.61803103088587</v>
      </c>
      <c r="W27" s="11">
        <f t="shared" si="19"/>
        <v>1.5973377703826956</v>
      </c>
      <c r="X27" s="11">
        <v>268.85142857139999</v>
      </c>
      <c r="Y27" s="11">
        <f t="shared" si="20"/>
        <v>185.83797155225727</v>
      </c>
      <c r="Z27" s="11">
        <f t="shared" si="21"/>
        <v>49.962804134635562</v>
      </c>
      <c r="AA27" s="7">
        <v>0</v>
      </c>
      <c r="AB27" s="15">
        <f>IFERROR(AA27/0,0)</f>
        <v>0</v>
      </c>
      <c r="AC27" s="11">
        <v>0</v>
      </c>
      <c r="AD27" s="15">
        <f>IFERROR(AC27/0,0)</f>
        <v>0</v>
      </c>
      <c r="AE27" s="11">
        <v>18</v>
      </c>
      <c r="AF27" s="11">
        <v>29</v>
      </c>
      <c r="AG27" s="7">
        <f t="shared" si="22"/>
        <v>-22428.770000000011</v>
      </c>
      <c r="AH27" s="7">
        <v>31.25</v>
      </c>
      <c r="AI27" s="7">
        <v>20.48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105</v>
      </c>
      <c r="C28" s="7">
        <v>32</v>
      </c>
      <c r="D28" s="7">
        <v>7</v>
      </c>
      <c r="E28" s="7">
        <v>12390</v>
      </c>
      <c r="F28" s="7">
        <v>10325</v>
      </c>
      <c r="G28" s="7">
        <v>26</v>
      </c>
      <c r="H28" s="9">
        <f t="shared" si="12"/>
        <v>2.5181598062953997E-3</v>
      </c>
      <c r="I28" s="9">
        <f>IFERROR((12390-F28)/12390,0)</f>
        <v>0.16666666666666666</v>
      </c>
      <c r="J28" s="7">
        <v>57340</v>
      </c>
      <c r="K28" s="11">
        <f t="shared" si="13"/>
        <v>79.335869941196819</v>
      </c>
      <c r="L28" s="11">
        <f>K28-33.0955</f>
        <v>46.240369941196818</v>
      </c>
      <c r="M28" s="11">
        <v>71</v>
      </c>
      <c r="N28" s="11">
        <f t="shared" si="14"/>
        <v>8.3358699411968189</v>
      </c>
      <c r="O28" s="11">
        <f>IFERROR(5439298/12390,0)</f>
        <v>439.00710250201774</v>
      </c>
      <c r="P28" s="11">
        <v>0</v>
      </c>
      <c r="Q28" s="11">
        <f t="shared" si="15"/>
        <v>439.00710250201774</v>
      </c>
      <c r="R28" s="7">
        <v>10170</v>
      </c>
      <c r="S28" s="11">
        <f t="shared" si="16"/>
        <v>140.71255620892427</v>
      </c>
      <c r="T28" s="13">
        <f t="shared" si="17"/>
        <v>5.6381514257620449</v>
      </c>
      <c r="U28" s="7">
        <v>18500</v>
      </c>
      <c r="V28" s="11">
        <f t="shared" si="18"/>
        <v>255.9667934970598</v>
      </c>
      <c r="W28" s="11">
        <f t="shared" si="19"/>
        <v>1.819075712881022</v>
      </c>
      <c r="X28" s="11">
        <v>286.99142857139998</v>
      </c>
      <c r="Y28" s="11">
        <f t="shared" si="20"/>
        <v>177.36309731426581</v>
      </c>
      <c r="Z28" s="11">
        <f t="shared" si="21"/>
        <v>50.901688674069383</v>
      </c>
      <c r="AA28" s="7">
        <v>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16</v>
      </c>
      <c r="AF28" s="11">
        <v>29</v>
      </c>
      <c r="AG28" s="7">
        <f t="shared" si="22"/>
        <v>6024.7500000000009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7</v>
      </c>
      <c r="E29" s="17">
        <f>SUM(E14:E28)</f>
        <v>519693</v>
      </c>
      <c r="F29" s="17">
        <f>SUM(F14:F28)</f>
        <v>466118</v>
      </c>
      <c r="G29" s="17">
        <f>SUM(G14:G28)</f>
        <v>1213</v>
      </c>
      <c r="H29" s="18">
        <f t="shared" si="12"/>
        <v>2.6023453288652231E-3</v>
      </c>
      <c r="I29" s="18"/>
      <c r="J29" s="17">
        <f>SUM(J14:J28)</f>
        <v>2417010</v>
      </c>
      <c r="K29" s="19">
        <f t="shared" si="13"/>
        <v>74.077195657997081</v>
      </c>
      <c r="L29" s="19"/>
      <c r="M29" s="19">
        <f>IFERROR(SUMPRODUCT($F14:$F28,M14:M28)/$F29, 0)</f>
        <v>80.012104445655382</v>
      </c>
      <c r="N29" s="19">
        <f t="shared" si="14"/>
        <v>-5.9349087876583013</v>
      </c>
      <c r="O29" s="19">
        <f>IFERROR(SUMPRODUCT($E14:$E28,O14:O28)/$E29, 0)</f>
        <v>224.67476567896816</v>
      </c>
      <c r="P29" s="19">
        <f>IFERROR(SUMPRODUCT($E14:$E28,P14:P28)/$E29, 0)</f>
        <v>57.818800715037533</v>
      </c>
      <c r="Q29" s="19">
        <f>IFERROR(SUMPRODUCT($E14:$E28,Q14:Q28)/$E29, 0)</f>
        <v>166.85596496393063</v>
      </c>
      <c r="R29" s="17">
        <f>SUM(R14:R28)</f>
        <v>354055</v>
      </c>
      <c r="S29" s="19">
        <f>IFERROR(R29/D29/$F29*1000,0)</f>
        <v>108.51176250281199</v>
      </c>
      <c r="T29" s="20">
        <f t="shared" si="17"/>
        <v>6.8266512265043566</v>
      </c>
      <c r="U29" s="17">
        <f>SUM(U14:U28)</f>
        <v>600418</v>
      </c>
      <c r="V29" s="19">
        <f>IFERROR(U29/D29/$F29*1000,0)</f>
        <v>184.01778090526432</v>
      </c>
      <c r="W29" s="19">
        <f t="shared" si="19"/>
        <v>1.6958325683862674</v>
      </c>
      <c r="X29" s="19">
        <f>IFERROR(SUMPRODUCT(R14:R28,X14:X28)/R29,0)</f>
        <v>298.72672950732277</v>
      </c>
      <c r="Y29" s="19">
        <f>IFERROR(($F29*S29)/($F29*K29)*100,0)</f>
        <v>146.48470631068966</v>
      </c>
      <c r="Z29" s="19">
        <f t="shared" si="21"/>
        <v>43.758897239033011</v>
      </c>
      <c r="AA29" s="17"/>
      <c r="AB29" s="21">
        <f>IFERROR(SUMPRODUCT($F14:$F28,AB14:AB28)/$F29,0)</f>
        <v>0.64970182094699136</v>
      </c>
      <c r="AC29" s="19"/>
      <c r="AD29" s="21">
        <f>AVERAGE(AD14:AD28)</f>
        <v>0.39992510458168407</v>
      </c>
      <c r="AE29" s="19"/>
      <c r="AF29" s="19"/>
      <c r="AG29" s="17">
        <f>SUM(AG14:AG28)</f>
        <v>-193645.74699999997</v>
      </c>
      <c r="AH29" s="17">
        <f>SUM(AH14:AH28)</f>
        <v>212.25</v>
      </c>
      <c r="AI29" s="17">
        <f>IFERROR(SUMPRODUCT(AH14:AH28,AI14:AI28)/AH29, 0)</f>
        <v>18.468786808011778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7</v>
      </c>
      <c r="E31" s="23">
        <f>E12+E29</f>
        <v>565898</v>
      </c>
      <c r="F31" s="23">
        <f>F12+F29</f>
        <v>507345</v>
      </c>
      <c r="G31" s="23">
        <f>G12+G29</f>
        <v>1416</v>
      </c>
      <c r="H31" s="24">
        <f>IFERROR(G31/F31,0)</f>
        <v>2.791000206959761E-3</v>
      </c>
      <c r="I31" s="23"/>
      <c r="J31" s="23">
        <f>J12+J29</f>
        <v>2629350</v>
      </c>
      <c r="K31" s="25">
        <f>IFERROR(J31/D31/F31*100,0)</f>
        <v>74.036686785408065</v>
      </c>
      <c r="L31" s="23"/>
      <c r="M31" s="25">
        <f>IFERROR($F$12/$F31*M$12,0)+IFERROR($F$29/$F31*M$29,0)</f>
        <v>80.526819225576276</v>
      </c>
      <c r="N31" s="25">
        <f>K31-M31</f>
        <v>-6.4901324401682103</v>
      </c>
      <c r="O31" s="23">
        <f>IFERROR($E$12/$E31*O$12,0)+IFERROR($E$29/$E31*O$29,0)</f>
        <v>222.93386617376277</v>
      </c>
      <c r="P31" s="23">
        <f>IFERROR($E$12/$E31*P$12,0)+IFERROR($E$29/$E31*P$29,0)</f>
        <v>71.768315138063741</v>
      </c>
      <c r="Q31" s="23">
        <f>IFERROR($E$12/$E31*Q$12,0)+IFERROR($E$29/$E31*Q$29,0)</f>
        <v>151.16555103569902</v>
      </c>
      <c r="R31" s="23">
        <f>R12+R29</f>
        <v>388550</v>
      </c>
      <c r="S31" s="25">
        <f>IFERROR(R31/D31/$F31*1000,0)</f>
        <v>109.40709548166012</v>
      </c>
      <c r="T31" s="26">
        <f>IFERROR(J31/R31,0)</f>
        <v>6.7670827435336509</v>
      </c>
      <c r="U31" s="23">
        <f>U12+U29</f>
        <v>615538</v>
      </c>
      <c r="V31" s="25">
        <f>IFERROR(U31/D31/$F31*1000,0)</f>
        <v>173.32190127033871</v>
      </c>
      <c r="W31" s="25">
        <f>IFERROR(V31/S31,0)</f>
        <v>1.5841925106163943</v>
      </c>
      <c r="X31" s="25">
        <f>IFERROR($F$12/$F31*X$12,0)+IFERROR($F$29/$F31*X$29,0)</f>
        <v>304.33563959927466</v>
      </c>
      <c r="Y31" s="25">
        <f>IFERROR(($F31*S31)/($F31*K31)*100,0)</f>
        <v>147.77416471751573</v>
      </c>
      <c r="Z31" s="25">
        <f>IFERROR(Y31*X31/1000,0)</f>
        <v>44.972944935553713</v>
      </c>
      <c r="AA31" s="23"/>
      <c r="AB31" s="27"/>
      <c r="AC31" s="23"/>
      <c r="AD31" s="27"/>
      <c r="AE31" s="23"/>
      <c r="AF31" s="23"/>
      <c r="AG31" s="23">
        <f>AG12+AG29</f>
        <v>-230491.53699999998</v>
      </c>
      <c r="AH31" s="23">
        <f>AH12+AH29</f>
        <v>212.25</v>
      </c>
      <c r="AI31" s="23">
        <f>IFERROR(AH$12/AH31*AI$12,0)+IFERROR(AH$29/AH31*AI$29,0)</f>
        <v>18.468786808011778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27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61</v>
      </c>
      <c r="T34" s="32" t="s">
        <v>70</v>
      </c>
      <c r="U34" s="32" t="s">
        <v>71</v>
      </c>
      <c r="V34" s="32" t="s">
        <v>72</v>
      </c>
      <c r="W34" s="32" t="s">
        <v>62</v>
      </c>
      <c r="X34" s="32" t="s">
        <v>66</v>
      </c>
      <c r="Y34" s="32" t="s">
        <v>67</v>
      </c>
      <c r="Z34" s="32" t="s">
        <v>81</v>
      </c>
      <c r="AA34" s="32" t="s">
        <v>64</v>
      </c>
    </row>
    <row r="35" spans="1:27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>
        <v>2.5000000000000001E-3</v>
      </c>
      <c r="T35" s="8">
        <v>5.3E-3</v>
      </c>
      <c r="U35" s="8">
        <v>6.3E-3</v>
      </c>
      <c r="V35" s="8">
        <v>2.7000000000000001E-3</v>
      </c>
      <c r="W35" s="8">
        <v>1.5E-3</v>
      </c>
      <c r="X35" s="8">
        <v>1.4E-3</v>
      </c>
      <c r="Y35" s="8">
        <v>2.8E-3</v>
      </c>
      <c r="Z35" s="8">
        <v>1.6999999999999999E-3</v>
      </c>
      <c r="AA35" s="8">
        <v>6.9999999999999999E-4</v>
      </c>
    </row>
    <row r="36" spans="1:27" x14ac:dyDescent="0.3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>
        <v>1.32E-2</v>
      </c>
      <c r="P36" s="9">
        <v>2.3999999999999998E-3</v>
      </c>
      <c r="Q36" s="9">
        <v>4.1999999999999997E-3</v>
      </c>
      <c r="R36" s="9">
        <v>1.6999999999999999E-3</v>
      </c>
      <c r="S36" s="9">
        <v>2.5000000000000001E-3</v>
      </c>
      <c r="T36" s="9">
        <v>5.7999999999999996E-3</v>
      </c>
      <c r="U36" s="9">
        <v>3.5999999999999999E-3</v>
      </c>
      <c r="V36" s="9">
        <v>2.3E-3</v>
      </c>
      <c r="W36" s="9">
        <v>1.5E-3</v>
      </c>
      <c r="X36" s="9">
        <v>1E-3</v>
      </c>
      <c r="Y36" s="9">
        <v>3.0000000000000001E-3</v>
      </c>
      <c r="Z36" s="9">
        <v>1.8E-3</v>
      </c>
      <c r="AA36" s="9">
        <v>1E-3</v>
      </c>
    </row>
    <row r="37" spans="1:27" ht="15" thickBot="1" x14ac:dyDescent="0.35">
      <c r="B37" s="5">
        <v>202503</v>
      </c>
      <c r="C37" s="5"/>
      <c r="D37" s="9">
        <v>2.8E-3</v>
      </c>
      <c r="E37" s="9">
        <v>4.8999999999999998E-3</v>
      </c>
      <c r="F37" s="9">
        <v>2.5999999999999999E-3</v>
      </c>
      <c r="G37" s="9">
        <v>5.8999999999999999E-3</v>
      </c>
      <c r="H37" s="9">
        <v>5.8999999999999999E-3</v>
      </c>
      <c r="I37" s="9">
        <v>3.5999999999999999E-3</v>
      </c>
      <c r="J37" s="9">
        <v>3.3999999999999998E-3</v>
      </c>
      <c r="K37" s="9">
        <v>3.2000000000000002E-3</v>
      </c>
      <c r="L37" s="9">
        <v>3.0000000000000001E-3</v>
      </c>
      <c r="M37" s="9">
        <v>2.2000000000000001E-3</v>
      </c>
      <c r="N37" s="9">
        <v>1.6000000000000001E-3</v>
      </c>
      <c r="O37" s="9">
        <v>9.7999999999999997E-3</v>
      </c>
      <c r="P37" s="9">
        <v>2.5000000000000001E-3</v>
      </c>
      <c r="Q37" s="9">
        <v>3.3E-3</v>
      </c>
      <c r="R37" s="9">
        <v>1.8E-3</v>
      </c>
      <c r="S37" s="9">
        <v>2.5000000000000001E-3</v>
      </c>
      <c r="T37" s="9">
        <v>5.4999999999999997E-3</v>
      </c>
      <c r="U37" s="9">
        <v>3.5000000000000001E-3</v>
      </c>
      <c r="V37" s="9">
        <v>2.5000000000000001E-3</v>
      </c>
      <c r="W37" s="9">
        <v>1.6999999999999999E-3</v>
      </c>
      <c r="X37" s="9">
        <v>6.9999999999999999E-4</v>
      </c>
      <c r="Y37" s="9">
        <v>2.8E-3</v>
      </c>
      <c r="Z37" s="9">
        <v>1.4E-3</v>
      </c>
      <c r="AA37" s="9">
        <v>1.6000000000000001E-3</v>
      </c>
    </row>
    <row r="38" spans="1:27" ht="15" thickBot="1" x14ac:dyDescent="0.35">
      <c r="B38" s="22" t="s">
        <v>82</v>
      </c>
      <c r="C38" s="22"/>
      <c r="D38" s="24">
        <f t="shared" ref="D38:AA38" si="23">AVERAGE(D35:D37)</f>
        <v>2.8333333333333335E-3</v>
      </c>
      <c r="E38" s="24">
        <f t="shared" si="23"/>
        <v>4.8000000000000004E-3</v>
      </c>
      <c r="F38" s="24">
        <f t="shared" si="23"/>
        <v>2.6333333333333334E-3</v>
      </c>
      <c r="G38" s="24">
        <f t="shared" si="23"/>
        <v>6.6666666666666671E-3</v>
      </c>
      <c r="H38" s="24">
        <f t="shared" si="23"/>
        <v>4.966666666666667E-3</v>
      </c>
      <c r="I38" s="24">
        <f t="shared" si="23"/>
        <v>3.8333333333333331E-3</v>
      </c>
      <c r="J38" s="24">
        <f t="shared" si="23"/>
        <v>3.2666666666666664E-3</v>
      </c>
      <c r="K38" s="24">
        <f t="shared" si="23"/>
        <v>3.5666666666666663E-3</v>
      </c>
      <c r="L38" s="24">
        <f t="shared" si="23"/>
        <v>2.3333333333333335E-3</v>
      </c>
      <c r="M38" s="24">
        <f t="shared" si="23"/>
        <v>2.6666666666666666E-3</v>
      </c>
      <c r="N38" s="24">
        <f t="shared" si="23"/>
        <v>1.8333333333333333E-3</v>
      </c>
      <c r="O38" s="24">
        <f t="shared" si="23"/>
        <v>9.5999999999999992E-3</v>
      </c>
      <c r="P38" s="24">
        <f t="shared" si="23"/>
        <v>2.4333333333333329E-3</v>
      </c>
      <c r="Q38" s="24">
        <f t="shared" si="23"/>
        <v>3.6333333333333335E-3</v>
      </c>
      <c r="R38" s="24">
        <f t="shared" si="23"/>
        <v>1.7333333333333333E-3</v>
      </c>
      <c r="S38" s="24">
        <f t="shared" si="23"/>
        <v>2.5000000000000001E-3</v>
      </c>
      <c r="T38" s="24">
        <f t="shared" si="23"/>
        <v>5.5333333333333319E-3</v>
      </c>
      <c r="U38" s="24">
        <f t="shared" si="23"/>
        <v>4.4666666666666665E-3</v>
      </c>
      <c r="V38" s="24">
        <f t="shared" si="23"/>
        <v>2.5000000000000001E-3</v>
      </c>
      <c r="W38" s="24">
        <f t="shared" si="23"/>
        <v>1.5666666666666667E-3</v>
      </c>
      <c r="X38" s="24">
        <f t="shared" si="23"/>
        <v>1.0333333333333334E-3</v>
      </c>
      <c r="Y38" s="24">
        <f t="shared" si="23"/>
        <v>2.8666666666666667E-3</v>
      </c>
      <c r="Z38" s="24">
        <f t="shared" si="23"/>
        <v>1.6333333333333332E-3</v>
      </c>
      <c r="AA38" s="24">
        <f t="shared" si="23"/>
        <v>1.1000000000000001E-3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9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5.44140625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45676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45682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106</v>
      </c>
      <c r="C6" s="7">
        <v>5</v>
      </c>
      <c r="D6" s="7">
        <v>7</v>
      </c>
      <c r="E6" s="7">
        <v>1197</v>
      </c>
      <c r="F6" s="7">
        <v>1113</v>
      </c>
      <c r="G6" s="7">
        <v>7</v>
      </c>
      <c r="H6" s="9">
        <f t="shared" ref="H6:H12" si="0">IFERROR(G6/F6,0)</f>
        <v>6.2893081761006293E-3</v>
      </c>
      <c r="I6" s="9">
        <f>IFERROR((1197-F6)/1197,0)</f>
        <v>7.0175438596491224E-2</v>
      </c>
      <c r="J6" s="7">
        <v>4970</v>
      </c>
      <c r="K6" s="11">
        <f t="shared" ref="K6:K12" si="1">IFERROR(J6/D6/F6*100,0)</f>
        <v>63.791554357592098</v>
      </c>
      <c r="L6" s="11">
        <f>K6-64.2857</f>
        <v>-0.49414564240790781</v>
      </c>
      <c r="M6" s="11">
        <v>27</v>
      </c>
      <c r="N6" s="11">
        <f t="shared" ref="N6:N12" si="2">K6-M6</f>
        <v>36.791554357592098</v>
      </c>
      <c r="O6" s="11">
        <f>IFERROR(79250/1197,0)</f>
        <v>66.207184628237258</v>
      </c>
      <c r="P6" s="11">
        <v>0</v>
      </c>
      <c r="Q6" s="11">
        <f t="shared" ref="Q6:Q11" si="3">IFERROR(O6-P6,0)</f>
        <v>66.207184628237258</v>
      </c>
      <c r="R6" s="7">
        <v>875</v>
      </c>
      <c r="S6" s="11">
        <f t="shared" ref="S6:S11" si="4">IFERROR(R6/D6/F6*1000,0)</f>
        <v>112.30907457322552</v>
      </c>
      <c r="T6" s="13">
        <f t="shared" ref="T6:T12" si="5">IFERROR(J6/R6,0)</f>
        <v>5.68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176.05633802816902</v>
      </c>
      <c r="Z6" s="11">
        <f t="shared" ref="Z6:Z12" si="9">IFERROR(Y6*X6/1000,0)</f>
        <v>52.267605633802823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10</v>
      </c>
      <c r="AF6" s="11">
        <v>34</v>
      </c>
      <c r="AG6" s="7">
        <f t="shared" ref="AG6:AG11" si="10">IF(M6=0,0,IFERROR(N6/100*7*F6,0))</f>
        <v>2866.4300000000003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66</v>
      </c>
      <c r="C7" s="7"/>
      <c r="D7" s="7">
        <v>7</v>
      </c>
      <c r="E7" s="7">
        <v>14440</v>
      </c>
      <c r="F7" s="7">
        <v>12396</v>
      </c>
      <c r="G7" s="7">
        <v>73</v>
      </c>
      <c r="H7" s="9">
        <f t="shared" si="0"/>
        <v>5.8889964504678927E-3</v>
      </c>
      <c r="I7" s="9">
        <f>IFERROR((14440-F7)/14440,0)</f>
        <v>0.14155124653739612</v>
      </c>
      <c r="J7" s="7">
        <v>60970</v>
      </c>
      <c r="K7" s="11">
        <f t="shared" si="1"/>
        <v>70.264601484349782</v>
      </c>
      <c r="L7" s="11">
        <f>K7-71.2166</f>
        <v>-0.95199851565021731</v>
      </c>
      <c r="M7" s="11">
        <v>83</v>
      </c>
      <c r="N7" s="11">
        <f t="shared" si="2"/>
        <v>-12.735398515650218</v>
      </c>
      <c r="O7" s="11">
        <f>IFERROR(3821380/14440,0)</f>
        <v>264.63850415512468</v>
      </c>
      <c r="P7" s="11">
        <v>292</v>
      </c>
      <c r="Q7" s="11">
        <f t="shared" si="3"/>
        <v>-27.361495844875321</v>
      </c>
      <c r="R7" s="7">
        <v>9940</v>
      </c>
      <c r="S7" s="11">
        <f t="shared" si="4"/>
        <v>114.55308163923847</v>
      </c>
      <c r="T7" s="13">
        <f t="shared" si="5"/>
        <v>6.1338028169014081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163.0309988518944</v>
      </c>
      <c r="Z7" s="11">
        <f t="shared" si="9"/>
        <v>60.835017221584394</v>
      </c>
      <c r="AA7" s="7">
        <v>0</v>
      </c>
      <c r="AB7" s="15">
        <f>IFERROR(AA7/1960,0)</f>
        <v>0</v>
      </c>
      <c r="AC7" s="11">
        <v>0</v>
      </c>
      <c r="AD7" s="15">
        <f>IFERROR(AC7/64,0)</f>
        <v>0</v>
      </c>
      <c r="AE7" s="11">
        <v>10</v>
      </c>
      <c r="AF7" s="11">
        <v>34</v>
      </c>
      <c r="AG7" s="7">
        <f t="shared" si="10"/>
        <v>-11050.760000000006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66</v>
      </c>
      <c r="C8" s="7"/>
      <c r="D8" s="7">
        <v>7</v>
      </c>
      <c r="E8" s="7">
        <v>16063</v>
      </c>
      <c r="F8" s="7">
        <v>14027</v>
      </c>
      <c r="G8" s="7">
        <v>82</v>
      </c>
      <c r="H8" s="9">
        <f t="shared" si="0"/>
        <v>5.8458686818279038E-3</v>
      </c>
      <c r="I8" s="9">
        <f>IFERROR((16063-F8)/16063,0)</f>
        <v>0.12675091825935381</v>
      </c>
      <c r="J8" s="7">
        <v>61860</v>
      </c>
      <c r="K8" s="11">
        <f t="shared" si="1"/>
        <v>63.000947152939737</v>
      </c>
      <c r="L8" s="11">
        <f>K8-62.4222</f>
        <v>0.57874715293974077</v>
      </c>
      <c r="M8" s="11">
        <v>85</v>
      </c>
      <c r="N8" s="11">
        <f t="shared" si="2"/>
        <v>-21.999052847060263</v>
      </c>
      <c r="O8" s="11">
        <f>IFERROR(3959490/16063,0)</f>
        <v>246.49754093257798</v>
      </c>
      <c r="P8" s="11">
        <v>291</v>
      </c>
      <c r="Q8" s="11">
        <f t="shared" si="3"/>
        <v>-44.502459067422024</v>
      </c>
      <c r="R8" s="7">
        <v>10710</v>
      </c>
      <c r="S8" s="11">
        <f t="shared" si="4"/>
        <v>109.07535467313039</v>
      </c>
      <c r="T8" s="13">
        <f t="shared" si="5"/>
        <v>5.7759103641456582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173.13288069835113</v>
      </c>
      <c r="Z8" s="11">
        <f t="shared" si="9"/>
        <v>64.059165858389918</v>
      </c>
      <c r="AA8" s="7">
        <v>0</v>
      </c>
      <c r="AB8" s="15">
        <f>IFERROR(AA8/1580,0)</f>
        <v>0</v>
      </c>
      <c r="AC8" s="11">
        <v>0</v>
      </c>
      <c r="AD8" s="15">
        <f>IFERROR(AC8/63.2,0)</f>
        <v>0</v>
      </c>
      <c r="AE8" s="11">
        <v>10</v>
      </c>
      <c r="AF8" s="11">
        <v>34</v>
      </c>
      <c r="AG8" s="7">
        <f t="shared" si="10"/>
        <v>-21600.650000000005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27</v>
      </c>
      <c r="C9" s="7"/>
      <c r="D9" s="7">
        <v>7</v>
      </c>
      <c r="E9" s="7">
        <v>4686</v>
      </c>
      <c r="F9" s="7">
        <v>4374</v>
      </c>
      <c r="G9" s="7">
        <v>22</v>
      </c>
      <c r="H9" s="9">
        <f t="shared" si="0"/>
        <v>5.0297210791037956E-3</v>
      </c>
      <c r="I9" s="9">
        <f>IFERROR((4686-F9)/4686,0)</f>
        <v>6.6581306017925737E-2</v>
      </c>
      <c r="J9" s="7">
        <v>26880</v>
      </c>
      <c r="K9" s="11">
        <f t="shared" si="1"/>
        <v>87.791495198902609</v>
      </c>
      <c r="L9" s="11">
        <f>K9-86.6697</f>
        <v>1.1217951989026034</v>
      </c>
      <c r="M9" s="11">
        <v>95.5</v>
      </c>
      <c r="N9" s="11">
        <f t="shared" si="2"/>
        <v>-7.7085048010973907</v>
      </c>
      <c r="O9" s="11">
        <f>IFERROR(195810/4686,0)</f>
        <v>41.786171574903967</v>
      </c>
      <c r="P9" s="11">
        <v>52</v>
      </c>
      <c r="Q9" s="11">
        <f t="shared" si="3"/>
        <v>-10.213828425096033</v>
      </c>
      <c r="R9" s="7">
        <v>3860</v>
      </c>
      <c r="S9" s="11">
        <f t="shared" si="4"/>
        <v>126.06963224247176</v>
      </c>
      <c r="T9" s="13">
        <f t="shared" si="5"/>
        <v>6.9637305699481864</v>
      </c>
      <c r="U9" s="7">
        <v>5040</v>
      </c>
      <c r="V9" s="11">
        <f t="shared" si="6"/>
        <v>164.6090534979424</v>
      </c>
      <c r="W9" s="11">
        <f t="shared" si="7"/>
        <v>1.3056994818652849</v>
      </c>
      <c r="X9" s="11">
        <v>362.76</v>
      </c>
      <c r="Y9" s="11">
        <f t="shared" si="8"/>
        <v>143.60119047619048</v>
      </c>
      <c r="Z9" s="11">
        <f t="shared" si="9"/>
        <v>52.092767857142853</v>
      </c>
      <c r="AA9" s="7">
        <v>0</v>
      </c>
      <c r="AB9" s="15">
        <f>IFERROR(AA9/1880,0)</f>
        <v>0</v>
      </c>
      <c r="AC9" s="11">
        <v>0</v>
      </c>
      <c r="AD9" s="15">
        <f>IFERROR(AC9/58.4,0)</f>
        <v>0</v>
      </c>
      <c r="AE9" s="11">
        <v>17</v>
      </c>
      <c r="AF9" s="11">
        <v>32</v>
      </c>
      <c r="AG9" s="7">
        <f t="shared" si="10"/>
        <v>-2360.1899999999991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66</v>
      </c>
      <c r="C10" s="7"/>
      <c r="D10" s="7">
        <v>7</v>
      </c>
      <c r="E10" s="7">
        <v>5000</v>
      </c>
      <c r="F10" s="7">
        <v>4371</v>
      </c>
      <c r="G10" s="7">
        <v>18</v>
      </c>
      <c r="H10" s="9">
        <f t="shared" si="0"/>
        <v>4.1180507892930682E-3</v>
      </c>
      <c r="I10" s="9">
        <f>IFERROR((5000-F10)/5000,0)</f>
        <v>0.1258</v>
      </c>
      <c r="J10" s="7">
        <v>27810</v>
      </c>
      <c r="K10" s="11">
        <f t="shared" si="1"/>
        <v>90.891263849396992</v>
      </c>
      <c r="L10" s="11">
        <f>K10-92.7644</f>
        <v>-1.8731361506030026</v>
      </c>
      <c r="M10" s="11">
        <v>83</v>
      </c>
      <c r="N10" s="11">
        <f t="shared" si="2"/>
        <v>7.8912638493969922</v>
      </c>
      <c r="O10" s="11">
        <f>IFERROR(1337890/5000,0)</f>
        <v>267.57799999999997</v>
      </c>
      <c r="P10" s="11">
        <v>292</v>
      </c>
      <c r="Q10" s="11">
        <f t="shared" si="3"/>
        <v>-24.422000000000025</v>
      </c>
      <c r="R10" s="7">
        <v>4183</v>
      </c>
      <c r="S10" s="11">
        <f t="shared" si="4"/>
        <v>136.71274961597544</v>
      </c>
      <c r="T10" s="13">
        <f t="shared" si="5"/>
        <v>6.6483385130289268</v>
      </c>
      <c r="U10" s="7">
        <v>5040</v>
      </c>
      <c r="V10" s="11">
        <f t="shared" si="6"/>
        <v>164.72203157172271</v>
      </c>
      <c r="W10" s="11">
        <f t="shared" si="7"/>
        <v>1.2048768826201288</v>
      </c>
      <c r="X10" s="11">
        <v>374.81</v>
      </c>
      <c r="Y10" s="11">
        <f t="shared" si="8"/>
        <v>150.41352031643297</v>
      </c>
      <c r="Z10" s="11">
        <f t="shared" si="9"/>
        <v>56.376491549802239</v>
      </c>
      <c r="AA10" s="7">
        <v>0</v>
      </c>
      <c r="AB10" s="15">
        <f>IFERROR(AA10/1960,0)</f>
        <v>0</v>
      </c>
      <c r="AC10" s="11">
        <v>0</v>
      </c>
      <c r="AD10" s="15">
        <f>IFERROR(AC10/64,0)</f>
        <v>0</v>
      </c>
      <c r="AE10" s="11">
        <v>15</v>
      </c>
      <c r="AF10" s="11">
        <v>34</v>
      </c>
      <c r="AG10" s="7">
        <f t="shared" si="10"/>
        <v>2414.489999999998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27</v>
      </c>
      <c r="C11" s="7"/>
      <c r="D11" s="7">
        <v>7</v>
      </c>
      <c r="E11" s="7">
        <v>4819</v>
      </c>
      <c r="F11" s="7">
        <v>4735</v>
      </c>
      <c r="G11" s="7">
        <v>9</v>
      </c>
      <c r="H11" s="9">
        <f t="shared" si="0"/>
        <v>1.9007391763463568E-3</v>
      </c>
      <c r="I11" s="9">
        <f>IFERROR((4819-F11)/4819,0)</f>
        <v>1.7431002282631253E-2</v>
      </c>
      <c r="J11" s="7">
        <v>29880</v>
      </c>
      <c r="K11" s="11">
        <f t="shared" si="1"/>
        <v>90.149343792427203</v>
      </c>
      <c r="L11" s="11">
        <f>K11-85.2807</f>
        <v>4.868643792427207</v>
      </c>
      <c r="M11" s="11">
        <v>95.5</v>
      </c>
      <c r="N11" s="11">
        <f t="shared" si="2"/>
        <v>-5.350656207572797</v>
      </c>
      <c r="O11" s="11">
        <f>IFERROR(214476/4819,0)</f>
        <v>44.506329113924053</v>
      </c>
      <c r="P11" s="11">
        <v>52</v>
      </c>
      <c r="Q11" s="11">
        <f t="shared" si="3"/>
        <v>-7.4936708860759467</v>
      </c>
      <c r="R11" s="7">
        <v>4395</v>
      </c>
      <c r="S11" s="11">
        <f t="shared" si="4"/>
        <v>132.59918539749586</v>
      </c>
      <c r="T11" s="13">
        <f t="shared" si="5"/>
        <v>6.7986348122866893</v>
      </c>
      <c r="U11" s="7">
        <v>5040</v>
      </c>
      <c r="V11" s="11">
        <f t="shared" si="6"/>
        <v>152.05913410770856</v>
      </c>
      <c r="W11" s="11">
        <f t="shared" si="7"/>
        <v>1.1467576791808873</v>
      </c>
      <c r="X11" s="11">
        <v>310.93714285710001</v>
      </c>
      <c r="Y11" s="11">
        <f t="shared" si="8"/>
        <v>147.08835341365466</v>
      </c>
      <c r="Z11" s="11">
        <f t="shared" si="9"/>
        <v>45.735232357997155</v>
      </c>
      <c r="AA11" s="7">
        <v>0</v>
      </c>
      <c r="AB11" s="15">
        <f>IFERROR(AA11/1880,0)</f>
        <v>0</v>
      </c>
      <c r="AC11" s="11">
        <v>0</v>
      </c>
      <c r="AD11" s="15">
        <f>IFERROR(AC11/58.4,0)</f>
        <v>0</v>
      </c>
      <c r="AE11" s="11">
        <v>15</v>
      </c>
      <c r="AF11" s="11">
        <v>33</v>
      </c>
      <c r="AG11" s="7">
        <f t="shared" si="10"/>
        <v>-1773.4750000000038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41016</v>
      </c>
      <c r="G12" s="17">
        <f>SUM(G6:G11)</f>
        <v>211</v>
      </c>
      <c r="H12" s="18">
        <f t="shared" si="0"/>
        <v>5.1443339184708402E-3</v>
      </c>
      <c r="I12" s="18"/>
      <c r="J12" s="17">
        <f>SUM(J6:J11)</f>
        <v>212370</v>
      </c>
      <c r="K12" s="19">
        <f t="shared" si="1"/>
        <v>73.967650254952773</v>
      </c>
      <c r="L12" s="19"/>
      <c r="M12" s="19">
        <f>IFERROR(SUMPRODUCT($F6:$F11,M6:M11)/$F12, 0)</f>
        <v>84.940425687536575</v>
      </c>
      <c r="N12" s="19">
        <f t="shared" si="2"/>
        <v>-10.972775432583802</v>
      </c>
      <c r="O12" s="19">
        <f>IFERROR(SUMPRODUCT($E6:$E11,O6:O11)/$E12, 0)</f>
        <v>207.94926955957146</v>
      </c>
      <c r="P12" s="19">
        <f>IFERROR(SUMPRODUCT($E6:$E11,P6:P11)/$E12, 0)</f>
        <v>234.71643761497674</v>
      </c>
      <c r="Q12" s="19">
        <f>IFERROR(SUMPRODUCT($E6:$E11,Q6:Q11)/$E12, 0)</f>
        <v>-26.767168055405261</v>
      </c>
      <c r="R12" s="17">
        <f>SUM(R6:R11)</f>
        <v>33963</v>
      </c>
      <c r="S12" s="19">
        <f>IFERROR(R12/D12/$F12*1000,0)</f>
        <v>118.29181643400486</v>
      </c>
      <c r="T12" s="20">
        <f t="shared" si="5"/>
        <v>6.2529811854076494</v>
      </c>
      <c r="U12" s="17">
        <f>SUM(U6:U11)</f>
        <v>15120</v>
      </c>
      <c r="V12" s="19">
        <f>IFERROR(U12/D12/$F12*1000,0)</f>
        <v>52.6623756582797</v>
      </c>
      <c r="W12" s="19">
        <f t="shared" si="7"/>
        <v>0.44519035420899211</v>
      </c>
      <c r="X12" s="19">
        <f>IFERROR(SUMPRODUCT(R6:R11,X6:X11)/R12,0)</f>
        <v>361.16460774539809</v>
      </c>
      <c r="Y12" s="19">
        <f>IFERROR(($F12*S12)/($F12*K12)*100,0)</f>
        <v>159.92371803927114</v>
      </c>
      <c r="Z12" s="19">
        <f t="shared" si="9"/>
        <v>57.758786894839005</v>
      </c>
      <c r="AA12" s="17"/>
      <c r="AB12" s="21">
        <f>IFERROR(SUMPRODUCT($F6:$F11,AB6:AB11)/$F12,0)</f>
        <v>0</v>
      </c>
      <c r="AC12" s="19"/>
      <c r="AD12" s="21">
        <f>AVERAGE(AD6:AD11)</f>
        <v>0</v>
      </c>
      <c r="AE12" s="19"/>
      <c r="AF12" s="19"/>
      <c r="AG12" s="17">
        <f>SUM(AG6:AG11)</f>
        <v>-31504.155000000013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66</v>
      </c>
      <c r="C14" s="6">
        <v>3</v>
      </c>
      <c r="D14" s="6">
        <v>7</v>
      </c>
      <c r="E14" s="6">
        <v>21388</v>
      </c>
      <c r="F14" s="6">
        <v>17319</v>
      </c>
      <c r="G14" s="6">
        <v>42</v>
      </c>
      <c r="H14" s="8">
        <f t="shared" ref="H14:H29" si="12">IFERROR(G14/F14,0)</f>
        <v>2.4250822795773429E-3</v>
      </c>
      <c r="I14" s="8">
        <f>IFERROR((21388-F14)/21388,0)</f>
        <v>0.19024686740228167</v>
      </c>
      <c r="J14" s="6">
        <v>0</v>
      </c>
      <c r="K14" s="10">
        <f t="shared" ref="K14:K29" si="13">IFERROR(J14/D14/F14*100,0)</f>
        <v>0</v>
      </c>
      <c r="L14" s="10">
        <f>K14-0</f>
        <v>0</v>
      </c>
      <c r="M14" s="10">
        <v>0</v>
      </c>
      <c r="N14" s="10">
        <f t="shared" ref="N14:N29" si="14">K14-M14</f>
        <v>0</v>
      </c>
      <c r="O14" s="10">
        <f>IFERROR(4134960/21388,0)</f>
        <v>193.33083972320927</v>
      </c>
      <c r="P14" s="10">
        <v>0</v>
      </c>
      <c r="Q14" s="10">
        <f t="shared" ref="Q14:Q28" si="15">IFERROR(O14-P14,0)</f>
        <v>193.33083972320927</v>
      </c>
      <c r="R14" s="6">
        <v>4700</v>
      </c>
      <c r="S14" s="10">
        <f t="shared" ref="S14:S28" si="16">IFERROR(R14/D14/F14*1000,0)</f>
        <v>38.768322156508546</v>
      </c>
      <c r="T14" s="12">
        <f t="shared" ref="T14:T29" si="17">IFERROR(J14/R14,0)</f>
        <v>0</v>
      </c>
      <c r="U14" s="6">
        <v>22400</v>
      </c>
      <c r="V14" s="10">
        <f t="shared" ref="V14:V28" si="18">IFERROR(U14/D14/F14*1000,0)</f>
        <v>184.76817368208327</v>
      </c>
      <c r="W14" s="10">
        <f t="shared" ref="W14:W29" si="19">IFERROR(V14/S14,0)</f>
        <v>4.7659574468085104</v>
      </c>
      <c r="X14" s="10">
        <v>277.5</v>
      </c>
      <c r="Y14" s="10">
        <f t="shared" ref="Y14:Y28" si="20">IFERROR((F14*S14)/(F14*K14)*100,0)</f>
        <v>0</v>
      </c>
      <c r="Z14" s="10">
        <f t="shared" ref="Z14:Z29" si="21">IFERROR(Y14*X14/1000,0)</f>
        <v>0</v>
      </c>
      <c r="AA14" s="6">
        <v>0</v>
      </c>
      <c r="AB14" s="14">
        <f>IFERROR(AA14/1580,0)</f>
        <v>0</v>
      </c>
      <c r="AC14" s="10">
        <v>0</v>
      </c>
      <c r="AD14" s="14">
        <f>IFERROR(AC14/63.2,0)</f>
        <v>0</v>
      </c>
      <c r="AE14" s="10">
        <v>0</v>
      </c>
      <c r="AF14" s="10">
        <v>25</v>
      </c>
      <c r="AG14" s="6">
        <f t="shared" ref="AG14:AG28" si="22">IF(M14=0,0,IFERROR(N14/100*7*F14,0))</f>
        <v>0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27</v>
      </c>
      <c r="C15" s="7"/>
      <c r="D15" s="7">
        <v>7</v>
      </c>
      <c r="E15" s="7">
        <v>10225</v>
      </c>
      <c r="F15" s="7">
        <v>9663</v>
      </c>
      <c r="G15" s="7">
        <v>71</v>
      </c>
      <c r="H15" s="9">
        <f t="shared" si="12"/>
        <v>7.3476146124392015E-3</v>
      </c>
      <c r="I15" s="9">
        <f>IFERROR((10225-F15)/10225,0)</f>
        <v>5.496332518337408E-2</v>
      </c>
      <c r="J15" s="7">
        <v>44010</v>
      </c>
      <c r="K15" s="11">
        <f t="shared" si="13"/>
        <v>65.064088348782548</v>
      </c>
      <c r="L15" s="11">
        <f>K15-70.3132</f>
        <v>-5.2491116512174472</v>
      </c>
      <c r="M15" s="11">
        <v>95.5</v>
      </c>
      <c r="N15" s="11">
        <f t="shared" si="14"/>
        <v>-30.435911651217452</v>
      </c>
      <c r="O15" s="11">
        <f>IFERROR(408840/10225,0)</f>
        <v>39.98435207823961</v>
      </c>
      <c r="P15" s="11">
        <v>52</v>
      </c>
      <c r="Q15" s="11">
        <f t="shared" si="15"/>
        <v>-12.01564792176039</v>
      </c>
      <c r="R15" s="7">
        <v>7980</v>
      </c>
      <c r="S15" s="11">
        <f t="shared" si="16"/>
        <v>117.97578391803788</v>
      </c>
      <c r="T15" s="13">
        <f t="shared" si="17"/>
        <v>5.5150375939849621</v>
      </c>
      <c r="U15" s="7">
        <v>12740</v>
      </c>
      <c r="V15" s="11">
        <f t="shared" si="18"/>
        <v>188.34730414984992</v>
      </c>
      <c r="W15" s="11">
        <f t="shared" si="19"/>
        <v>1.5964912280701753</v>
      </c>
      <c r="X15" s="11">
        <v>308.7185714286</v>
      </c>
      <c r="Y15" s="11">
        <f t="shared" si="20"/>
        <v>181.32242672119972</v>
      </c>
      <c r="Z15" s="11">
        <f t="shared" si="21"/>
        <v>55.97760054533579</v>
      </c>
      <c r="AA15" s="7">
        <v>1750</v>
      </c>
      <c r="AB15" s="15">
        <f>IFERROR(AA15/1880,0)</f>
        <v>0.93085106382978722</v>
      </c>
      <c r="AC15" s="11">
        <v>61.3</v>
      </c>
      <c r="AD15" s="15">
        <f>IFERROR(AC15/58.4,0)</f>
        <v>1.0496575342465753</v>
      </c>
      <c r="AE15" s="11">
        <v>24</v>
      </c>
      <c r="AF15" s="11">
        <v>32</v>
      </c>
      <c r="AG15" s="7">
        <f t="shared" si="22"/>
        <v>-20587.154999999999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55</v>
      </c>
      <c r="C16" s="7"/>
      <c r="D16" s="7">
        <v>7</v>
      </c>
      <c r="E16" s="7">
        <v>56050</v>
      </c>
      <c r="F16" s="7">
        <v>52057</v>
      </c>
      <c r="G16" s="7">
        <v>128</v>
      </c>
      <c r="H16" s="9">
        <f t="shared" si="12"/>
        <v>2.4588431911174288E-3</v>
      </c>
      <c r="I16" s="9">
        <f>IFERROR((56050-F16)/56050,0)</f>
        <v>7.1239964317573595E-2</v>
      </c>
      <c r="J16" s="7">
        <v>344560</v>
      </c>
      <c r="K16" s="11">
        <f t="shared" si="13"/>
        <v>94.555693072703278</v>
      </c>
      <c r="L16" s="11">
        <f>K16-95.6761</f>
        <v>-1.1204069272967274</v>
      </c>
      <c r="M16" s="11">
        <v>92.7</v>
      </c>
      <c r="N16" s="11">
        <f t="shared" si="14"/>
        <v>1.855693072703275</v>
      </c>
      <c r="O16" s="11">
        <f>IFERROR(12487851/56050,0)</f>
        <v>222.79841213202496</v>
      </c>
      <c r="P16" s="11">
        <v>226</v>
      </c>
      <c r="Q16" s="11">
        <f t="shared" si="15"/>
        <v>-3.2015878679750358</v>
      </c>
      <c r="R16" s="7">
        <v>42750</v>
      </c>
      <c r="S16" s="11">
        <f t="shared" si="16"/>
        <v>117.31645805833715</v>
      </c>
      <c r="T16" s="13">
        <f t="shared" si="17"/>
        <v>8.0598830409356719</v>
      </c>
      <c r="U16" s="7">
        <v>63900</v>
      </c>
      <c r="V16" s="11">
        <f t="shared" si="18"/>
        <v>175.35723204509344</v>
      </c>
      <c r="W16" s="11">
        <f t="shared" si="19"/>
        <v>1.4947368421052634</v>
      </c>
      <c r="X16" s="11">
        <v>302.27999999999997</v>
      </c>
      <c r="Y16" s="11">
        <f t="shared" si="20"/>
        <v>124.07127931274668</v>
      </c>
      <c r="Z16" s="11">
        <f t="shared" si="21"/>
        <v>37.504266310657059</v>
      </c>
      <c r="AA16" s="7">
        <v>1763</v>
      </c>
      <c r="AB16" s="15">
        <f>IFERROR(AA16/1725,0)</f>
        <v>1.0220289855072464</v>
      </c>
      <c r="AC16" s="11">
        <v>0</v>
      </c>
      <c r="AD16" s="15">
        <f>IFERROR(AC16/62.95,0)</f>
        <v>0</v>
      </c>
      <c r="AE16" s="11">
        <v>21</v>
      </c>
      <c r="AF16" s="11">
        <v>26</v>
      </c>
      <c r="AG16" s="7">
        <f t="shared" si="22"/>
        <v>6762.1270000000077</v>
      </c>
      <c r="AH16" s="7">
        <v>32</v>
      </c>
      <c r="AI16" s="7">
        <v>23.75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IFERROR(660/F16,0)</f>
        <v>1.2678410204199244E-2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129</v>
      </c>
      <c r="C17" s="7">
        <v>13</v>
      </c>
      <c r="D17" s="7">
        <v>7</v>
      </c>
      <c r="E17" s="7">
        <v>17433</v>
      </c>
      <c r="F17" s="7">
        <v>16406</v>
      </c>
      <c r="G17" s="7">
        <v>68</v>
      </c>
      <c r="H17" s="9">
        <f t="shared" si="12"/>
        <v>4.1448250640009751E-3</v>
      </c>
      <c r="I17" s="9">
        <f>IFERROR((17433-F17)/17433,0)</f>
        <v>5.8911260253542132E-2</v>
      </c>
      <c r="J17" s="7">
        <v>73580</v>
      </c>
      <c r="K17" s="11">
        <f t="shared" si="13"/>
        <v>64.070636178401628</v>
      </c>
      <c r="L17" s="11">
        <f>K17-66.0695</f>
        <v>-1.9988638215983769</v>
      </c>
      <c r="M17" s="11">
        <v>81</v>
      </c>
      <c r="N17" s="11">
        <f t="shared" si="14"/>
        <v>-16.929363821598372</v>
      </c>
      <c r="O17" s="11">
        <f>IFERROR(940400/17433,0)</f>
        <v>53.943670051052599</v>
      </c>
      <c r="P17" s="11">
        <v>0</v>
      </c>
      <c r="Q17" s="11">
        <f t="shared" si="15"/>
        <v>53.943670051052599</v>
      </c>
      <c r="R17" s="7">
        <v>14880</v>
      </c>
      <c r="S17" s="11">
        <f t="shared" si="16"/>
        <v>129.56932132843386</v>
      </c>
      <c r="T17" s="13">
        <f t="shared" si="17"/>
        <v>4.94489247311828</v>
      </c>
      <c r="U17" s="7">
        <v>25690</v>
      </c>
      <c r="V17" s="11">
        <f t="shared" si="18"/>
        <v>223.69864683652321</v>
      </c>
      <c r="W17" s="11">
        <f t="shared" si="19"/>
        <v>1.7264784946236558</v>
      </c>
      <c r="X17" s="11">
        <v>296.11571428569999</v>
      </c>
      <c r="Y17" s="11">
        <f t="shared" si="20"/>
        <v>202.22886653982064</v>
      </c>
      <c r="Z17" s="11">
        <f t="shared" si="21"/>
        <v>59.883145264626485</v>
      </c>
      <c r="AA17" s="7">
        <v>0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19</v>
      </c>
      <c r="AF17" s="11">
        <v>33</v>
      </c>
      <c r="AG17" s="7">
        <f t="shared" si="22"/>
        <v>-19442.020000000004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48</v>
      </c>
      <c r="C18" s="7"/>
      <c r="D18" s="7">
        <v>7</v>
      </c>
      <c r="E18" s="7">
        <v>51536</v>
      </c>
      <c r="F18" s="7">
        <v>49334</v>
      </c>
      <c r="G18" s="7">
        <v>83</v>
      </c>
      <c r="H18" s="9">
        <f t="shared" si="12"/>
        <v>1.6824096971662546E-3</v>
      </c>
      <c r="I18" s="9">
        <f>IFERROR((51536-F18)/51536,0)</f>
        <v>4.2727413846631479E-2</v>
      </c>
      <c r="J18" s="7">
        <v>327920</v>
      </c>
      <c r="K18" s="11">
        <f t="shared" si="13"/>
        <v>94.956245765018608</v>
      </c>
      <c r="L18" s="11">
        <f>K18-93.5595</f>
        <v>1.3967457650186077</v>
      </c>
      <c r="M18" s="11">
        <v>94.35</v>
      </c>
      <c r="N18" s="11">
        <f t="shared" si="14"/>
        <v>0.60624576501861327</v>
      </c>
      <c r="O18" s="11">
        <f>IFERROR(8973750/51536,0)</f>
        <v>174.12585377212045</v>
      </c>
      <c r="P18" s="11">
        <v>182</v>
      </c>
      <c r="Q18" s="11">
        <f t="shared" si="15"/>
        <v>-7.8741462278795495</v>
      </c>
      <c r="R18" s="7">
        <v>40490</v>
      </c>
      <c r="S18" s="11">
        <f t="shared" si="16"/>
        <v>117.24745032403038</v>
      </c>
      <c r="T18" s="13">
        <f t="shared" si="17"/>
        <v>8.0987898246480619</v>
      </c>
      <c r="U18" s="7">
        <v>69222</v>
      </c>
      <c r="V18" s="11">
        <f t="shared" si="18"/>
        <v>200.44709820523661</v>
      </c>
      <c r="W18" s="11">
        <f t="shared" si="19"/>
        <v>1.7096073104470237</v>
      </c>
      <c r="X18" s="11">
        <v>301.2357142857</v>
      </c>
      <c r="Y18" s="11">
        <f t="shared" si="20"/>
        <v>123.47523786289341</v>
      </c>
      <c r="Z18" s="11">
        <f t="shared" si="21"/>
        <v>37.195151474225405</v>
      </c>
      <c r="AA18" s="7">
        <v>1654</v>
      </c>
      <c r="AB18" s="15">
        <f>IFERROR(AA18/1720,0)</f>
        <v>0.96162790697674416</v>
      </c>
      <c r="AC18" s="11">
        <v>62.1</v>
      </c>
      <c r="AD18" s="15">
        <f>IFERROR(AC18/62.55,0)</f>
        <v>0.9928057553956835</v>
      </c>
      <c r="AE18" s="11">
        <v>22</v>
      </c>
      <c r="AF18" s="11">
        <v>28</v>
      </c>
      <c r="AG18" s="7">
        <f t="shared" si="22"/>
        <v>2093.5969999999784</v>
      </c>
      <c r="AH18" s="7">
        <v>15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IFERROR(100/F18,0)</f>
        <v>2.0269996351400658E-3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96</v>
      </c>
      <c r="C19" s="7">
        <v>26</v>
      </c>
      <c r="D19" s="7">
        <v>7</v>
      </c>
      <c r="E19" s="7">
        <v>51311</v>
      </c>
      <c r="F19" s="7">
        <v>40212</v>
      </c>
      <c r="G19" s="7">
        <v>106</v>
      </c>
      <c r="H19" s="9">
        <f t="shared" si="12"/>
        <v>2.6360290460559037E-3</v>
      </c>
      <c r="I19" s="9">
        <f>IFERROR((51311-F19)/51311,0)</f>
        <v>0.21630839391163689</v>
      </c>
      <c r="J19" s="7">
        <v>245940</v>
      </c>
      <c r="K19" s="11">
        <f t="shared" si="13"/>
        <v>87.372639297437871</v>
      </c>
      <c r="L19" s="11">
        <f>K19-87.7311</f>
        <v>-0.3584607025621267</v>
      </c>
      <c r="M19" s="11">
        <v>76</v>
      </c>
      <c r="N19" s="11">
        <f t="shared" si="14"/>
        <v>11.372639297437871</v>
      </c>
      <c r="O19" s="11">
        <f>IFERROR(21026389/51311,0)</f>
        <v>409.78326284812226</v>
      </c>
      <c r="P19" s="11">
        <v>0</v>
      </c>
      <c r="Q19" s="11">
        <f t="shared" si="15"/>
        <v>409.78326284812226</v>
      </c>
      <c r="R19" s="7">
        <v>32610</v>
      </c>
      <c r="S19" s="11">
        <f t="shared" si="16"/>
        <v>115.85027923434369</v>
      </c>
      <c r="T19" s="13">
        <f t="shared" si="17"/>
        <v>7.5418583256669729</v>
      </c>
      <c r="U19" s="7">
        <v>55080</v>
      </c>
      <c r="V19" s="11">
        <f t="shared" si="18"/>
        <v>195.67719657245172</v>
      </c>
      <c r="W19" s="11">
        <f t="shared" si="19"/>
        <v>1.689052437902484</v>
      </c>
      <c r="X19" s="11">
        <v>308.03857142859999</v>
      </c>
      <c r="Y19" s="11">
        <f t="shared" si="20"/>
        <v>132.5933154427909</v>
      </c>
      <c r="Z19" s="11">
        <f t="shared" si="21"/>
        <v>40.843855469979033</v>
      </c>
      <c r="AA19" s="7">
        <v>1665</v>
      </c>
      <c r="AB19" s="15">
        <f>IFERROR(AA19/1725,0)</f>
        <v>0.9652173913043478</v>
      </c>
      <c r="AC19" s="11">
        <v>0</v>
      </c>
      <c r="AD19" s="15">
        <f>IFERROR(AC19/64.85,0)</f>
        <v>0</v>
      </c>
      <c r="AE19" s="11">
        <v>22</v>
      </c>
      <c r="AF19" s="11">
        <v>26</v>
      </c>
      <c r="AG19" s="7">
        <f t="shared" si="22"/>
        <v>32012.160000000018</v>
      </c>
      <c r="AH19" s="7">
        <v>20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IFERROR(0/F19,0)</f>
        <v>0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27</v>
      </c>
      <c r="C20" s="7"/>
      <c r="D20" s="7">
        <v>7</v>
      </c>
      <c r="E20" s="7">
        <v>52424</v>
      </c>
      <c r="F20" s="7">
        <v>51725</v>
      </c>
      <c r="G20" s="7">
        <v>85</v>
      </c>
      <c r="H20" s="9">
        <f t="shared" si="12"/>
        <v>1.6433059449009182E-3</v>
      </c>
      <c r="I20" s="9">
        <f>IFERROR((52424-F20)/52424,0)</f>
        <v>1.3333587669769571E-2</v>
      </c>
      <c r="J20" s="7">
        <v>320020</v>
      </c>
      <c r="K20" s="11">
        <f t="shared" si="13"/>
        <v>88.385003107091066</v>
      </c>
      <c r="L20" s="11">
        <f>K20-89.1444</f>
        <v>-0.75939689290893853</v>
      </c>
      <c r="M20" s="11">
        <v>95.25</v>
      </c>
      <c r="N20" s="11">
        <f t="shared" si="14"/>
        <v>-6.864996892908934</v>
      </c>
      <c r="O20" s="11">
        <f>IFERROR(2179620/52424,0)</f>
        <v>41.576758736456583</v>
      </c>
      <c r="P20" s="11">
        <v>46</v>
      </c>
      <c r="Q20" s="11">
        <f t="shared" si="15"/>
        <v>-4.4232412635434173</v>
      </c>
      <c r="R20" s="7">
        <v>40776</v>
      </c>
      <c r="S20" s="11">
        <f t="shared" si="16"/>
        <v>112.61755161223502</v>
      </c>
      <c r="T20" s="13">
        <f t="shared" si="17"/>
        <v>7.8482440651363543</v>
      </c>
      <c r="U20" s="7">
        <v>63413</v>
      </c>
      <c r="V20" s="11">
        <f t="shared" si="18"/>
        <v>175.13774770420494</v>
      </c>
      <c r="W20" s="11">
        <f t="shared" si="19"/>
        <v>1.555154993133216</v>
      </c>
      <c r="X20" s="11">
        <v>310.24142857139998</v>
      </c>
      <c r="Y20" s="11">
        <f t="shared" si="20"/>
        <v>127.4170364352228</v>
      </c>
      <c r="Z20" s="11">
        <f t="shared" si="21"/>
        <v>39.530043407997638</v>
      </c>
      <c r="AA20" s="7">
        <v>1632</v>
      </c>
      <c r="AB20" s="15">
        <f>IFERROR(AA20/1590,0)</f>
        <v>1.0264150943396226</v>
      </c>
      <c r="AC20" s="11">
        <v>56.2</v>
      </c>
      <c r="AD20" s="15">
        <f>IFERROR(AC20/56.55,0)</f>
        <v>0.9938107869142353</v>
      </c>
      <c r="AE20" s="11">
        <v>22</v>
      </c>
      <c r="AF20" s="11">
        <v>26</v>
      </c>
      <c r="AG20" s="7">
        <f t="shared" si="22"/>
        <v>-24856.437500000022</v>
      </c>
      <c r="AH20" s="7">
        <v>29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36</v>
      </c>
      <c r="C21" s="7"/>
      <c r="D21" s="7">
        <v>7</v>
      </c>
      <c r="E21" s="7">
        <v>50845</v>
      </c>
      <c r="F21" s="7">
        <v>49874</v>
      </c>
      <c r="G21" s="7">
        <v>44</v>
      </c>
      <c r="H21" s="9">
        <f t="shared" si="12"/>
        <v>8.8222320247022495E-4</v>
      </c>
      <c r="I21" s="9">
        <f>IFERROR((50845-F21)/50845,0)</f>
        <v>1.909725636739109E-2</v>
      </c>
      <c r="J21" s="7">
        <v>332460</v>
      </c>
      <c r="K21" s="11">
        <f t="shared" si="13"/>
        <v>95.228547367938646</v>
      </c>
      <c r="L21" s="11">
        <f>K21-92.7292</f>
        <v>2.4993473679386398</v>
      </c>
      <c r="M21" s="11">
        <v>95.55</v>
      </c>
      <c r="N21" s="11">
        <f t="shared" si="14"/>
        <v>-0.32145263206135155</v>
      </c>
      <c r="O21" s="11">
        <f>IFERROR(5145890/50845,0)</f>
        <v>101.20739502409283</v>
      </c>
      <c r="P21" s="11">
        <v>105</v>
      </c>
      <c r="Q21" s="11">
        <f t="shared" si="15"/>
        <v>-3.7926049759071674</v>
      </c>
      <c r="R21" s="7">
        <v>39890</v>
      </c>
      <c r="S21" s="11">
        <f t="shared" si="16"/>
        <v>114.25936216408206</v>
      </c>
      <c r="T21" s="13">
        <f t="shared" si="17"/>
        <v>8.3344196540486344</v>
      </c>
      <c r="U21" s="7">
        <v>69000</v>
      </c>
      <c r="V21" s="11">
        <f t="shared" si="18"/>
        <v>197.64091224170625</v>
      </c>
      <c r="W21" s="11">
        <f t="shared" si="19"/>
        <v>1.7297568312860365</v>
      </c>
      <c r="X21" s="11">
        <v>309.30714285710002</v>
      </c>
      <c r="Y21" s="11">
        <f t="shared" si="20"/>
        <v>119.98435902063407</v>
      </c>
      <c r="Z21" s="11">
        <f t="shared" si="21"/>
        <v>37.112019276212841</v>
      </c>
      <c r="AA21" s="7">
        <v>1731</v>
      </c>
      <c r="AB21" s="15">
        <f>IFERROR(AA21/1695,0)</f>
        <v>1.0212389380530973</v>
      </c>
      <c r="AC21" s="11">
        <v>61.2</v>
      </c>
      <c r="AD21" s="15">
        <f>IFERROR(AC21/61.1,0)</f>
        <v>1.0016366612111294</v>
      </c>
      <c r="AE21" s="11">
        <v>18</v>
      </c>
      <c r="AF21" s="11">
        <v>27</v>
      </c>
      <c r="AG21" s="7">
        <f t="shared" si="22"/>
        <v>-1122.2489999999491</v>
      </c>
      <c r="AH21" s="7">
        <v>33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86</v>
      </c>
      <c r="C22" s="7"/>
      <c r="D22" s="7">
        <v>7</v>
      </c>
      <c r="E22" s="7">
        <v>20160</v>
      </c>
      <c r="F22" s="7">
        <v>15812</v>
      </c>
      <c r="G22" s="7">
        <v>35</v>
      </c>
      <c r="H22" s="9">
        <f t="shared" si="12"/>
        <v>2.2135087275486974E-3</v>
      </c>
      <c r="I22" s="9">
        <f>IFERROR((20160-F22)/20160,0)</f>
        <v>0.21567460317460319</v>
      </c>
      <c r="J22" s="7">
        <v>76020</v>
      </c>
      <c r="K22" s="11">
        <f t="shared" si="13"/>
        <v>68.682013660511004</v>
      </c>
      <c r="L22" s="11">
        <f>K22-72.6861</f>
        <v>-4.0040863394889925</v>
      </c>
      <c r="M22" s="11">
        <v>74</v>
      </c>
      <c r="N22" s="11">
        <f t="shared" si="14"/>
        <v>-5.3179863394889964</v>
      </c>
      <c r="O22" s="11">
        <f>IFERROR(5608139/20160,0)</f>
        <v>278.18149801587299</v>
      </c>
      <c r="P22" s="11">
        <v>395</v>
      </c>
      <c r="Q22" s="11">
        <f t="shared" si="15"/>
        <v>-116.81850198412701</v>
      </c>
      <c r="R22" s="7">
        <v>13610</v>
      </c>
      <c r="S22" s="11">
        <f t="shared" si="16"/>
        <v>122.96266849770518</v>
      </c>
      <c r="T22" s="13">
        <f t="shared" si="17"/>
        <v>5.5855988243938279</v>
      </c>
      <c r="U22" s="7">
        <v>22430</v>
      </c>
      <c r="V22" s="11">
        <f t="shared" si="18"/>
        <v>202.64898268945828</v>
      </c>
      <c r="W22" s="11">
        <f t="shared" si="19"/>
        <v>1.648052902277737</v>
      </c>
      <c r="X22" s="11">
        <v>277.5</v>
      </c>
      <c r="Y22" s="11">
        <f t="shared" si="20"/>
        <v>179.03183372796633</v>
      </c>
      <c r="Z22" s="11">
        <f t="shared" si="21"/>
        <v>49.681333859510652</v>
      </c>
      <c r="AA22" s="7">
        <v>2100</v>
      </c>
      <c r="AB22" s="15">
        <f>IFERROR(AA22/1970,0)</f>
        <v>1.0659898477157361</v>
      </c>
      <c r="AC22" s="11">
        <v>65.400000000000006</v>
      </c>
      <c r="AD22" s="15">
        <f>IFERROR(AC22/64.9,0)</f>
        <v>1.0077041602465331</v>
      </c>
      <c r="AE22" s="11">
        <v>23</v>
      </c>
      <c r="AF22" s="11">
        <v>25</v>
      </c>
      <c r="AG22" s="7">
        <f t="shared" si="22"/>
        <v>-5886.1600000000008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27</v>
      </c>
      <c r="C23" s="7"/>
      <c r="D23" s="7">
        <v>7</v>
      </c>
      <c r="E23" s="7">
        <v>21875</v>
      </c>
      <c r="F23" s="7">
        <v>21601</v>
      </c>
      <c r="G23" s="7">
        <v>19</v>
      </c>
      <c r="H23" s="9">
        <f t="shared" si="12"/>
        <v>8.7958890792092957E-4</v>
      </c>
      <c r="I23" s="9">
        <f>IFERROR((21875-F23)/21875,0)</f>
        <v>1.2525714285714286E-2</v>
      </c>
      <c r="J23" s="7">
        <v>137360</v>
      </c>
      <c r="K23" s="11">
        <f t="shared" si="13"/>
        <v>90.842355181969083</v>
      </c>
      <c r="L23" s="11">
        <f>K23-90.9343</f>
        <v>-9.1944818030910369E-2</v>
      </c>
      <c r="M23" s="11">
        <v>95.5</v>
      </c>
      <c r="N23" s="11">
        <f t="shared" si="14"/>
        <v>-4.6576448180309171</v>
      </c>
      <c r="O23" s="11">
        <f>IFERROR(1167270/21875,0)</f>
        <v>53.360914285714287</v>
      </c>
      <c r="P23" s="11">
        <v>52</v>
      </c>
      <c r="Q23" s="11">
        <f t="shared" si="15"/>
        <v>1.3609142857142871</v>
      </c>
      <c r="R23" s="7">
        <v>18570</v>
      </c>
      <c r="S23" s="11">
        <f t="shared" si="16"/>
        <v>122.81177458715536</v>
      </c>
      <c r="T23" s="13">
        <f t="shared" si="17"/>
        <v>7.3968766828217554</v>
      </c>
      <c r="U23" s="7">
        <v>31707</v>
      </c>
      <c r="V23" s="11">
        <f t="shared" si="18"/>
        <v>209.69267295826253</v>
      </c>
      <c r="W23" s="11">
        <f t="shared" si="19"/>
        <v>1.7074313408723749</v>
      </c>
      <c r="X23" s="11">
        <v>302.56142857139997</v>
      </c>
      <c r="Y23" s="11">
        <f t="shared" si="20"/>
        <v>135.19219569015726</v>
      </c>
      <c r="Z23" s="11">
        <f t="shared" si="21"/>
        <v>40.903943859718247</v>
      </c>
      <c r="AA23" s="7">
        <v>1951</v>
      </c>
      <c r="AB23" s="15">
        <f>IFERROR(AA23/1880,0)</f>
        <v>1.0377659574468086</v>
      </c>
      <c r="AC23" s="11">
        <v>59.2</v>
      </c>
      <c r="AD23" s="15">
        <f>IFERROR(AC23/58.4,0)</f>
        <v>1.0136986301369864</v>
      </c>
      <c r="AE23" s="11">
        <v>22</v>
      </c>
      <c r="AF23" s="11">
        <v>26</v>
      </c>
      <c r="AG23" s="7">
        <f t="shared" si="22"/>
        <v>-7042.6850000000095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86</v>
      </c>
      <c r="C24" s="7">
        <v>19</v>
      </c>
      <c r="D24" s="7">
        <v>7</v>
      </c>
      <c r="E24" s="7">
        <v>51833</v>
      </c>
      <c r="F24" s="7">
        <v>42972</v>
      </c>
      <c r="G24" s="7">
        <v>149</v>
      </c>
      <c r="H24" s="9">
        <f t="shared" si="12"/>
        <v>3.4673741040677649E-3</v>
      </c>
      <c r="I24" s="9">
        <f>IFERROR((51833-F24)/51833,0)</f>
        <v>0.17095286786410202</v>
      </c>
      <c r="J24" s="7">
        <v>218820</v>
      </c>
      <c r="K24" s="11">
        <f t="shared" si="13"/>
        <v>72.745043283998882</v>
      </c>
      <c r="L24" s="11">
        <f>K24-74.8856</f>
        <v>-2.1405567160011145</v>
      </c>
      <c r="M24" s="11">
        <v>79</v>
      </c>
      <c r="N24" s="11">
        <f t="shared" si="14"/>
        <v>-6.2549567160011179</v>
      </c>
      <c r="O24" s="11">
        <f>IFERROR(17451938/51833,0)</f>
        <v>336.69550286497019</v>
      </c>
      <c r="P24" s="11">
        <v>0</v>
      </c>
      <c r="Q24" s="11">
        <f t="shared" si="15"/>
        <v>336.69550286497019</v>
      </c>
      <c r="R24" s="7">
        <v>34661</v>
      </c>
      <c r="S24" s="11">
        <f t="shared" si="16"/>
        <v>115.22785601255302</v>
      </c>
      <c r="T24" s="13">
        <f t="shared" si="17"/>
        <v>6.3131473413923427</v>
      </c>
      <c r="U24" s="7">
        <v>54952</v>
      </c>
      <c r="V24" s="11">
        <f t="shared" si="18"/>
        <v>182.6837409077007</v>
      </c>
      <c r="W24" s="11">
        <f t="shared" si="19"/>
        <v>1.5854130002019562</v>
      </c>
      <c r="X24" s="11">
        <v>300.18714285710001</v>
      </c>
      <c r="Y24" s="11">
        <f t="shared" si="20"/>
        <v>158.39959784297594</v>
      </c>
      <c r="Z24" s="11">
        <f t="shared" si="21"/>
        <v>47.549522706196605</v>
      </c>
      <c r="AA24" s="7">
        <v>1802</v>
      </c>
      <c r="AB24" s="15">
        <f>IFERROR(AA24/1970,0)</f>
        <v>0.91472081218274115</v>
      </c>
      <c r="AC24" s="11">
        <v>0</v>
      </c>
      <c r="AD24" s="15">
        <f>IFERROR(AC24/64.9,0)</f>
        <v>0</v>
      </c>
      <c r="AE24" s="11">
        <v>22</v>
      </c>
      <c r="AF24" s="11">
        <v>26</v>
      </c>
      <c r="AG24" s="7">
        <f t="shared" si="22"/>
        <v>-18815.160000000003</v>
      </c>
      <c r="AH24" s="7">
        <v>39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IFERROR(600/F24,0)</f>
        <v>1.3962580284836637E-2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85</v>
      </c>
      <c r="C25" s="7">
        <v>19</v>
      </c>
      <c r="D25" s="7">
        <v>7</v>
      </c>
      <c r="E25" s="7">
        <v>21623</v>
      </c>
      <c r="F25" s="7">
        <v>18504</v>
      </c>
      <c r="G25" s="7">
        <v>29</v>
      </c>
      <c r="H25" s="9">
        <f t="shared" si="12"/>
        <v>1.5672287073065284E-3</v>
      </c>
      <c r="I25" s="9">
        <f>IFERROR((21623-F25)/21623,0)</f>
        <v>0.14424455440965639</v>
      </c>
      <c r="J25" s="7">
        <v>95000</v>
      </c>
      <c r="K25" s="11">
        <f t="shared" si="13"/>
        <v>73.343215366561665</v>
      </c>
      <c r="L25" s="11">
        <f>K25-72.3497</f>
        <v>0.99351536656166672</v>
      </c>
      <c r="M25" s="11">
        <v>85</v>
      </c>
      <c r="N25" s="11">
        <f t="shared" si="14"/>
        <v>-11.656784633438335</v>
      </c>
      <c r="O25" s="11">
        <f>IFERROR(7211105/21623,0)</f>
        <v>333.49234611293531</v>
      </c>
      <c r="P25" s="11">
        <v>0</v>
      </c>
      <c r="Q25" s="11">
        <f t="shared" si="15"/>
        <v>333.49234611293531</v>
      </c>
      <c r="R25" s="7">
        <v>16077</v>
      </c>
      <c r="S25" s="11">
        <f t="shared" si="16"/>
        <v>124.11988141560127</v>
      </c>
      <c r="T25" s="13">
        <f t="shared" si="17"/>
        <v>5.9090626360639424</v>
      </c>
      <c r="U25" s="7">
        <v>27476</v>
      </c>
      <c r="V25" s="11">
        <f t="shared" si="18"/>
        <v>212.12401951701565</v>
      </c>
      <c r="W25" s="11">
        <f t="shared" si="19"/>
        <v>1.7090253156683461</v>
      </c>
      <c r="X25" s="11">
        <v>287.64285714290003</v>
      </c>
      <c r="Y25" s="11">
        <f t="shared" si="20"/>
        <v>169.23157894736843</v>
      </c>
      <c r="Z25" s="11">
        <f t="shared" si="21"/>
        <v>48.6782548872253</v>
      </c>
      <c r="AA25" s="7">
        <v>2068</v>
      </c>
      <c r="AB25" s="15">
        <f>IFERROR(AA25/1970,0)</f>
        <v>1.0497461928934011</v>
      </c>
      <c r="AC25" s="11">
        <v>64.7</v>
      </c>
      <c r="AD25" s="15">
        <f>IFERROR(AC25/64.9,0)</f>
        <v>0.99691833590138668</v>
      </c>
      <c r="AE25" s="11">
        <v>22</v>
      </c>
      <c r="AF25" s="11">
        <v>26</v>
      </c>
      <c r="AG25" s="7">
        <f t="shared" si="22"/>
        <v>-15098.800000000007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70</v>
      </c>
      <c r="B26" s="5">
        <v>75</v>
      </c>
      <c r="C26" s="7">
        <v>2</v>
      </c>
      <c r="D26" s="7">
        <v>7</v>
      </c>
      <c r="E26" s="7">
        <v>47224</v>
      </c>
      <c r="F26" s="7">
        <v>38788</v>
      </c>
      <c r="G26" s="7">
        <v>126</v>
      </c>
      <c r="H26" s="9">
        <f t="shared" si="12"/>
        <v>3.2484273486645355E-3</v>
      </c>
      <c r="I26" s="9">
        <f>IFERROR((47224-F26)/47224,0)</f>
        <v>0.17863798068778586</v>
      </c>
      <c r="J26" s="7">
        <v>0</v>
      </c>
      <c r="K26" s="11">
        <f t="shared" si="13"/>
        <v>0</v>
      </c>
      <c r="L26" s="11">
        <f>K26-0</f>
        <v>0</v>
      </c>
      <c r="M26" s="11">
        <v>0</v>
      </c>
      <c r="N26" s="11">
        <f t="shared" si="14"/>
        <v>0</v>
      </c>
      <c r="O26" s="11">
        <f>IFERROR(13473090/47224,0)</f>
        <v>285.30175334575637</v>
      </c>
      <c r="P26" s="11">
        <v>0</v>
      </c>
      <c r="Q26" s="11">
        <f t="shared" si="15"/>
        <v>285.30175334575637</v>
      </c>
      <c r="R26" s="7">
        <v>15410</v>
      </c>
      <c r="S26" s="11">
        <f t="shared" si="16"/>
        <v>56.755402996508494</v>
      </c>
      <c r="T26" s="13">
        <f t="shared" si="17"/>
        <v>0</v>
      </c>
      <c r="U26" s="7">
        <v>32200</v>
      </c>
      <c r="V26" s="11">
        <f t="shared" si="18"/>
        <v>118.59337939568938</v>
      </c>
      <c r="W26" s="11">
        <f t="shared" si="19"/>
        <v>2.08955223880597</v>
      </c>
      <c r="X26" s="11">
        <v>299.39</v>
      </c>
      <c r="Y26" s="11">
        <f t="shared" si="20"/>
        <v>0</v>
      </c>
      <c r="Z26" s="11">
        <f t="shared" si="21"/>
        <v>0</v>
      </c>
      <c r="AA26" s="7">
        <v>0</v>
      </c>
      <c r="AB26" s="15">
        <f>IFERROR(AA26/1580,0)</f>
        <v>0</v>
      </c>
      <c r="AC26" s="11">
        <v>0</v>
      </c>
      <c r="AD26" s="15">
        <f>IFERROR(AC26/63.4,0)</f>
        <v>0</v>
      </c>
      <c r="AE26" s="11">
        <v>17</v>
      </c>
      <c r="AF26" s="11">
        <v>26</v>
      </c>
      <c r="AG26" s="7">
        <f t="shared" si="22"/>
        <v>0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105</v>
      </c>
      <c r="C27" s="7">
        <v>33</v>
      </c>
      <c r="D27" s="7">
        <v>7</v>
      </c>
      <c r="E27" s="7">
        <v>33376</v>
      </c>
      <c r="F27" s="7">
        <v>30429</v>
      </c>
      <c r="G27" s="7">
        <v>112</v>
      </c>
      <c r="H27" s="9">
        <f t="shared" si="12"/>
        <v>3.6806993328732458E-3</v>
      </c>
      <c r="I27" s="9">
        <f>IFERROR((33376-F27)/33376,0)</f>
        <v>8.8296979865771813E-2</v>
      </c>
      <c r="J27" s="7">
        <v>141020</v>
      </c>
      <c r="K27" s="11">
        <f t="shared" si="13"/>
        <v>66.205640296146058</v>
      </c>
      <c r="L27" s="11">
        <f>K27-60.5088</f>
        <v>5.6968402961460569</v>
      </c>
      <c r="M27" s="11">
        <v>71</v>
      </c>
      <c r="N27" s="11">
        <f t="shared" si="14"/>
        <v>-4.7943597038539423</v>
      </c>
      <c r="O27" s="11">
        <f>IFERROR(13470073/33376,0)</f>
        <v>403.58560043144774</v>
      </c>
      <c r="P27" s="11">
        <v>0</v>
      </c>
      <c r="Q27" s="11">
        <f t="shared" si="15"/>
        <v>403.58560043144774</v>
      </c>
      <c r="R27" s="7">
        <v>23760</v>
      </c>
      <c r="S27" s="11">
        <f t="shared" si="16"/>
        <v>111.54772467993408</v>
      </c>
      <c r="T27" s="13">
        <f t="shared" si="17"/>
        <v>5.9351851851851851</v>
      </c>
      <c r="U27" s="7">
        <v>39400</v>
      </c>
      <c r="V27" s="11">
        <f t="shared" si="18"/>
        <v>184.97392055510954</v>
      </c>
      <c r="W27" s="11">
        <f t="shared" si="19"/>
        <v>1.6582491582491583</v>
      </c>
      <c r="X27" s="11">
        <v>268.22000000000003</v>
      </c>
      <c r="Y27" s="11">
        <f t="shared" si="20"/>
        <v>168.48673946957879</v>
      </c>
      <c r="Z27" s="11">
        <f t="shared" si="21"/>
        <v>45.191513260530435</v>
      </c>
      <c r="AA27" s="7">
        <v>1669</v>
      </c>
      <c r="AB27" s="15">
        <f>IFERROR(AA27/0,0)</f>
        <v>0</v>
      </c>
      <c r="AC27" s="11">
        <v>0</v>
      </c>
      <c r="AD27" s="15">
        <f>IFERROR(AC27/0,0)</f>
        <v>0</v>
      </c>
      <c r="AE27" s="11">
        <v>16</v>
      </c>
      <c r="AF27" s="11">
        <v>27</v>
      </c>
      <c r="AG27" s="7">
        <f t="shared" si="22"/>
        <v>-10212.130000000012</v>
      </c>
      <c r="AH27" s="7">
        <v>37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IFERROR(300/F27,0)</f>
        <v>9.8590160701961943E-3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105</v>
      </c>
      <c r="C28" s="7">
        <v>33</v>
      </c>
      <c r="D28" s="7">
        <v>7</v>
      </c>
      <c r="E28" s="7">
        <v>12390</v>
      </c>
      <c r="F28" s="7">
        <v>10299</v>
      </c>
      <c r="G28" s="7">
        <v>26</v>
      </c>
      <c r="H28" s="9">
        <f t="shared" si="12"/>
        <v>2.5245169433925625E-3</v>
      </c>
      <c r="I28" s="9">
        <f>IFERROR((12390-F28)/12390,0)</f>
        <v>0.16876513317191283</v>
      </c>
      <c r="J28" s="7">
        <v>58600</v>
      </c>
      <c r="K28" s="11">
        <f t="shared" si="13"/>
        <v>81.283897188353933</v>
      </c>
      <c r="L28" s="11">
        <f>K28-79.3359</f>
        <v>1.9479971883539378</v>
      </c>
      <c r="M28" s="11">
        <v>71</v>
      </c>
      <c r="N28" s="11">
        <f t="shared" si="14"/>
        <v>10.283897188353933</v>
      </c>
      <c r="O28" s="11">
        <f>IFERROR(5497898/12390,0)</f>
        <v>443.73672316384182</v>
      </c>
      <c r="P28" s="11">
        <v>0</v>
      </c>
      <c r="Q28" s="11">
        <f t="shared" si="15"/>
        <v>443.73672316384182</v>
      </c>
      <c r="R28" s="7">
        <v>10230</v>
      </c>
      <c r="S28" s="11">
        <f t="shared" si="16"/>
        <v>141.90004577420831</v>
      </c>
      <c r="T28" s="13">
        <f t="shared" si="17"/>
        <v>5.7282502443792769</v>
      </c>
      <c r="U28" s="7">
        <v>19400</v>
      </c>
      <c r="V28" s="11">
        <f t="shared" si="18"/>
        <v>269.09686099898744</v>
      </c>
      <c r="W28" s="11">
        <f t="shared" si="19"/>
        <v>1.8963831867057677</v>
      </c>
      <c r="X28" s="11">
        <v>288.71428571429999</v>
      </c>
      <c r="Y28" s="11">
        <f t="shared" si="20"/>
        <v>174.57337883959042</v>
      </c>
      <c r="Z28" s="11">
        <f t="shared" si="21"/>
        <v>50.401828376404239</v>
      </c>
      <c r="AA28" s="7">
        <v>2057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16</v>
      </c>
      <c r="AF28" s="11">
        <v>27</v>
      </c>
      <c r="AG28" s="7">
        <f t="shared" si="22"/>
        <v>7413.9700000000012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IFERROR(250/F28,0)</f>
        <v>2.4274201378774639E-2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7</v>
      </c>
      <c r="E29" s="17">
        <f>SUM(E14:E28)</f>
        <v>519693</v>
      </c>
      <c r="F29" s="17">
        <f>SUM(F14:F28)</f>
        <v>464995</v>
      </c>
      <c r="G29" s="17">
        <f>SUM(G14:G28)</f>
        <v>1123</v>
      </c>
      <c r="H29" s="18">
        <f t="shared" si="12"/>
        <v>2.4150797320401296E-3</v>
      </c>
      <c r="I29" s="18"/>
      <c r="J29" s="17">
        <f>SUM(J14:J28)</f>
        <v>2415310</v>
      </c>
      <c r="K29" s="19">
        <f t="shared" si="13"/>
        <v>74.203870087696799</v>
      </c>
      <c r="L29" s="19"/>
      <c r="M29" s="19">
        <f>IFERROR(SUMPRODUCT($F14:$F28,M14:M28)/$F29, 0)</f>
        <v>76.501312379703009</v>
      </c>
      <c r="N29" s="19">
        <f t="shared" si="14"/>
        <v>-2.2974422920062096</v>
      </c>
      <c r="O29" s="19">
        <f>IFERROR(SUMPRODUCT($E14:$E28,O14:O28)/$E29, 0)</f>
        <v>229.32233645633096</v>
      </c>
      <c r="P29" s="19">
        <f>IFERROR(SUMPRODUCT($E14:$E28,P14:P28)/$E29, 0)</f>
        <v>75.870717904609066</v>
      </c>
      <c r="Q29" s="19">
        <f>IFERROR(SUMPRODUCT($E14:$E28,Q14:Q28)/$E29, 0)</f>
        <v>153.45161855172188</v>
      </c>
      <c r="R29" s="17">
        <f>SUM(R14:R28)</f>
        <v>356394</v>
      </c>
      <c r="S29" s="19">
        <f>IFERROR(R29/D29/$F29*1000,0)</f>
        <v>109.49242157749777</v>
      </c>
      <c r="T29" s="20">
        <f t="shared" si="17"/>
        <v>6.7770781775226299</v>
      </c>
      <c r="U29" s="17">
        <f>SUM(U14:U28)</f>
        <v>609010</v>
      </c>
      <c r="V29" s="19">
        <f>IFERROR(U29/D29/$F29*1000,0)</f>
        <v>187.10185823810698</v>
      </c>
      <c r="W29" s="19">
        <f t="shared" si="19"/>
        <v>1.7088110349781418</v>
      </c>
      <c r="X29" s="19">
        <f>IFERROR(SUMPRODUCT(R14:R28,X14:X28)/R29,0)</f>
        <v>299.3651691065723</v>
      </c>
      <c r="Y29" s="19">
        <f>IFERROR(($F29*S29)/($F29*K29)*100,0)</f>
        <v>147.55621431617473</v>
      </c>
      <c r="Z29" s="19">
        <f t="shared" si="21"/>
        <v>44.173191051487272</v>
      </c>
      <c r="AA29" s="17"/>
      <c r="AB29" s="21">
        <f>IFERROR(SUMPRODUCT($F14:$F28,AB14:AB28)/$F29,0)</f>
        <v>0.75373184957847328</v>
      </c>
      <c r="AC29" s="19"/>
      <c r="AD29" s="21">
        <f>AVERAGE(AD14:AD28)</f>
        <v>0.4704154576035019</v>
      </c>
      <c r="AE29" s="19"/>
      <c r="AF29" s="19"/>
      <c r="AG29" s="17">
        <f>SUM(AG14:AG28)</f>
        <v>-74780.942500000005</v>
      </c>
      <c r="AH29" s="17">
        <f>SUM(AH14:AH28)</f>
        <v>205</v>
      </c>
      <c r="AI29" s="17">
        <f>IFERROR(SUMPRODUCT(AH14:AH28,AI14:AI28)/AH29, 0)</f>
        <v>20.585365853658537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6.9999999999999991</v>
      </c>
      <c r="E31" s="23">
        <f>E12+E29</f>
        <v>565898</v>
      </c>
      <c r="F31" s="23">
        <f>F12+F29</f>
        <v>506011</v>
      </c>
      <c r="G31" s="23">
        <f>G12+G29</f>
        <v>1334</v>
      </c>
      <c r="H31" s="24">
        <f>IFERROR(G31/F31,0)</f>
        <v>2.6363063253565635E-3</v>
      </c>
      <c r="I31" s="23"/>
      <c r="J31" s="23">
        <f>J12+J29</f>
        <v>2627680</v>
      </c>
      <c r="K31" s="25">
        <f>IFERROR(J31/D31/F31*100,0)</f>
        <v>74.184722692363849</v>
      </c>
      <c r="L31" s="23"/>
      <c r="M31" s="25">
        <f>IFERROR($F$12/$F31*M$12,0)+IFERROR($F$29/$F31*M$29,0)</f>
        <v>77.185366029592245</v>
      </c>
      <c r="N31" s="25">
        <f>K31-M31</f>
        <v>-3.0006433372283965</v>
      </c>
      <c r="O31" s="23">
        <f>IFERROR($E$12/$E31*O$12,0)+IFERROR($E$29/$E31*O$29,0)</f>
        <v>227.57724713640974</v>
      </c>
      <c r="P31" s="23">
        <f>IFERROR($E$12/$E31*P$12,0)+IFERROR($E$29/$E31*P$29,0)</f>
        <v>88.840310444638419</v>
      </c>
      <c r="Q31" s="23">
        <f>IFERROR($E$12/$E31*Q$12,0)+IFERROR($E$29/$E31*Q$29,0)</f>
        <v>138.73693669177132</v>
      </c>
      <c r="R31" s="23">
        <f>R12+R29</f>
        <v>390357</v>
      </c>
      <c r="S31" s="25">
        <f>IFERROR(R31/D31/$F31*1000,0)</f>
        <v>110.20567875853634</v>
      </c>
      <c r="T31" s="26">
        <f>IFERROR(J31/R31,0)</f>
        <v>6.7314791332037087</v>
      </c>
      <c r="U31" s="23">
        <f>U12+U29</f>
        <v>624130</v>
      </c>
      <c r="V31" s="25">
        <f>IFERROR(U31/D31/$F31*1000,0)</f>
        <v>176.20452632734975</v>
      </c>
      <c r="W31" s="25">
        <f>IFERROR(V31/S31,0)</f>
        <v>1.5988697525598359</v>
      </c>
      <c r="X31" s="25">
        <f>IFERROR($F$12/$F31*X$12,0)+IFERROR($F$29/$F31*X$29,0)</f>
        <v>304.37447873662001</v>
      </c>
      <c r="Y31" s="25">
        <f>IFERROR(($F31*S31)/($F31*K31)*100,0)</f>
        <v>148.55576021433356</v>
      </c>
      <c r="Z31" s="25">
        <f>IFERROR(Y31*X31/1000,0)</f>
        <v>45.216582078560087</v>
      </c>
      <c r="AA31" s="23"/>
      <c r="AB31" s="27"/>
      <c r="AC31" s="23"/>
      <c r="AD31" s="27"/>
      <c r="AE31" s="23"/>
      <c r="AF31" s="23"/>
      <c r="AG31" s="23">
        <f>AG12+AG29</f>
        <v>-106285.09750000002</v>
      </c>
      <c r="AH31" s="23">
        <f>AH12+AH29</f>
        <v>205</v>
      </c>
      <c r="AI31" s="23">
        <f>IFERROR(AH$12/AH31*AI$12,0)+IFERROR(AH$29/AH31*AI$29,0)</f>
        <v>20.585365853658537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27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61</v>
      </c>
      <c r="T34" s="32" t="s">
        <v>70</v>
      </c>
      <c r="U34" s="32" t="s">
        <v>71</v>
      </c>
      <c r="V34" s="32" t="s">
        <v>72</v>
      </c>
      <c r="W34" s="32" t="s">
        <v>62</v>
      </c>
      <c r="X34" s="32" t="s">
        <v>66</v>
      </c>
      <c r="Y34" s="32" t="s">
        <v>67</v>
      </c>
      <c r="Z34" s="32" t="s">
        <v>81</v>
      </c>
      <c r="AA34" s="32" t="s">
        <v>64</v>
      </c>
    </row>
    <row r="35" spans="1:27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>
        <v>2.5000000000000001E-3</v>
      </c>
      <c r="T35" s="8">
        <v>5.3E-3</v>
      </c>
      <c r="U35" s="8">
        <v>6.3E-3</v>
      </c>
      <c r="V35" s="8">
        <v>2.7000000000000001E-3</v>
      </c>
      <c r="W35" s="8">
        <v>1.5E-3</v>
      </c>
      <c r="X35" s="8">
        <v>1.4E-3</v>
      </c>
      <c r="Y35" s="8">
        <v>2.8E-3</v>
      </c>
      <c r="Z35" s="8">
        <v>1.6999999999999999E-3</v>
      </c>
      <c r="AA35" s="8">
        <v>6.9999999999999999E-4</v>
      </c>
    </row>
    <row r="36" spans="1:27" x14ac:dyDescent="0.3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>
        <v>1.32E-2</v>
      </c>
      <c r="P36" s="9">
        <v>2.3999999999999998E-3</v>
      </c>
      <c r="Q36" s="9">
        <v>4.1999999999999997E-3</v>
      </c>
      <c r="R36" s="9">
        <v>1.6999999999999999E-3</v>
      </c>
      <c r="S36" s="9">
        <v>2.5000000000000001E-3</v>
      </c>
      <c r="T36" s="9">
        <v>5.7999999999999996E-3</v>
      </c>
      <c r="U36" s="9">
        <v>3.5999999999999999E-3</v>
      </c>
      <c r="V36" s="9">
        <v>2.3E-3</v>
      </c>
      <c r="W36" s="9">
        <v>1.5E-3</v>
      </c>
      <c r="X36" s="9">
        <v>1E-3</v>
      </c>
      <c r="Y36" s="9">
        <v>3.0000000000000001E-3</v>
      </c>
      <c r="Z36" s="9">
        <v>1.8E-3</v>
      </c>
      <c r="AA36" s="9">
        <v>1E-3</v>
      </c>
    </row>
    <row r="37" spans="1:27" x14ac:dyDescent="0.3">
      <c r="B37" s="5">
        <v>202503</v>
      </c>
      <c r="C37" s="5"/>
      <c r="D37" s="9">
        <v>2.8E-3</v>
      </c>
      <c r="E37" s="9">
        <v>4.8999999999999998E-3</v>
      </c>
      <c r="F37" s="9">
        <v>2.5999999999999999E-3</v>
      </c>
      <c r="G37" s="9">
        <v>5.8999999999999999E-3</v>
      </c>
      <c r="H37" s="9">
        <v>5.8999999999999999E-3</v>
      </c>
      <c r="I37" s="9">
        <v>3.5999999999999999E-3</v>
      </c>
      <c r="J37" s="9">
        <v>3.3999999999999998E-3</v>
      </c>
      <c r="K37" s="9">
        <v>3.2000000000000002E-3</v>
      </c>
      <c r="L37" s="9">
        <v>3.0000000000000001E-3</v>
      </c>
      <c r="M37" s="9">
        <v>2.2000000000000001E-3</v>
      </c>
      <c r="N37" s="9">
        <v>1.6000000000000001E-3</v>
      </c>
      <c r="O37" s="9">
        <v>9.7999999999999997E-3</v>
      </c>
      <c r="P37" s="9">
        <v>2.5000000000000001E-3</v>
      </c>
      <c r="Q37" s="9">
        <v>3.3E-3</v>
      </c>
      <c r="R37" s="9">
        <v>1.8E-3</v>
      </c>
      <c r="S37" s="9">
        <v>2.5000000000000001E-3</v>
      </c>
      <c r="T37" s="9">
        <v>5.4999999999999997E-3</v>
      </c>
      <c r="U37" s="9">
        <v>3.5000000000000001E-3</v>
      </c>
      <c r="V37" s="9">
        <v>2.5000000000000001E-3</v>
      </c>
      <c r="W37" s="9">
        <v>1.6999999999999999E-3</v>
      </c>
      <c r="X37" s="9">
        <v>6.9999999999999999E-4</v>
      </c>
      <c r="Y37" s="9">
        <v>2.8E-3</v>
      </c>
      <c r="Z37" s="9">
        <v>1.4E-3</v>
      </c>
      <c r="AA37" s="9">
        <v>1.6000000000000001E-3</v>
      </c>
    </row>
    <row r="38" spans="1:27" ht="15" thickBot="1" x14ac:dyDescent="0.35">
      <c r="B38" s="5">
        <v>202504</v>
      </c>
      <c r="C38" s="5"/>
      <c r="D38" s="9">
        <v>2.5999999999999999E-3</v>
      </c>
      <c r="E38" s="9">
        <v>5.1000000000000004E-3</v>
      </c>
      <c r="F38" s="9">
        <v>2.3999999999999998E-3</v>
      </c>
      <c r="G38" s="9">
        <v>5.8999999999999999E-3</v>
      </c>
      <c r="H38" s="9">
        <v>5.7999999999999996E-3</v>
      </c>
      <c r="I38" s="9">
        <v>6.3E-3</v>
      </c>
      <c r="J38" s="9">
        <v>5.0000000000000001E-3</v>
      </c>
      <c r="K38" s="9">
        <v>4.1000000000000003E-3</v>
      </c>
      <c r="L38" s="9">
        <v>1.9E-3</v>
      </c>
      <c r="M38" s="9">
        <v>2.3999999999999998E-3</v>
      </c>
      <c r="N38" s="9">
        <v>2.2000000000000001E-3</v>
      </c>
      <c r="O38" s="9">
        <v>7.3000000000000001E-3</v>
      </c>
      <c r="P38" s="9">
        <v>2.5000000000000001E-3</v>
      </c>
      <c r="Q38" s="9">
        <v>4.1000000000000003E-3</v>
      </c>
      <c r="R38" s="9">
        <v>1.6999999999999999E-3</v>
      </c>
      <c r="S38" s="9">
        <v>2.5999999999999999E-3</v>
      </c>
      <c r="T38" s="9">
        <v>3.2000000000000002E-3</v>
      </c>
      <c r="U38" s="9">
        <v>3.7000000000000002E-3</v>
      </c>
      <c r="V38" s="9">
        <v>2.5000000000000001E-3</v>
      </c>
      <c r="W38" s="9">
        <v>1.6000000000000001E-3</v>
      </c>
      <c r="X38" s="9">
        <v>8.9999999999999998E-4</v>
      </c>
      <c r="Y38" s="9">
        <v>3.5000000000000001E-3</v>
      </c>
      <c r="Z38" s="9">
        <v>1.6000000000000001E-3</v>
      </c>
      <c r="AA38" s="9">
        <v>8.9999999999999998E-4</v>
      </c>
    </row>
    <row r="39" spans="1:27" ht="15" thickBot="1" x14ac:dyDescent="0.35">
      <c r="B39" s="22" t="s">
        <v>82</v>
      </c>
      <c r="C39" s="22"/>
      <c r="D39" s="24">
        <f t="shared" ref="D39:AA39" si="23">AVERAGE(D35:D38)</f>
        <v>2.7750000000000001E-3</v>
      </c>
      <c r="E39" s="24">
        <f t="shared" si="23"/>
        <v>4.8750000000000009E-3</v>
      </c>
      <c r="F39" s="24">
        <f t="shared" si="23"/>
        <v>2.575E-3</v>
      </c>
      <c r="G39" s="24">
        <f t="shared" si="23"/>
        <v>6.4749999999999999E-3</v>
      </c>
      <c r="H39" s="24">
        <f t="shared" si="23"/>
        <v>5.1749999999999999E-3</v>
      </c>
      <c r="I39" s="24">
        <f t="shared" si="23"/>
        <v>4.45E-3</v>
      </c>
      <c r="J39" s="24">
        <f t="shared" si="23"/>
        <v>3.7000000000000002E-3</v>
      </c>
      <c r="K39" s="24">
        <f t="shared" si="23"/>
        <v>3.7000000000000002E-3</v>
      </c>
      <c r="L39" s="24">
        <f t="shared" si="23"/>
        <v>2.225E-3</v>
      </c>
      <c r="M39" s="24">
        <f t="shared" si="23"/>
        <v>2.5999999999999999E-3</v>
      </c>
      <c r="N39" s="24">
        <f t="shared" si="23"/>
        <v>1.9250000000000001E-3</v>
      </c>
      <c r="O39" s="24">
        <f t="shared" si="23"/>
        <v>9.025E-3</v>
      </c>
      <c r="P39" s="24">
        <f t="shared" si="23"/>
        <v>2.4499999999999999E-3</v>
      </c>
      <c r="Q39" s="24">
        <f t="shared" si="23"/>
        <v>3.7499999999999999E-3</v>
      </c>
      <c r="R39" s="24">
        <f t="shared" si="23"/>
        <v>1.725E-3</v>
      </c>
      <c r="S39" s="24">
        <f t="shared" si="23"/>
        <v>2.5249999999999999E-3</v>
      </c>
      <c r="T39" s="24">
        <f t="shared" si="23"/>
        <v>4.9499999999999995E-3</v>
      </c>
      <c r="U39" s="24">
        <f t="shared" si="23"/>
        <v>4.2749999999999993E-3</v>
      </c>
      <c r="V39" s="24">
        <f t="shared" si="23"/>
        <v>2.5000000000000001E-3</v>
      </c>
      <c r="W39" s="24">
        <f t="shared" si="23"/>
        <v>1.575E-3</v>
      </c>
      <c r="X39" s="24">
        <f t="shared" si="23"/>
        <v>1E-3</v>
      </c>
      <c r="Y39" s="24">
        <f t="shared" si="23"/>
        <v>3.0249999999999999E-3</v>
      </c>
      <c r="Z39" s="24">
        <f t="shared" si="23"/>
        <v>1.6249999999999999E-3</v>
      </c>
      <c r="AA39" s="24">
        <f t="shared" si="23"/>
        <v>1.0499999999999999E-3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40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5.44140625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8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45683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45689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107</v>
      </c>
      <c r="C6" s="7">
        <v>37</v>
      </c>
      <c r="D6" s="7">
        <v>7</v>
      </c>
      <c r="E6" s="7">
        <v>1197</v>
      </c>
      <c r="F6" s="7">
        <v>1110</v>
      </c>
      <c r="G6" s="7">
        <v>3</v>
      </c>
      <c r="H6" s="9">
        <f t="shared" ref="H6:H12" si="0">IFERROR(G6/F6,0)</f>
        <v>2.7027027027027029E-3</v>
      </c>
      <c r="I6" s="9">
        <f>IFERROR((1197-F6)/1197,0)</f>
        <v>7.2681704260651625E-2</v>
      </c>
      <c r="J6" s="7">
        <v>4890</v>
      </c>
      <c r="K6" s="11">
        <f t="shared" ref="K6:K12" si="1">IFERROR(J6/D6/F6*100,0)</f>
        <v>62.93436293436293</v>
      </c>
      <c r="L6" s="11">
        <f>K6-63.7916</f>
        <v>-0.85723706563707225</v>
      </c>
      <c r="M6" s="11">
        <v>70</v>
      </c>
      <c r="N6" s="11">
        <f t="shared" ref="N6:N12" si="2">K6-M6</f>
        <v>-7.0656370656370697</v>
      </c>
      <c r="O6" s="11">
        <f>IFERROR(84140/1197,0)</f>
        <v>70.292397660818708</v>
      </c>
      <c r="P6" s="11">
        <v>0</v>
      </c>
      <c r="Q6" s="11">
        <f t="shared" ref="Q6:Q11" si="3">IFERROR(O6-P6,0)</f>
        <v>70.292397660818708</v>
      </c>
      <c r="R6" s="7">
        <v>875</v>
      </c>
      <c r="S6" s="11">
        <f t="shared" ref="S6:S11" si="4">IFERROR(R6/D6/F6*1000,0)</f>
        <v>112.61261261261261</v>
      </c>
      <c r="T6" s="13">
        <f t="shared" ref="T6:T12" si="5">IFERROR(J6/R6,0)</f>
        <v>5.588571428571429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178.93660531697341</v>
      </c>
      <c r="Z6" s="11">
        <f t="shared" ref="Z6:Z12" si="9">IFERROR(Y6*X6/1000,0)</f>
        <v>53.122699386503065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12</v>
      </c>
      <c r="AF6" s="11">
        <v>35</v>
      </c>
      <c r="AG6" s="7">
        <f t="shared" ref="AG6:AG11" si="10">IF(M6=0,0,IFERROR(N6/100*7*F6,0))</f>
        <v>-549.00000000000034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67</v>
      </c>
      <c r="C7" s="7"/>
      <c r="D7" s="7">
        <v>7</v>
      </c>
      <c r="E7" s="7">
        <v>14440</v>
      </c>
      <c r="F7" s="7">
        <v>12331</v>
      </c>
      <c r="G7" s="7">
        <v>65</v>
      </c>
      <c r="H7" s="9">
        <f t="shared" si="0"/>
        <v>5.2712675371016137E-3</v>
      </c>
      <c r="I7" s="9">
        <f>IFERROR((14440-F7)/14440,0)</f>
        <v>0.14605263157894738</v>
      </c>
      <c r="J7" s="7">
        <v>60060</v>
      </c>
      <c r="K7" s="11">
        <f t="shared" si="1"/>
        <v>69.580731489741297</v>
      </c>
      <c r="L7" s="11">
        <f>K7-70.2646</f>
        <v>-0.68386851025870499</v>
      </c>
      <c r="M7" s="11">
        <v>82.5</v>
      </c>
      <c r="N7" s="11">
        <f t="shared" si="2"/>
        <v>-12.919268510258703</v>
      </c>
      <c r="O7" s="11">
        <f>IFERROR(3881440/14440,0)</f>
        <v>268.79778393351802</v>
      </c>
      <c r="P7" s="11">
        <v>297</v>
      </c>
      <c r="Q7" s="11">
        <f t="shared" si="3"/>
        <v>-28.202216066481981</v>
      </c>
      <c r="R7" s="7">
        <v>9940</v>
      </c>
      <c r="S7" s="11">
        <f t="shared" si="4"/>
        <v>115.15692157975833</v>
      </c>
      <c r="T7" s="13">
        <f t="shared" si="5"/>
        <v>6.042253521126761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165.5011655011655</v>
      </c>
      <c r="Z7" s="11">
        <f t="shared" si="9"/>
        <v>61.756759906759903</v>
      </c>
      <c r="AA7" s="7">
        <v>0</v>
      </c>
      <c r="AB7" s="15">
        <f>IFERROR(AA7/1960,0)</f>
        <v>0</v>
      </c>
      <c r="AC7" s="11">
        <v>0</v>
      </c>
      <c r="AD7" s="15">
        <f>IFERROR(AC7/64.1,0)</f>
        <v>0</v>
      </c>
      <c r="AE7" s="11">
        <v>11</v>
      </c>
      <c r="AF7" s="11">
        <v>35</v>
      </c>
      <c r="AG7" s="7">
        <f t="shared" si="10"/>
        <v>-11151.525000000003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67</v>
      </c>
      <c r="C8" s="7"/>
      <c r="D8" s="7">
        <v>7</v>
      </c>
      <c r="E8" s="7">
        <v>16063</v>
      </c>
      <c r="F8" s="7">
        <v>13961</v>
      </c>
      <c r="G8" s="7">
        <v>66</v>
      </c>
      <c r="H8" s="9">
        <f t="shared" si="0"/>
        <v>4.7274550533629393E-3</v>
      </c>
      <c r="I8" s="9">
        <f>IFERROR((16063-F8)/16063,0)</f>
        <v>0.13085973977463736</v>
      </c>
      <c r="J8" s="7">
        <v>63870</v>
      </c>
      <c r="K8" s="11">
        <f t="shared" si="1"/>
        <v>65.3555312247383</v>
      </c>
      <c r="L8" s="11">
        <f>K8-63.0009</f>
        <v>2.3546312247382986</v>
      </c>
      <c r="M8" s="11">
        <v>84</v>
      </c>
      <c r="N8" s="11">
        <f t="shared" si="2"/>
        <v>-18.6444687752617</v>
      </c>
      <c r="O8" s="11">
        <f>IFERROR(4023360/16063,0)</f>
        <v>250.47375957168649</v>
      </c>
      <c r="P8" s="11">
        <v>297</v>
      </c>
      <c r="Q8" s="11">
        <f t="shared" si="3"/>
        <v>-46.526240428313514</v>
      </c>
      <c r="R8" s="7">
        <v>10770</v>
      </c>
      <c r="S8" s="11">
        <f t="shared" si="4"/>
        <v>110.20495871151269</v>
      </c>
      <c r="T8" s="13">
        <f t="shared" si="5"/>
        <v>5.9303621169916436</v>
      </c>
      <c r="U8" s="7">
        <v>0</v>
      </c>
      <c r="V8" s="11">
        <f t="shared" si="6"/>
        <v>0</v>
      </c>
      <c r="W8" s="11">
        <f t="shared" si="7"/>
        <v>0</v>
      </c>
      <c r="X8" s="11">
        <v>317.14285714290003</v>
      </c>
      <c r="Y8" s="11">
        <f t="shared" si="8"/>
        <v>168.62376702677315</v>
      </c>
      <c r="Z8" s="11">
        <f t="shared" si="9"/>
        <v>53.477823257069574</v>
      </c>
      <c r="AA8" s="7">
        <v>0</v>
      </c>
      <c r="AB8" s="15">
        <f>IFERROR(AA8/1580,0)</f>
        <v>0</v>
      </c>
      <c r="AC8" s="11">
        <v>0</v>
      </c>
      <c r="AD8" s="15">
        <f>IFERROR(AC8/63.2,0)</f>
        <v>0</v>
      </c>
      <c r="AE8" s="11">
        <v>12</v>
      </c>
      <c r="AF8" s="11">
        <v>35</v>
      </c>
      <c r="AG8" s="7">
        <f t="shared" si="10"/>
        <v>-18220.680000000004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28</v>
      </c>
      <c r="C9" s="7"/>
      <c r="D9" s="7">
        <v>7</v>
      </c>
      <c r="E9" s="7">
        <v>4686</v>
      </c>
      <c r="F9" s="7">
        <v>4367</v>
      </c>
      <c r="G9" s="7">
        <v>7</v>
      </c>
      <c r="H9" s="9">
        <f t="shared" si="0"/>
        <v>1.6029310739638196E-3</v>
      </c>
      <c r="I9" s="9">
        <f>IFERROR((4686-F9)/4686,0)</f>
        <v>6.8075117370892016E-2</v>
      </c>
      <c r="J9" s="7">
        <v>28470</v>
      </c>
      <c r="K9" s="11">
        <f t="shared" si="1"/>
        <v>93.133566685203974</v>
      </c>
      <c r="L9" s="11">
        <f>K9-87.7915</f>
        <v>5.3420666852039744</v>
      </c>
      <c r="M9" s="11">
        <v>95.5</v>
      </c>
      <c r="N9" s="11">
        <f t="shared" si="2"/>
        <v>-2.3664333147960264</v>
      </c>
      <c r="O9" s="11">
        <f>IFERROR(224280/4686,0)</f>
        <v>47.861715749039689</v>
      </c>
      <c r="P9" s="11">
        <v>58</v>
      </c>
      <c r="Q9" s="11">
        <f t="shared" si="3"/>
        <v>-10.138284250960311</v>
      </c>
      <c r="R9" s="7">
        <v>4283</v>
      </c>
      <c r="S9" s="11">
        <f t="shared" si="4"/>
        <v>140.10926101606202</v>
      </c>
      <c r="T9" s="13">
        <f t="shared" si="5"/>
        <v>6.647209899603082</v>
      </c>
      <c r="U9" s="7">
        <v>5040</v>
      </c>
      <c r="V9" s="11">
        <f t="shared" si="6"/>
        <v>164.87291046485001</v>
      </c>
      <c r="W9" s="11">
        <f t="shared" si="7"/>
        <v>1.1767452720056035</v>
      </c>
      <c r="X9" s="11">
        <v>362.76</v>
      </c>
      <c r="Y9" s="11">
        <f t="shared" si="8"/>
        <v>150.43905865823672</v>
      </c>
      <c r="Z9" s="11">
        <f t="shared" si="9"/>
        <v>54.573272918861946</v>
      </c>
      <c r="AA9" s="7">
        <v>1800</v>
      </c>
      <c r="AB9" s="15">
        <f>IFERROR(AA9/1890,0)</f>
        <v>0.95238095238095233</v>
      </c>
      <c r="AC9" s="11">
        <v>0</v>
      </c>
      <c r="AD9" s="15">
        <f>IFERROR(AC9/60.2,0)</f>
        <v>0</v>
      </c>
      <c r="AE9" s="11">
        <v>19</v>
      </c>
      <c r="AF9" s="11">
        <v>33</v>
      </c>
      <c r="AG9" s="7">
        <f t="shared" si="10"/>
        <v>-723.39499999999737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67</v>
      </c>
      <c r="C10" s="7"/>
      <c r="D10" s="7">
        <v>7</v>
      </c>
      <c r="E10" s="7">
        <v>5000</v>
      </c>
      <c r="F10" s="7">
        <v>4358</v>
      </c>
      <c r="G10" s="7">
        <v>13</v>
      </c>
      <c r="H10" s="9">
        <f t="shared" si="0"/>
        <v>2.9830197338228544E-3</v>
      </c>
      <c r="I10" s="9">
        <f>IFERROR((5000-F10)/5000,0)</f>
        <v>0.12839999999999999</v>
      </c>
      <c r="J10" s="7">
        <v>28920</v>
      </c>
      <c r="K10" s="11">
        <f t="shared" si="1"/>
        <v>94.80102274962303</v>
      </c>
      <c r="L10" s="11">
        <f>K10-90.8913</f>
        <v>3.9097227496230289</v>
      </c>
      <c r="M10" s="11">
        <v>82.5</v>
      </c>
      <c r="N10" s="11">
        <f t="shared" si="2"/>
        <v>12.30102274962303</v>
      </c>
      <c r="O10" s="11">
        <f>IFERROR(1366810/5000,0)</f>
        <v>273.36200000000002</v>
      </c>
      <c r="P10" s="11">
        <v>297</v>
      </c>
      <c r="Q10" s="11">
        <f t="shared" si="3"/>
        <v>-23.637999999999977</v>
      </c>
      <c r="R10" s="7">
        <v>4586</v>
      </c>
      <c r="S10" s="11">
        <f t="shared" si="4"/>
        <v>150.3310824100177</v>
      </c>
      <c r="T10" s="13">
        <f t="shared" si="5"/>
        <v>6.3061491495856954</v>
      </c>
      <c r="U10" s="7">
        <v>5040</v>
      </c>
      <c r="V10" s="11">
        <f t="shared" si="6"/>
        <v>165.21340064249657</v>
      </c>
      <c r="W10" s="11">
        <f t="shared" si="7"/>
        <v>1.0989969472307022</v>
      </c>
      <c r="X10" s="11">
        <v>374.81</v>
      </c>
      <c r="Y10" s="11">
        <f t="shared" si="8"/>
        <v>158.57538035961272</v>
      </c>
      <c r="Z10" s="11">
        <f t="shared" si="9"/>
        <v>59.435638312586448</v>
      </c>
      <c r="AA10" s="7">
        <v>2042</v>
      </c>
      <c r="AB10" s="15">
        <f>IFERROR(AA10/1960,0)</f>
        <v>1.0418367346938775</v>
      </c>
      <c r="AC10" s="11">
        <v>0</v>
      </c>
      <c r="AD10" s="15">
        <f>IFERROR(AC10/64.1,0)</f>
        <v>0</v>
      </c>
      <c r="AE10" s="11">
        <v>19</v>
      </c>
      <c r="AF10" s="11">
        <v>33</v>
      </c>
      <c r="AG10" s="7">
        <f t="shared" si="10"/>
        <v>3752.5500000000015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28</v>
      </c>
      <c r="C11" s="7"/>
      <c r="D11" s="7">
        <v>7</v>
      </c>
      <c r="E11" s="7">
        <v>4819</v>
      </c>
      <c r="F11" s="7">
        <v>4722</v>
      </c>
      <c r="G11" s="7">
        <v>13</v>
      </c>
      <c r="H11" s="9">
        <f t="shared" si="0"/>
        <v>2.7530707327403643E-3</v>
      </c>
      <c r="I11" s="9">
        <f>IFERROR((4819-F11)/4819,0)</f>
        <v>2.0128657397800374E-2</v>
      </c>
      <c r="J11" s="7">
        <v>30540</v>
      </c>
      <c r="K11" s="11">
        <f t="shared" si="1"/>
        <v>92.394263931748057</v>
      </c>
      <c r="L11" s="11">
        <f>K11-90.1493</f>
        <v>2.2449639317480603</v>
      </c>
      <c r="M11" s="11">
        <v>95.5</v>
      </c>
      <c r="N11" s="11">
        <f t="shared" si="2"/>
        <v>-3.105736068251943</v>
      </c>
      <c r="O11" s="11">
        <f>IFERROR(245016/4819,0)</f>
        <v>50.843743515252129</v>
      </c>
      <c r="P11" s="11">
        <v>58</v>
      </c>
      <c r="Q11" s="11">
        <f t="shared" si="3"/>
        <v>-7.1562564847478711</v>
      </c>
      <c r="R11" s="7">
        <v>4505</v>
      </c>
      <c r="S11" s="11">
        <f t="shared" si="4"/>
        <v>136.29212803291583</v>
      </c>
      <c r="T11" s="13">
        <f t="shared" si="5"/>
        <v>6.7791342952275251</v>
      </c>
      <c r="U11" s="7">
        <v>5040</v>
      </c>
      <c r="V11" s="11">
        <f t="shared" si="6"/>
        <v>152.47776365946632</v>
      </c>
      <c r="W11" s="11">
        <f t="shared" si="7"/>
        <v>1.118756936736959</v>
      </c>
      <c r="X11" s="11">
        <v>362.76</v>
      </c>
      <c r="Y11" s="11">
        <f t="shared" si="8"/>
        <v>147.51146037982971</v>
      </c>
      <c r="Z11" s="11">
        <f t="shared" si="9"/>
        <v>53.511257367387032</v>
      </c>
      <c r="AA11" s="7">
        <v>1850</v>
      </c>
      <c r="AB11" s="15">
        <f>IFERROR(AA11/1890,0)</f>
        <v>0.97883597883597884</v>
      </c>
      <c r="AC11" s="11">
        <v>0</v>
      </c>
      <c r="AD11" s="15">
        <f>IFERROR(AC11/60.2,0)</f>
        <v>0</v>
      </c>
      <c r="AE11" s="11">
        <v>19</v>
      </c>
      <c r="AF11" s="11">
        <v>35</v>
      </c>
      <c r="AG11" s="7">
        <f t="shared" si="10"/>
        <v>-1026.5699999999972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40849</v>
      </c>
      <c r="G12" s="17">
        <f>SUM(G6:G11)</f>
        <v>167</v>
      </c>
      <c r="H12" s="18">
        <f t="shared" si="0"/>
        <v>4.0882273739871232E-3</v>
      </c>
      <c r="I12" s="18"/>
      <c r="J12" s="17">
        <f>SUM(J6:J11)</f>
        <v>216750</v>
      </c>
      <c r="K12" s="19">
        <f t="shared" si="1"/>
        <v>75.801820642575606</v>
      </c>
      <c r="L12" s="19"/>
      <c r="M12" s="19">
        <f>IFERROR(SUMPRODUCT($F6:$F11,M6:M11)/$F12, 0)</f>
        <v>85.565521799799257</v>
      </c>
      <c r="N12" s="19">
        <f t="shared" si="2"/>
        <v>-9.7637011572236503</v>
      </c>
      <c r="O12" s="19">
        <f>IFERROR(SUMPRODUCT($E6:$E11,O6:O11)/$E12, 0)</f>
        <v>212.64032031165459</v>
      </c>
      <c r="P12" s="19">
        <f>IFERROR(SUMPRODUCT($E6:$E11,P6:P11)/$E12, 0)</f>
        <v>240.14026620495616</v>
      </c>
      <c r="Q12" s="19">
        <f>IFERROR(SUMPRODUCT($E6:$E11,Q6:Q11)/$E12, 0)</f>
        <v>-27.499945893301582</v>
      </c>
      <c r="R12" s="17">
        <f>SUM(R6:R11)</f>
        <v>34959</v>
      </c>
      <c r="S12" s="19">
        <f>IFERROR(R12/D12/$F12*1000,0)</f>
        <v>122.25863196511193</v>
      </c>
      <c r="T12" s="20">
        <f t="shared" si="5"/>
        <v>6.2001201407362911</v>
      </c>
      <c r="U12" s="17">
        <f>SUM(U6:U11)</f>
        <v>15120</v>
      </c>
      <c r="V12" s="19">
        <f>IFERROR(U12/D12/$F12*1000,0)</f>
        <v>52.877671424025067</v>
      </c>
      <c r="W12" s="19">
        <f t="shared" si="7"/>
        <v>0.43250665064790184</v>
      </c>
      <c r="X12" s="19">
        <f>IFERROR(SUMPRODUCT(R6:R11,X6:X11)/R12,0)</f>
        <v>351.59252585683328</v>
      </c>
      <c r="Y12" s="19">
        <f>IFERROR(($F12*S12)/($F12*K12)*100,0)</f>
        <v>161.28719723183394</v>
      </c>
      <c r="Z12" s="19">
        <f t="shared" si="9"/>
        <v>56.707373063109742</v>
      </c>
      <c r="AA12" s="17"/>
      <c r="AB12" s="21">
        <f>IFERROR(SUMPRODUCT($F6:$F11,AB6:AB11)/$F12,0)</f>
        <v>0.32611411787086658</v>
      </c>
      <c r="AC12" s="19"/>
      <c r="AD12" s="21">
        <f>AVERAGE(AD6:AD11)</f>
        <v>0</v>
      </c>
      <c r="AE12" s="19"/>
      <c r="AF12" s="19"/>
      <c r="AG12" s="17">
        <f>SUM(AG6:AG11)</f>
        <v>-27918.62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67</v>
      </c>
      <c r="C14" s="6">
        <v>4</v>
      </c>
      <c r="D14" s="6">
        <v>7</v>
      </c>
      <c r="E14" s="6">
        <v>21388</v>
      </c>
      <c r="F14" s="6">
        <v>17276</v>
      </c>
      <c r="G14" s="6">
        <v>43</v>
      </c>
      <c r="H14" s="8">
        <f t="shared" ref="H14:H29" si="12">IFERROR(G14/F14,0)</f>
        <v>2.489002083815698E-3</v>
      </c>
      <c r="I14" s="8">
        <f>IFERROR((21388-F14)/21388,0)</f>
        <v>0.1922573405648027</v>
      </c>
      <c r="J14" s="6">
        <v>0</v>
      </c>
      <c r="K14" s="10">
        <f t="shared" ref="K14:K29" si="13">IFERROR(J14/D14/F14*100,0)</f>
        <v>0</v>
      </c>
      <c r="L14" s="10">
        <f>K14-0</f>
        <v>0</v>
      </c>
      <c r="M14" s="10">
        <v>0</v>
      </c>
      <c r="N14" s="10">
        <f t="shared" ref="N14:N29" si="14">K14-M14</f>
        <v>0</v>
      </c>
      <c r="O14" s="10">
        <f>IFERROR(4134960/21388,0)</f>
        <v>193.33083972320927</v>
      </c>
      <c r="P14" s="10">
        <v>0</v>
      </c>
      <c r="Q14" s="10">
        <f t="shared" ref="Q14:Q28" si="15">IFERROR(O14-P14,0)</f>
        <v>193.33083972320927</v>
      </c>
      <c r="R14" s="6">
        <v>13170</v>
      </c>
      <c r="S14" s="10">
        <f t="shared" ref="S14:S28" si="16">IFERROR(R14/D14/F14*1000,0)</f>
        <v>108.90417755432804</v>
      </c>
      <c r="T14" s="12">
        <f t="shared" ref="T14:T29" si="17">IFERROR(J14/R14,0)</f>
        <v>0</v>
      </c>
      <c r="U14" s="6">
        <v>22440</v>
      </c>
      <c r="V14" s="10">
        <f t="shared" ref="V14:V28" si="18">IFERROR(U14/D14/F14*1000,0)</f>
        <v>185.55882644792115</v>
      </c>
      <c r="W14" s="10">
        <f t="shared" ref="W14:W29" si="19">IFERROR(V14/S14,0)</f>
        <v>1.7038724373576311</v>
      </c>
      <c r="X14" s="10">
        <v>276.36</v>
      </c>
      <c r="Y14" s="10">
        <f t="shared" ref="Y14:Y28" si="20">IFERROR((F14*S14)/(F14*K14)*100,0)</f>
        <v>0</v>
      </c>
      <c r="Z14" s="10">
        <f t="shared" ref="Z14:Z29" si="21">IFERROR(Y14*X14/1000,0)</f>
        <v>0</v>
      </c>
      <c r="AA14" s="6">
        <v>1880</v>
      </c>
      <c r="AB14" s="14">
        <f>IFERROR(AA14/1580,0)</f>
        <v>1.1898734177215189</v>
      </c>
      <c r="AC14" s="10">
        <v>0</v>
      </c>
      <c r="AD14" s="14">
        <f>IFERROR(AC14/63.2,0)</f>
        <v>0</v>
      </c>
      <c r="AE14" s="10">
        <v>22</v>
      </c>
      <c r="AF14" s="10">
        <v>25</v>
      </c>
      <c r="AG14" s="6">
        <f t="shared" ref="AG14:AG28" si="22">IF(M14=0,0,IFERROR(N14/100*7*F14,0))</f>
        <v>0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28</v>
      </c>
      <c r="C15" s="7"/>
      <c r="D15" s="7">
        <v>7</v>
      </c>
      <c r="E15" s="7">
        <v>10225</v>
      </c>
      <c r="F15" s="7">
        <v>9619</v>
      </c>
      <c r="G15" s="7">
        <v>44</v>
      </c>
      <c r="H15" s="9">
        <f t="shared" si="12"/>
        <v>4.574280070693419E-3</v>
      </c>
      <c r="I15" s="9">
        <f>IFERROR((10225-F15)/10225,0)</f>
        <v>5.9266503667481665E-2</v>
      </c>
      <c r="J15" s="7">
        <v>50640</v>
      </c>
      <c r="K15" s="11">
        <f t="shared" si="13"/>
        <v>75.208293110361936</v>
      </c>
      <c r="L15" s="11">
        <f>K15-65.0641</f>
        <v>10.14419311036194</v>
      </c>
      <c r="M15" s="11">
        <v>95.5</v>
      </c>
      <c r="N15" s="11">
        <f t="shared" si="14"/>
        <v>-20.291706889638064</v>
      </c>
      <c r="O15" s="11">
        <f>IFERROR(459480/10225,0)</f>
        <v>44.936919315403422</v>
      </c>
      <c r="P15" s="11">
        <v>58</v>
      </c>
      <c r="Q15" s="11">
        <f t="shared" si="15"/>
        <v>-13.063080684596578</v>
      </c>
      <c r="R15" s="7">
        <v>7780</v>
      </c>
      <c r="S15" s="11">
        <f t="shared" si="16"/>
        <v>115.54512646102208</v>
      </c>
      <c r="T15" s="13">
        <f t="shared" si="17"/>
        <v>6.5089974293059125</v>
      </c>
      <c r="U15" s="7">
        <v>12660</v>
      </c>
      <c r="V15" s="11">
        <f t="shared" si="18"/>
        <v>188.02073277590483</v>
      </c>
      <c r="W15" s="11">
        <f t="shared" si="19"/>
        <v>1.6272493573264781</v>
      </c>
      <c r="X15" s="11">
        <v>302.73142857139999</v>
      </c>
      <c r="Y15" s="11">
        <f t="shared" si="20"/>
        <v>153.63349131121643</v>
      </c>
      <c r="Z15" s="11">
        <f t="shared" si="21"/>
        <v>46.50968630105632</v>
      </c>
      <c r="AA15" s="7">
        <v>2020</v>
      </c>
      <c r="AB15" s="15">
        <f>IFERROR(AA15/1890,0)</f>
        <v>1.0687830687830688</v>
      </c>
      <c r="AC15" s="11">
        <v>61.3</v>
      </c>
      <c r="AD15" s="15">
        <f>IFERROR(AC15/60.2,0)</f>
        <v>1.0182724252491693</v>
      </c>
      <c r="AE15" s="11">
        <v>24</v>
      </c>
      <c r="AF15" s="11">
        <v>31</v>
      </c>
      <c r="AG15" s="7">
        <f t="shared" si="22"/>
        <v>-13663.014999999998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56</v>
      </c>
      <c r="C16" s="7"/>
      <c r="D16" s="7">
        <v>7</v>
      </c>
      <c r="E16" s="7">
        <v>56050</v>
      </c>
      <c r="F16" s="7">
        <v>51846</v>
      </c>
      <c r="G16" s="7">
        <v>211</v>
      </c>
      <c r="H16" s="9">
        <f t="shared" si="12"/>
        <v>4.0697450140801603E-3</v>
      </c>
      <c r="I16" s="9">
        <f>IFERROR((56050-F16)/56050,0)</f>
        <v>7.500446030330063E-2</v>
      </c>
      <c r="J16" s="7">
        <v>339880</v>
      </c>
      <c r="K16" s="11">
        <f t="shared" si="13"/>
        <v>93.650977344994246</v>
      </c>
      <c r="L16" s="11">
        <f>K16-94.5557</f>
        <v>-0.90472265500575588</v>
      </c>
      <c r="M16" s="11">
        <v>92.5</v>
      </c>
      <c r="N16" s="11">
        <f t="shared" si="14"/>
        <v>1.1509773449942458</v>
      </c>
      <c r="O16" s="11">
        <f>IFERROR(12827731/56050,0)</f>
        <v>228.86228367528992</v>
      </c>
      <c r="P16" s="11">
        <v>232</v>
      </c>
      <c r="Q16" s="11">
        <f t="shared" si="15"/>
        <v>-3.1377163247100839</v>
      </c>
      <c r="R16" s="7">
        <v>41550</v>
      </c>
      <c r="S16" s="11">
        <f t="shared" si="16"/>
        <v>114.48741051796253</v>
      </c>
      <c r="T16" s="13">
        <f t="shared" si="17"/>
        <v>8.1800240673886879</v>
      </c>
      <c r="U16" s="7">
        <v>63300</v>
      </c>
      <c r="V16" s="11">
        <f t="shared" si="18"/>
        <v>174.41764346057832</v>
      </c>
      <c r="W16" s="11">
        <f t="shared" si="19"/>
        <v>1.5234657039711192</v>
      </c>
      <c r="X16" s="11">
        <v>303.63571428569998</v>
      </c>
      <c r="Y16" s="11">
        <f t="shared" si="20"/>
        <v>122.24902906908319</v>
      </c>
      <c r="Z16" s="11">
        <f t="shared" si="21"/>
        <v>37.119171262124375</v>
      </c>
      <c r="AA16" s="7">
        <v>1783</v>
      </c>
      <c r="AB16" s="15">
        <f>IFERROR(AA16/1725,0)</f>
        <v>1.0336231884057971</v>
      </c>
      <c r="AC16" s="11">
        <v>0</v>
      </c>
      <c r="AD16" s="15">
        <f>IFERROR(AC16/63,0)</f>
        <v>0</v>
      </c>
      <c r="AE16" s="11">
        <v>21</v>
      </c>
      <c r="AF16" s="11">
        <v>26</v>
      </c>
      <c r="AG16" s="7">
        <f t="shared" si="22"/>
        <v>4177.1500000000169</v>
      </c>
      <c r="AH16" s="7">
        <v>83</v>
      </c>
      <c r="AI16" s="7">
        <v>6.6265060241000002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IFERROR(550/F16,0)</f>
        <v>1.0608340084095206E-2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130</v>
      </c>
      <c r="C17" s="7">
        <v>14</v>
      </c>
      <c r="D17" s="7">
        <v>7</v>
      </c>
      <c r="E17" s="7">
        <v>17433</v>
      </c>
      <c r="F17" s="7">
        <v>16339</v>
      </c>
      <c r="G17" s="7">
        <v>67</v>
      </c>
      <c r="H17" s="9">
        <f t="shared" si="12"/>
        <v>4.1006181528857339E-3</v>
      </c>
      <c r="I17" s="9">
        <f>IFERROR((17433-F17)/17433,0)</f>
        <v>6.275454597602248E-2</v>
      </c>
      <c r="J17" s="7">
        <v>74140</v>
      </c>
      <c r="K17" s="11">
        <f t="shared" si="13"/>
        <v>64.822991440287481</v>
      </c>
      <c r="L17" s="11">
        <f>K17-64.0706</f>
        <v>0.75239144028748228</v>
      </c>
      <c r="M17" s="11">
        <v>80</v>
      </c>
      <c r="N17" s="11">
        <f t="shared" si="14"/>
        <v>-15.177008559712519</v>
      </c>
      <c r="O17" s="11">
        <f>IFERROR(1014540/17433,0)</f>
        <v>58.19652383410773</v>
      </c>
      <c r="P17" s="11">
        <v>0</v>
      </c>
      <c r="Q17" s="11">
        <f t="shared" si="15"/>
        <v>58.19652383410773</v>
      </c>
      <c r="R17" s="7">
        <v>15790</v>
      </c>
      <c r="S17" s="11">
        <f t="shared" si="16"/>
        <v>138.05705892124888</v>
      </c>
      <c r="T17" s="13">
        <f t="shared" si="17"/>
        <v>4.6953768207726405</v>
      </c>
      <c r="U17" s="7">
        <v>26720</v>
      </c>
      <c r="V17" s="11">
        <f t="shared" si="18"/>
        <v>233.62157152474799</v>
      </c>
      <c r="W17" s="11">
        <f t="shared" si="19"/>
        <v>1.6922102596580118</v>
      </c>
      <c r="X17" s="11">
        <v>295.84428571429999</v>
      </c>
      <c r="Y17" s="11">
        <f t="shared" si="20"/>
        <v>212.9754518478554</v>
      </c>
      <c r="Z17" s="11">
        <f t="shared" si="21"/>
        <v>63.007570426609071</v>
      </c>
      <c r="AA17" s="7">
        <v>2461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0</v>
      </c>
      <c r="AF17" s="11">
        <v>33</v>
      </c>
      <c r="AG17" s="7">
        <f t="shared" si="22"/>
        <v>-17358.399999999998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49</v>
      </c>
      <c r="C18" s="7"/>
      <c r="D18" s="7">
        <v>7</v>
      </c>
      <c r="E18" s="7">
        <v>51536</v>
      </c>
      <c r="F18" s="7">
        <v>49248</v>
      </c>
      <c r="G18" s="7">
        <v>86</v>
      </c>
      <c r="H18" s="9">
        <f t="shared" si="12"/>
        <v>1.7462638076673163E-3</v>
      </c>
      <c r="I18" s="9">
        <f>IFERROR((51536-F18)/51536,0)</f>
        <v>4.4396150263893201E-2</v>
      </c>
      <c r="J18" s="7">
        <v>328500</v>
      </c>
      <c r="K18" s="11">
        <f t="shared" si="13"/>
        <v>95.290309106098576</v>
      </c>
      <c r="L18" s="11">
        <f>K18-94.9562</f>
        <v>0.33410910609858036</v>
      </c>
      <c r="M18" s="11">
        <v>94.2</v>
      </c>
      <c r="N18" s="11">
        <f t="shared" si="14"/>
        <v>1.090309106098573</v>
      </c>
      <c r="O18" s="11">
        <f>IFERROR(9302250/51536,0)</f>
        <v>180.50003880782367</v>
      </c>
      <c r="P18" s="11">
        <v>189</v>
      </c>
      <c r="Q18" s="11">
        <f t="shared" si="15"/>
        <v>-8.499961192176329</v>
      </c>
      <c r="R18" s="7">
        <v>40330</v>
      </c>
      <c r="S18" s="11">
        <f t="shared" si="16"/>
        <v>116.98807203193168</v>
      </c>
      <c r="T18" s="13">
        <f t="shared" si="17"/>
        <v>8.1453012645673191</v>
      </c>
      <c r="U18" s="7">
        <v>69040</v>
      </c>
      <c r="V18" s="11">
        <f t="shared" si="18"/>
        <v>200.26919149726169</v>
      </c>
      <c r="W18" s="11">
        <f t="shared" si="19"/>
        <v>1.7118770146293083</v>
      </c>
      <c r="X18" s="11">
        <v>301.77428571429999</v>
      </c>
      <c r="Y18" s="11">
        <f t="shared" si="20"/>
        <v>122.77016742770167</v>
      </c>
      <c r="Z18" s="11">
        <f t="shared" si="21"/>
        <v>37.048879582519689</v>
      </c>
      <c r="AA18" s="7">
        <v>1678</v>
      </c>
      <c r="AB18" s="15">
        <f>IFERROR(AA18/1720,0)</f>
        <v>0.97558139534883725</v>
      </c>
      <c r="AC18" s="11">
        <v>62.9</v>
      </c>
      <c r="AD18" s="15">
        <f>IFERROR(AC18/62.6,0)</f>
        <v>1.0047923322683705</v>
      </c>
      <c r="AE18" s="11">
        <v>22</v>
      </c>
      <c r="AF18" s="11">
        <v>28</v>
      </c>
      <c r="AG18" s="7">
        <f t="shared" si="22"/>
        <v>3758.6879999999765</v>
      </c>
      <c r="AH18" s="7">
        <v>17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IFERROR(100/F18,0)</f>
        <v>2.0305393112410655E-3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97</v>
      </c>
      <c r="C19" s="7">
        <v>27</v>
      </c>
      <c r="D19" s="7">
        <v>7</v>
      </c>
      <c r="E19" s="7">
        <v>51311</v>
      </c>
      <c r="F19" s="7">
        <v>40121</v>
      </c>
      <c r="G19" s="7">
        <v>91</v>
      </c>
      <c r="H19" s="9">
        <f t="shared" si="12"/>
        <v>2.2681388798883378E-3</v>
      </c>
      <c r="I19" s="9">
        <f>IFERROR((51311-F19)/51311,0)</f>
        <v>0.21808189277153048</v>
      </c>
      <c r="J19" s="7">
        <v>245500</v>
      </c>
      <c r="K19" s="11">
        <f t="shared" si="13"/>
        <v>87.414143644048181</v>
      </c>
      <c r="L19" s="11">
        <f>K19-87.3726</f>
        <v>4.1543644048175565E-2</v>
      </c>
      <c r="M19" s="11">
        <v>76</v>
      </c>
      <c r="N19" s="11">
        <f t="shared" si="14"/>
        <v>11.414143644048181</v>
      </c>
      <c r="O19" s="11">
        <f>IFERROR(21271889/51311,0)</f>
        <v>414.56781197014283</v>
      </c>
      <c r="P19" s="11">
        <v>0</v>
      </c>
      <c r="Q19" s="11">
        <f t="shared" si="15"/>
        <v>414.56781197014283</v>
      </c>
      <c r="R19" s="7">
        <v>32040</v>
      </c>
      <c r="S19" s="11">
        <f t="shared" si="16"/>
        <v>114.08346893504292</v>
      </c>
      <c r="T19" s="13">
        <f t="shared" si="17"/>
        <v>7.6622971285892634</v>
      </c>
      <c r="U19" s="7">
        <v>53620</v>
      </c>
      <c r="V19" s="11">
        <f t="shared" si="18"/>
        <v>190.92245955983151</v>
      </c>
      <c r="W19" s="11">
        <f t="shared" si="19"/>
        <v>1.6735330836454434</v>
      </c>
      <c r="X19" s="11">
        <v>311.00714285710001</v>
      </c>
      <c r="Y19" s="11">
        <f t="shared" si="20"/>
        <v>130.5091649694501</v>
      </c>
      <c r="Z19" s="11">
        <f t="shared" si="21"/>
        <v>40.589282513814602</v>
      </c>
      <c r="AA19" s="7">
        <v>0</v>
      </c>
      <c r="AB19" s="15">
        <f>IFERROR(AA19/1725,0)</f>
        <v>0</v>
      </c>
      <c r="AC19" s="11">
        <v>0</v>
      </c>
      <c r="AD19" s="15">
        <f>IFERROR(AC19/64.95,0)</f>
        <v>0</v>
      </c>
      <c r="AE19" s="11">
        <v>22</v>
      </c>
      <c r="AF19" s="11">
        <v>29</v>
      </c>
      <c r="AG19" s="7">
        <f t="shared" si="22"/>
        <v>32056.28</v>
      </c>
      <c r="AH19" s="7">
        <v>20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IFERROR(0/F19,0)</f>
        <v>0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28</v>
      </c>
      <c r="C20" s="7"/>
      <c r="D20" s="7">
        <v>7</v>
      </c>
      <c r="E20" s="7">
        <v>52424</v>
      </c>
      <c r="F20" s="7">
        <v>51642</v>
      </c>
      <c r="G20" s="7">
        <v>83</v>
      </c>
      <c r="H20" s="9">
        <f t="shared" si="12"/>
        <v>1.6072189303280276E-3</v>
      </c>
      <c r="I20" s="9">
        <f>IFERROR((52424-F20)/52424,0)</f>
        <v>1.4916831985350222E-2</v>
      </c>
      <c r="J20" s="7">
        <v>335020</v>
      </c>
      <c r="K20" s="11">
        <f t="shared" si="13"/>
        <v>92.676503621083612</v>
      </c>
      <c r="L20" s="11">
        <f>K20-88.385</f>
        <v>4.2915036210836064</v>
      </c>
      <c r="M20" s="11">
        <v>95.75</v>
      </c>
      <c r="N20" s="11">
        <f t="shared" si="14"/>
        <v>-3.0734963789163885</v>
      </c>
      <c r="O20" s="11">
        <f>IFERROR(2514640/52424,0)</f>
        <v>47.967343201587056</v>
      </c>
      <c r="P20" s="11">
        <v>53</v>
      </c>
      <c r="Q20" s="11">
        <f t="shared" si="15"/>
        <v>-5.032656798412944</v>
      </c>
      <c r="R20" s="7">
        <v>40522</v>
      </c>
      <c r="S20" s="11">
        <f t="shared" si="16"/>
        <v>112.09591307186288</v>
      </c>
      <c r="T20" s="13">
        <f t="shared" si="17"/>
        <v>8.2676077192636104</v>
      </c>
      <c r="U20" s="7">
        <v>66195</v>
      </c>
      <c r="V20" s="11">
        <f t="shared" si="18"/>
        <v>183.11507244933526</v>
      </c>
      <c r="W20" s="11">
        <f t="shared" si="19"/>
        <v>1.6335570801046344</v>
      </c>
      <c r="X20" s="11">
        <v>308.67714285710002</v>
      </c>
      <c r="Y20" s="11">
        <f t="shared" si="20"/>
        <v>120.95397289714047</v>
      </c>
      <c r="Z20" s="11">
        <f t="shared" si="21"/>
        <v>37.335726771104433</v>
      </c>
      <c r="AA20" s="7">
        <v>1616</v>
      </c>
      <c r="AB20" s="15">
        <f>IFERROR(AA20/1620,0)</f>
        <v>0.9975308641975309</v>
      </c>
      <c r="AC20" s="11">
        <v>0</v>
      </c>
      <c r="AD20" s="15">
        <f>IFERROR(AC20/57.45,0)</f>
        <v>0</v>
      </c>
      <c r="AE20" s="11">
        <v>22</v>
      </c>
      <c r="AF20" s="11">
        <v>27</v>
      </c>
      <c r="AG20" s="7">
        <f t="shared" si="22"/>
        <v>-11110.50500000001</v>
      </c>
      <c r="AH20" s="7">
        <v>35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37</v>
      </c>
      <c r="C21" s="7"/>
      <c r="D21" s="7">
        <v>7</v>
      </c>
      <c r="E21" s="7">
        <v>50845</v>
      </c>
      <c r="F21" s="7">
        <v>49827</v>
      </c>
      <c r="G21" s="7">
        <v>47</v>
      </c>
      <c r="H21" s="9">
        <f t="shared" si="12"/>
        <v>9.4326369237561969E-4</v>
      </c>
      <c r="I21" s="9">
        <f>IFERROR((50845-F21)/50845,0)</f>
        <v>2.0021634378994985E-2</v>
      </c>
      <c r="J21" s="7">
        <v>332080</v>
      </c>
      <c r="K21" s="11">
        <f t="shared" si="13"/>
        <v>95.209424609147646</v>
      </c>
      <c r="L21" s="11">
        <f>K21-95.2285</f>
        <v>-1.9075390852350438E-2</v>
      </c>
      <c r="M21" s="11">
        <v>95.45</v>
      </c>
      <c r="N21" s="11">
        <f t="shared" si="14"/>
        <v>-0.24057539085235646</v>
      </c>
      <c r="O21" s="11">
        <f>IFERROR(5477970/50845,0)</f>
        <v>107.73861736650605</v>
      </c>
      <c r="P21" s="11">
        <v>112</v>
      </c>
      <c r="Q21" s="11">
        <f t="shared" si="15"/>
        <v>-4.2613826334939517</v>
      </c>
      <c r="R21" s="7">
        <v>39203</v>
      </c>
      <c r="S21" s="11">
        <f t="shared" si="16"/>
        <v>112.3974666632262</v>
      </c>
      <c r="T21" s="13">
        <f t="shared" si="17"/>
        <v>8.4707802974262165</v>
      </c>
      <c r="U21" s="7">
        <v>68300</v>
      </c>
      <c r="V21" s="11">
        <f t="shared" si="18"/>
        <v>195.82039571202074</v>
      </c>
      <c r="W21" s="11">
        <f t="shared" si="19"/>
        <v>1.7422136061015738</v>
      </c>
      <c r="X21" s="11">
        <v>309.86428571430002</v>
      </c>
      <c r="Y21" s="11">
        <f t="shared" si="20"/>
        <v>118.05287882437968</v>
      </c>
      <c r="Z21" s="11">
        <f t="shared" si="21"/>
        <v>36.580370973433226</v>
      </c>
      <c r="AA21" s="7">
        <v>1713</v>
      </c>
      <c r="AB21" s="15">
        <f>IFERROR(AA21/1700,0)</f>
        <v>1.0076470588235293</v>
      </c>
      <c r="AC21" s="11">
        <v>0</v>
      </c>
      <c r="AD21" s="15">
        <f>IFERROR(AC21/61.35,0)</f>
        <v>0</v>
      </c>
      <c r="AE21" s="11">
        <v>20</v>
      </c>
      <c r="AF21" s="11">
        <v>27</v>
      </c>
      <c r="AG21" s="7">
        <f t="shared" si="22"/>
        <v>-839.10050000002548</v>
      </c>
      <c r="AH21" s="7">
        <v>32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87</v>
      </c>
      <c r="C22" s="7"/>
      <c r="D22" s="7">
        <v>7</v>
      </c>
      <c r="E22" s="7">
        <v>20160</v>
      </c>
      <c r="F22" s="7">
        <v>15770</v>
      </c>
      <c r="G22" s="7">
        <v>42</v>
      </c>
      <c r="H22" s="9">
        <f t="shared" si="12"/>
        <v>2.6632847178186432E-3</v>
      </c>
      <c r="I22" s="9">
        <f>IFERROR((20160-F22)/20160,0)</f>
        <v>0.21775793650793651</v>
      </c>
      <c r="J22" s="7">
        <v>72940</v>
      </c>
      <c r="K22" s="11">
        <f t="shared" si="13"/>
        <v>66.074825618262523</v>
      </c>
      <c r="L22" s="11">
        <f>K22-68.682</f>
        <v>-2.6071743817374795</v>
      </c>
      <c r="M22" s="11">
        <v>73</v>
      </c>
      <c r="N22" s="11">
        <f t="shared" si="14"/>
        <v>-6.9251743817374773</v>
      </c>
      <c r="O22" s="11">
        <f>IFERROR(5681079/20160,0)</f>
        <v>281.79955357142859</v>
      </c>
      <c r="P22" s="11">
        <v>400</v>
      </c>
      <c r="Q22" s="11">
        <f t="shared" si="15"/>
        <v>-118.20044642857141</v>
      </c>
      <c r="R22" s="7">
        <v>13890</v>
      </c>
      <c r="S22" s="11">
        <f t="shared" si="16"/>
        <v>125.82661472959505</v>
      </c>
      <c r="T22" s="13">
        <f t="shared" si="17"/>
        <v>5.2512598992080637</v>
      </c>
      <c r="U22" s="7">
        <v>19310</v>
      </c>
      <c r="V22" s="11">
        <f t="shared" si="18"/>
        <v>174.92526496965306</v>
      </c>
      <c r="W22" s="11">
        <f t="shared" si="19"/>
        <v>1.3902087832973364</v>
      </c>
      <c r="X22" s="11">
        <v>276.36</v>
      </c>
      <c r="Y22" s="11">
        <f t="shared" si="20"/>
        <v>190.43049081436794</v>
      </c>
      <c r="Z22" s="11">
        <f t="shared" si="21"/>
        <v>52.627370441458723</v>
      </c>
      <c r="AA22" s="7">
        <v>2040</v>
      </c>
      <c r="AB22" s="15">
        <f>IFERROR(AA22/1970,0)</f>
        <v>1.0355329949238579</v>
      </c>
      <c r="AC22" s="11">
        <v>65.900000000000006</v>
      </c>
      <c r="AD22" s="15">
        <f>IFERROR(AC22/65,0)</f>
        <v>1.0138461538461538</v>
      </c>
      <c r="AE22" s="11">
        <v>22</v>
      </c>
      <c r="AF22" s="11">
        <v>25</v>
      </c>
      <c r="AG22" s="7">
        <f t="shared" si="22"/>
        <v>-7644.7000000000007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28</v>
      </c>
      <c r="C23" s="7"/>
      <c r="D23" s="7">
        <v>7</v>
      </c>
      <c r="E23" s="7">
        <v>21875</v>
      </c>
      <c r="F23" s="7">
        <v>21581</v>
      </c>
      <c r="G23" s="7">
        <v>20</v>
      </c>
      <c r="H23" s="9">
        <f t="shared" si="12"/>
        <v>9.2674111486956115E-4</v>
      </c>
      <c r="I23" s="9">
        <f>IFERROR((21875-F23)/21875,0)</f>
        <v>1.3440000000000001E-2</v>
      </c>
      <c r="J23" s="7">
        <v>137880</v>
      </c>
      <c r="K23" s="11">
        <f t="shared" si="13"/>
        <v>91.270760655867932</v>
      </c>
      <c r="L23" s="11">
        <f>K23-90.8424</f>
        <v>0.42836065586793381</v>
      </c>
      <c r="M23" s="11">
        <v>95.5</v>
      </c>
      <c r="N23" s="11">
        <f t="shared" si="14"/>
        <v>-4.2292393441320684</v>
      </c>
      <c r="O23" s="11">
        <f>IFERROR(1305150/21875,0)</f>
        <v>59.664000000000001</v>
      </c>
      <c r="P23" s="11">
        <v>58</v>
      </c>
      <c r="Q23" s="11">
        <f t="shared" si="15"/>
        <v>1.6640000000000015</v>
      </c>
      <c r="R23" s="7">
        <v>18930</v>
      </c>
      <c r="S23" s="11">
        <f t="shared" si="16"/>
        <v>125.30863788914853</v>
      </c>
      <c r="T23" s="13">
        <f t="shared" si="17"/>
        <v>7.2836767036450079</v>
      </c>
      <c r="U23" s="7">
        <v>32439</v>
      </c>
      <c r="V23" s="11">
        <f t="shared" si="18"/>
        <v>214.73253589466924</v>
      </c>
      <c r="W23" s="11">
        <f t="shared" si="19"/>
        <v>1.7136291600633913</v>
      </c>
      <c r="X23" s="11">
        <v>302.46142857140001</v>
      </c>
      <c r="Y23" s="11">
        <f t="shared" si="20"/>
        <v>137.29329852045257</v>
      </c>
      <c r="Z23" s="11">
        <f t="shared" si="21"/>
        <v>41.525927203775765</v>
      </c>
      <c r="AA23" s="7">
        <v>1995</v>
      </c>
      <c r="AB23" s="15">
        <f>IFERROR(AA23/1890,0)</f>
        <v>1.0555555555555556</v>
      </c>
      <c r="AC23" s="11">
        <v>0</v>
      </c>
      <c r="AD23" s="15">
        <f>IFERROR(AC23/60.2,0)</f>
        <v>0</v>
      </c>
      <c r="AE23" s="11">
        <v>22</v>
      </c>
      <c r="AF23" s="11">
        <v>26</v>
      </c>
      <c r="AG23" s="7">
        <f t="shared" si="22"/>
        <v>-6388.9849999999924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87</v>
      </c>
      <c r="C24" s="7">
        <v>20</v>
      </c>
      <c r="D24" s="7">
        <v>7</v>
      </c>
      <c r="E24" s="7">
        <v>51833</v>
      </c>
      <c r="F24" s="7">
        <v>42839</v>
      </c>
      <c r="G24" s="7">
        <v>133</v>
      </c>
      <c r="H24" s="9">
        <f t="shared" si="12"/>
        <v>3.10464763416513E-3</v>
      </c>
      <c r="I24" s="9">
        <f>IFERROR((51833-F24)/51833,0)</f>
        <v>0.17351880076399206</v>
      </c>
      <c r="J24" s="7">
        <v>225040</v>
      </c>
      <c r="K24" s="11">
        <f t="shared" si="13"/>
        <v>75.045102426693973</v>
      </c>
      <c r="L24" s="11">
        <f>K24-72.745</f>
        <v>2.300102426693968</v>
      </c>
      <c r="M24" s="11">
        <v>79</v>
      </c>
      <c r="N24" s="11">
        <f t="shared" si="14"/>
        <v>-3.9548975733060274</v>
      </c>
      <c r="O24" s="11">
        <f>IFERROR(17676978/51833,0)</f>
        <v>341.03713850249841</v>
      </c>
      <c r="P24" s="11">
        <v>0</v>
      </c>
      <c r="Q24" s="11">
        <f t="shared" si="15"/>
        <v>341.03713850249841</v>
      </c>
      <c r="R24" s="7">
        <v>33764</v>
      </c>
      <c r="S24" s="11">
        <f t="shared" si="16"/>
        <v>112.59433160037749</v>
      </c>
      <c r="T24" s="13">
        <f t="shared" si="17"/>
        <v>6.6650870749911144</v>
      </c>
      <c r="U24" s="7">
        <v>54724</v>
      </c>
      <c r="V24" s="11">
        <f t="shared" si="18"/>
        <v>182.49058768211876</v>
      </c>
      <c r="W24" s="11">
        <f t="shared" si="19"/>
        <v>1.6207795284918849</v>
      </c>
      <c r="X24" s="11">
        <v>304.56571428569998</v>
      </c>
      <c r="Y24" s="11">
        <f t="shared" si="20"/>
        <v>150.03554923569141</v>
      </c>
      <c r="Z24" s="11">
        <f t="shared" si="21"/>
        <v>45.695684221215664</v>
      </c>
      <c r="AA24" s="7">
        <v>1771</v>
      </c>
      <c r="AB24" s="15">
        <f>IFERROR(AA24/1970,0)</f>
        <v>0.89898477157360401</v>
      </c>
      <c r="AC24" s="11">
        <v>0</v>
      </c>
      <c r="AD24" s="15">
        <f>IFERROR(AC24/65,0)</f>
        <v>0</v>
      </c>
      <c r="AE24" s="11">
        <v>22</v>
      </c>
      <c r="AF24" s="11">
        <v>27</v>
      </c>
      <c r="AG24" s="7">
        <f t="shared" si="22"/>
        <v>-11859.669999999984</v>
      </c>
      <c r="AH24" s="7">
        <v>38</v>
      </c>
      <c r="AI24" s="7">
        <v>19.4736842105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IFERROR(700/F24,0)</f>
        <v>1.6340250706132264E-2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86</v>
      </c>
      <c r="C25" s="7">
        <v>20</v>
      </c>
      <c r="D25" s="7">
        <v>7</v>
      </c>
      <c r="E25" s="7">
        <v>21623</v>
      </c>
      <c r="F25" s="7">
        <v>18476</v>
      </c>
      <c r="G25" s="7">
        <v>28</v>
      </c>
      <c r="H25" s="9">
        <f t="shared" si="12"/>
        <v>1.5154795410261962E-3</v>
      </c>
      <c r="I25" s="9">
        <f>IFERROR((21623-F25)/21623,0)</f>
        <v>0.145539471858669</v>
      </c>
      <c r="J25" s="7">
        <v>89280</v>
      </c>
      <c r="K25" s="11">
        <f t="shared" si="13"/>
        <v>69.031639501438164</v>
      </c>
      <c r="L25" s="11">
        <f>K25-73.3432</f>
        <v>-4.3115604985618319</v>
      </c>
      <c r="M25" s="11">
        <v>84</v>
      </c>
      <c r="N25" s="11">
        <f t="shared" si="14"/>
        <v>-14.968360498561836</v>
      </c>
      <c r="O25" s="11">
        <f>IFERROR(7300385/21623,0)</f>
        <v>337.62128289321555</v>
      </c>
      <c r="P25" s="11">
        <v>0</v>
      </c>
      <c r="Q25" s="11">
        <f t="shared" si="15"/>
        <v>337.62128289321555</v>
      </c>
      <c r="R25" s="7">
        <v>15385</v>
      </c>
      <c r="S25" s="11">
        <f t="shared" si="16"/>
        <v>118.95741193208175</v>
      </c>
      <c r="T25" s="13">
        <f t="shared" si="17"/>
        <v>5.8030549236269096</v>
      </c>
      <c r="U25" s="7">
        <v>27367</v>
      </c>
      <c r="V25" s="11">
        <f t="shared" si="18"/>
        <v>211.60269693501994</v>
      </c>
      <c r="W25" s="11">
        <f t="shared" si="19"/>
        <v>1.7788105297367567</v>
      </c>
      <c r="X25" s="11">
        <v>288.63428571430001</v>
      </c>
      <c r="Y25" s="11">
        <f t="shared" si="20"/>
        <v>172.3230286738351</v>
      </c>
      <c r="Z25" s="11">
        <f t="shared" si="21"/>
        <v>49.73833429339723</v>
      </c>
      <c r="AA25" s="7">
        <v>1982</v>
      </c>
      <c r="AB25" s="15">
        <f>IFERROR(AA25/1970,0)</f>
        <v>1.0060913705583756</v>
      </c>
      <c r="AC25" s="11">
        <v>0</v>
      </c>
      <c r="AD25" s="15">
        <f>IFERROR(AC25/64.9,0)</f>
        <v>0</v>
      </c>
      <c r="AE25" s="11">
        <v>22</v>
      </c>
      <c r="AF25" s="11">
        <v>26</v>
      </c>
      <c r="AG25" s="7">
        <f t="shared" si="22"/>
        <v>-19358.879999999997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70</v>
      </c>
      <c r="B26" s="5">
        <v>76</v>
      </c>
      <c r="C26" s="7">
        <v>4</v>
      </c>
      <c r="D26" s="7">
        <v>7</v>
      </c>
      <c r="E26" s="7">
        <v>47224</v>
      </c>
      <c r="F26" s="7">
        <v>38703</v>
      </c>
      <c r="G26" s="7">
        <v>85</v>
      </c>
      <c r="H26" s="9">
        <f t="shared" si="12"/>
        <v>2.196212179934372E-3</v>
      </c>
      <c r="I26" s="9">
        <f>IFERROR((47224-F26)/47224,0)</f>
        <v>0.18043791292563102</v>
      </c>
      <c r="J26" s="7">
        <v>52460</v>
      </c>
      <c r="K26" s="11">
        <f t="shared" si="13"/>
        <v>19.363578312497001</v>
      </c>
      <c r="L26" s="11">
        <f>K26-0</f>
        <v>19.363578312497001</v>
      </c>
      <c r="M26" s="11">
        <v>0</v>
      </c>
      <c r="N26" s="11">
        <f t="shared" si="14"/>
        <v>19.363578312497001</v>
      </c>
      <c r="O26" s="11">
        <f>IFERROR(13525550/47224,0)</f>
        <v>286.41262917160765</v>
      </c>
      <c r="P26" s="11">
        <v>0</v>
      </c>
      <c r="Q26" s="11">
        <f t="shared" si="15"/>
        <v>286.41262917160765</v>
      </c>
      <c r="R26" s="7">
        <v>26020</v>
      </c>
      <c r="S26" s="11">
        <f t="shared" si="16"/>
        <v>96.042757851919944</v>
      </c>
      <c r="T26" s="13">
        <f t="shared" si="17"/>
        <v>2.0161414296694851</v>
      </c>
      <c r="U26" s="7">
        <v>45700</v>
      </c>
      <c r="V26" s="11">
        <f t="shared" si="18"/>
        <v>168.6838598705896</v>
      </c>
      <c r="W26" s="11">
        <f t="shared" si="19"/>
        <v>1.7563412759415833</v>
      </c>
      <c r="X26" s="11">
        <v>312.73</v>
      </c>
      <c r="Y26" s="11">
        <f t="shared" si="20"/>
        <v>495.9969500571865</v>
      </c>
      <c r="Z26" s="11">
        <f t="shared" si="21"/>
        <v>155.11312619138397</v>
      </c>
      <c r="AA26" s="7">
        <v>1510</v>
      </c>
      <c r="AB26" s="15">
        <f>IFERROR(AA26/1580,0)</f>
        <v>0.95569620253164556</v>
      </c>
      <c r="AC26" s="11">
        <v>0</v>
      </c>
      <c r="AD26" s="15">
        <f>IFERROR(AC26/63.5,0)</f>
        <v>0</v>
      </c>
      <c r="AE26" s="11">
        <v>16</v>
      </c>
      <c r="AF26" s="11">
        <v>30</v>
      </c>
      <c r="AG26" s="7">
        <f t="shared" si="22"/>
        <v>0</v>
      </c>
      <c r="AH26" s="7">
        <v>10</v>
      </c>
      <c r="AI26" s="7">
        <v>20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106</v>
      </c>
      <c r="C27" s="7">
        <v>34</v>
      </c>
      <c r="D27" s="7">
        <v>7</v>
      </c>
      <c r="E27" s="7">
        <v>33376</v>
      </c>
      <c r="F27" s="7">
        <v>30296</v>
      </c>
      <c r="G27" s="7">
        <v>133</v>
      </c>
      <c r="H27" s="9">
        <f t="shared" si="12"/>
        <v>4.3900184842883549E-3</v>
      </c>
      <c r="I27" s="9">
        <f>IFERROR((33376-F27)/33376,0)</f>
        <v>9.2281879194630878E-2</v>
      </c>
      <c r="J27" s="7">
        <v>145580</v>
      </c>
      <c r="K27" s="11">
        <f t="shared" si="13"/>
        <v>68.646497415971936</v>
      </c>
      <c r="L27" s="11">
        <f>K27-66.2056</f>
        <v>2.4408974159719321</v>
      </c>
      <c r="M27" s="11">
        <v>70</v>
      </c>
      <c r="N27" s="11">
        <f t="shared" si="14"/>
        <v>-1.3535025840280639</v>
      </c>
      <c r="O27" s="11">
        <f>IFERROR(13615653/33376,0)</f>
        <v>407.94741730584849</v>
      </c>
      <c r="P27" s="11">
        <v>0</v>
      </c>
      <c r="Q27" s="11">
        <f t="shared" si="15"/>
        <v>407.94741730584849</v>
      </c>
      <c r="R27" s="7">
        <v>23764</v>
      </c>
      <c r="S27" s="11">
        <f t="shared" si="16"/>
        <v>112.05628277188879</v>
      </c>
      <c r="T27" s="13">
        <f t="shared" si="17"/>
        <v>6.1260730516748021</v>
      </c>
      <c r="U27" s="7">
        <v>39966</v>
      </c>
      <c r="V27" s="11">
        <f t="shared" si="18"/>
        <v>188.45486438568034</v>
      </c>
      <c r="W27" s="11">
        <f t="shared" si="19"/>
        <v>1.6817875778488471</v>
      </c>
      <c r="X27" s="11">
        <v>292.32142857140002</v>
      </c>
      <c r="Y27" s="11">
        <f t="shared" si="20"/>
        <v>163.23670833905757</v>
      </c>
      <c r="Z27" s="11">
        <f t="shared" si="21"/>
        <v>47.717587776966276</v>
      </c>
      <c r="AA27" s="7">
        <v>1662</v>
      </c>
      <c r="AB27" s="15">
        <f>IFERROR(AA27/0,0)</f>
        <v>0</v>
      </c>
      <c r="AC27" s="11">
        <v>0</v>
      </c>
      <c r="AD27" s="15">
        <f>IFERROR(AC27/0,0)</f>
        <v>0</v>
      </c>
      <c r="AE27" s="11">
        <v>16</v>
      </c>
      <c r="AF27" s="11">
        <v>30</v>
      </c>
      <c r="AG27" s="7">
        <f t="shared" si="22"/>
        <v>-2870.3999999999955</v>
      </c>
      <c r="AH27" s="7">
        <v>43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IFERROR(300/F27,0)</f>
        <v>9.9022973329812511E-3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106</v>
      </c>
      <c r="C28" s="7">
        <v>34</v>
      </c>
      <c r="D28" s="7">
        <v>7</v>
      </c>
      <c r="E28" s="7">
        <v>12390</v>
      </c>
      <c r="F28" s="7">
        <v>10275</v>
      </c>
      <c r="G28" s="7">
        <v>24</v>
      </c>
      <c r="H28" s="9">
        <f t="shared" si="12"/>
        <v>2.3357664233576644E-3</v>
      </c>
      <c r="I28" s="9">
        <f>IFERROR((12390-F28)/12390,0)</f>
        <v>0.17070217917675545</v>
      </c>
      <c r="J28" s="7">
        <v>58010</v>
      </c>
      <c r="K28" s="11">
        <f t="shared" si="13"/>
        <v>80.653458463677438</v>
      </c>
      <c r="L28" s="11">
        <f>K28-81.2839</f>
        <v>-0.63044153632256439</v>
      </c>
      <c r="M28" s="11">
        <v>70</v>
      </c>
      <c r="N28" s="11">
        <f t="shared" si="14"/>
        <v>10.653458463677438</v>
      </c>
      <c r="O28" s="11">
        <f>IFERROR(5555908/12390,0)</f>
        <v>448.41872477804679</v>
      </c>
      <c r="P28" s="11">
        <v>0</v>
      </c>
      <c r="Q28" s="11">
        <f t="shared" si="15"/>
        <v>448.41872477804679</v>
      </c>
      <c r="R28" s="7">
        <v>9840</v>
      </c>
      <c r="S28" s="11">
        <f t="shared" si="16"/>
        <v>136.80917622523461</v>
      </c>
      <c r="T28" s="13">
        <f t="shared" si="17"/>
        <v>5.8953252032520327</v>
      </c>
      <c r="U28" s="7">
        <v>19933</v>
      </c>
      <c r="V28" s="11">
        <f t="shared" si="18"/>
        <v>277.13590545707336</v>
      </c>
      <c r="W28" s="11">
        <f t="shared" si="19"/>
        <v>2.0257113821138213</v>
      </c>
      <c r="X28" s="11">
        <v>289.91142857139999</v>
      </c>
      <c r="Y28" s="11">
        <f t="shared" si="20"/>
        <v>169.62592656438545</v>
      </c>
      <c r="Z28" s="11">
        <f t="shared" si="21"/>
        <v>49.176494693028374</v>
      </c>
      <c r="AA28" s="7">
        <v>2007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16</v>
      </c>
      <c r="AF28" s="11">
        <v>30</v>
      </c>
      <c r="AG28" s="7">
        <f t="shared" si="22"/>
        <v>7662.4999999999982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IFERROR(150/F28,0)</f>
        <v>1.4598540145985401E-2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7</v>
      </c>
      <c r="E29" s="17">
        <f>SUM(E14:E28)</f>
        <v>519693</v>
      </c>
      <c r="F29" s="17">
        <f>SUM(F14:F28)</f>
        <v>463858</v>
      </c>
      <c r="G29" s="17">
        <f>SUM(G14:G28)</f>
        <v>1137</v>
      </c>
      <c r="H29" s="18">
        <f t="shared" si="12"/>
        <v>2.4511811804474645E-3</v>
      </c>
      <c r="I29" s="18"/>
      <c r="J29" s="17">
        <f>SUM(J14:J28)</f>
        <v>2486950</v>
      </c>
      <c r="K29" s="19">
        <f t="shared" si="13"/>
        <v>76.592097458397063</v>
      </c>
      <c r="L29" s="19"/>
      <c r="M29" s="19">
        <f>IFERROR(SUMPRODUCT($F14:$F28,M14:M28)/$F29, 0)</f>
        <v>76.314273441441131</v>
      </c>
      <c r="N29" s="19">
        <f t="shared" si="14"/>
        <v>0.27782401695593251</v>
      </c>
      <c r="O29" s="19">
        <f>IFERROR(SUMPRODUCT($E14:$E28,O14:O28)/$E29, 0)</f>
        <v>234.10775784934566</v>
      </c>
      <c r="P29" s="19">
        <f>IFERROR(SUMPRODUCT($E14:$E28,P14:P28)/$E29, 0)</f>
        <v>79.167539297238946</v>
      </c>
      <c r="Q29" s="19">
        <f>IFERROR(SUMPRODUCT($E14:$E28,Q14:Q28)/$E29, 0)</f>
        <v>154.94021855210673</v>
      </c>
      <c r="R29" s="17">
        <f>SUM(R14:R28)</f>
        <v>371978</v>
      </c>
      <c r="S29" s="19">
        <f>IFERROR(R29/D29/$F29*1000,0)</f>
        <v>114.56030570932113</v>
      </c>
      <c r="T29" s="20">
        <f t="shared" si="17"/>
        <v>6.685744855878573</v>
      </c>
      <c r="U29" s="17">
        <f>SUM(U14:U28)</f>
        <v>621714</v>
      </c>
      <c r="V29" s="19">
        <f>IFERROR(U29/D29/$F29*1000,0)</f>
        <v>191.4730062094126</v>
      </c>
      <c r="W29" s="19">
        <f t="shared" si="19"/>
        <v>1.6713730381904308</v>
      </c>
      <c r="X29" s="19">
        <f>IFERROR(SUMPRODUCT(R14:R28,X14:X28)/R29,0)</f>
        <v>301.89507842244501</v>
      </c>
      <c r="Y29" s="19">
        <f>IFERROR(($F29*S29)/($F29*K29)*100,0)</f>
        <v>149.57196566074907</v>
      </c>
      <c r="Z29" s="19">
        <f t="shared" si="21"/>
        <v>45.155040302951093</v>
      </c>
      <c r="AA29" s="17"/>
      <c r="AB29" s="21">
        <f>IFERROR(SUMPRODUCT($F14:$F28,AB14:AB28)/$F29,0)</f>
        <v>0.79203726025885257</v>
      </c>
      <c r="AC29" s="19"/>
      <c r="AD29" s="21">
        <f>AVERAGE(AD14:AD28)</f>
        <v>0.20246072742424623</v>
      </c>
      <c r="AE29" s="19"/>
      <c r="AF29" s="19"/>
      <c r="AG29" s="17">
        <f>SUM(AG14:AG28)</f>
        <v>-43439.037500000006</v>
      </c>
      <c r="AH29" s="17">
        <f>SUM(AH14:AH28)</f>
        <v>278</v>
      </c>
      <c r="AI29" s="17">
        <f>IFERROR(SUMPRODUCT(AH14:AH28,AI14:AI28)/AH29, 0)</f>
        <v>15.935251798558632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6.9999999999999991</v>
      </c>
      <c r="E31" s="23">
        <f>E12+E29</f>
        <v>565898</v>
      </c>
      <c r="F31" s="23">
        <f>F12+F29</f>
        <v>504707</v>
      </c>
      <c r="G31" s="23">
        <f>G12+G29</f>
        <v>1304</v>
      </c>
      <c r="H31" s="24">
        <f>IFERROR(G31/F31,0)</f>
        <v>2.5836772622531488E-3</v>
      </c>
      <c r="I31" s="23"/>
      <c r="J31" s="23">
        <f>J12+J29</f>
        <v>2703700</v>
      </c>
      <c r="K31" s="25">
        <f>IFERROR(J31/D31/F31*100,0)</f>
        <v>76.528135560405786</v>
      </c>
      <c r="L31" s="23"/>
      <c r="M31" s="25">
        <f>IFERROR($F$12/$F31*M$12,0)+IFERROR($F$29/$F31*M$29,0)</f>
        <v>77.063033106336945</v>
      </c>
      <c r="N31" s="25">
        <f>K31-M31</f>
        <v>-0.5348975459311589</v>
      </c>
      <c r="O31" s="23">
        <f>IFERROR($E$12/$E31*O$12,0)+IFERROR($E$29/$E31*O$29,0)</f>
        <v>232.35496326193061</v>
      </c>
      <c r="P31" s="23">
        <f>IFERROR($E$12/$E31*P$12,0)+IFERROR($E$29/$E31*P$29,0)</f>
        <v>92.310799826117076</v>
      </c>
      <c r="Q31" s="23">
        <f>IFERROR($E$12/$E31*Q$12,0)+IFERROR($E$29/$E31*Q$29,0)</f>
        <v>140.04416343581352</v>
      </c>
      <c r="R31" s="23">
        <f>R12+R29</f>
        <v>406937</v>
      </c>
      <c r="S31" s="25">
        <f>IFERROR(R31/D31/$F31*1000,0)</f>
        <v>115.18337796554664</v>
      </c>
      <c r="T31" s="26">
        <f>IFERROR(J31/R31,0)</f>
        <v>6.6440259794513645</v>
      </c>
      <c r="U31" s="23">
        <f>U12+U29</f>
        <v>636834</v>
      </c>
      <c r="V31" s="25">
        <f>IFERROR(U31/D31/$F31*1000,0)</f>
        <v>180.25564478853221</v>
      </c>
      <c r="W31" s="25">
        <f>IFERROR(V31/S31,0)</f>
        <v>1.5649449423375117</v>
      </c>
      <c r="X31" s="25">
        <f>IFERROR($F$12/$F31*X$12,0)+IFERROR($F$29/$F31*X$29,0)</f>
        <v>305.91739440032393</v>
      </c>
      <c r="Y31" s="25">
        <f>IFERROR(($F31*S31)/($F31*K31)*100,0)</f>
        <v>150.51115138513887</v>
      </c>
      <c r="Z31" s="25">
        <f>IFERROR(Y31*X31/1000,0)</f>
        <v>46.043979259934396</v>
      </c>
      <c r="AA31" s="23"/>
      <c r="AB31" s="27"/>
      <c r="AC31" s="23"/>
      <c r="AD31" s="27"/>
      <c r="AE31" s="23"/>
      <c r="AF31" s="23"/>
      <c r="AG31" s="23">
        <f>AG12+AG29</f>
        <v>-71357.657500000001</v>
      </c>
      <c r="AH31" s="23">
        <f>AH12+AH29</f>
        <v>278</v>
      </c>
      <c r="AI31" s="23">
        <f>IFERROR(AH$12/AH31*AI$12,0)+IFERROR(AH$29/AH31*AI$29,0)</f>
        <v>15.935251798558632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27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1:27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61</v>
      </c>
      <c r="T34" s="32" t="s">
        <v>70</v>
      </c>
      <c r="U34" s="32" t="s">
        <v>71</v>
      </c>
      <c r="V34" s="32" t="s">
        <v>72</v>
      </c>
      <c r="W34" s="32" t="s">
        <v>62</v>
      </c>
      <c r="X34" s="32" t="s">
        <v>66</v>
      </c>
      <c r="Y34" s="32" t="s">
        <v>67</v>
      </c>
      <c r="Z34" s="32" t="s">
        <v>81</v>
      </c>
      <c r="AA34" s="32" t="s">
        <v>64</v>
      </c>
    </row>
    <row r="35" spans="1:27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>
        <v>2.5000000000000001E-3</v>
      </c>
      <c r="T35" s="8">
        <v>5.3E-3</v>
      </c>
      <c r="U35" s="8">
        <v>6.3E-3</v>
      </c>
      <c r="V35" s="8">
        <v>2.7000000000000001E-3</v>
      </c>
      <c r="W35" s="8">
        <v>1.5E-3</v>
      </c>
      <c r="X35" s="8">
        <v>1.4E-3</v>
      </c>
      <c r="Y35" s="8">
        <v>2.8E-3</v>
      </c>
      <c r="Z35" s="8">
        <v>1.6999999999999999E-3</v>
      </c>
      <c r="AA35" s="8">
        <v>6.9999999999999999E-4</v>
      </c>
    </row>
    <row r="36" spans="1:27" x14ac:dyDescent="0.3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>
        <v>1.32E-2</v>
      </c>
      <c r="P36" s="9">
        <v>2.3999999999999998E-3</v>
      </c>
      <c r="Q36" s="9">
        <v>4.1999999999999997E-3</v>
      </c>
      <c r="R36" s="9">
        <v>1.6999999999999999E-3</v>
      </c>
      <c r="S36" s="9">
        <v>2.5000000000000001E-3</v>
      </c>
      <c r="T36" s="9">
        <v>5.7999999999999996E-3</v>
      </c>
      <c r="U36" s="9">
        <v>3.5999999999999999E-3</v>
      </c>
      <c r="V36" s="9">
        <v>2.3E-3</v>
      </c>
      <c r="W36" s="9">
        <v>1.5E-3</v>
      </c>
      <c r="X36" s="9">
        <v>1E-3</v>
      </c>
      <c r="Y36" s="9">
        <v>3.0000000000000001E-3</v>
      </c>
      <c r="Z36" s="9">
        <v>1.8E-3</v>
      </c>
      <c r="AA36" s="9">
        <v>1E-3</v>
      </c>
    </row>
    <row r="37" spans="1:27" x14ac:dyDescent="0.3">
      <c r="B37" s="5">
        <v>202503</v>
      </c>
      <c r="C37" s="5"/>
      <c r="D37" s="9">
        <v>2.8E-3</v>
      </c>
      <c r="E37" s="9">
        <v>4.8999999999999998E-3</v>
      </c>
      <c r="F37" s="9">
        <v>2.5999999999999999E-3</v>
      </c>
      <c r="G37" s="9">
        <v>5.8999999999999999E-3</v>
      </c>
      <c r="H37" s="9">
        <v>5.8999999999999999E-3</v>
      </c>
      <c r="I37" s="9">
        <v>3.5999999999999999E-3</v>
      </c>
      <c r="J37" s="9">
        <v>3.3999999999999998E-3</v>
      </c>
      <c r="K37" s="9">
        <v>3.2000000000000002E-3</v>
      </c>
      <c r="L37" s="9">
        <v>3.0000000000000001E-3</v>
      </c>
      <c r="M37" s="9">
        <v>2.2000000000000001E-3</v>
      </c>
      <c r="N37" s="9">
        <v>1.6000000000000001E-3</v>
      </c>
      <c r="O37" s="9">
        <v>9.7999999999999997E-3</v>
      </c>
      <c r="P37" s="9">
        <v>2.5000000000000001E-3</v>
      </c>
      <c r="Q37" s="9">
        <v>3.3E-3</v>
      </c>
      <c r="R37" s="9">
        <v>1.8E-3</v>
      </c>
      <c r="S37" s="9">
        <v>2.5000000000000001E-3</v>
      </c>
      <c r="T37" s="9">
        <v>5.4999999999999997E-3</v>
      </c>
      <c r="U37" s="9">
        <v>3.5000000000000001E-3</v>
      </c>
      <c r="V37" s="9">
        <v>2.5000000000000001E-3</v>
      </c>
      <c r="W37" s="9">
        <v>1.6999999999999999E-3</v>
      </c>
      <c r="X37" s="9">
        <v>6.9999999999999999E-4</v>
      </c>
      <c r="Y37" s="9">
        <v>2.8E-3</v>
      </c>
      <c r="Z37" s="9">
        <v>1.4E-3</v>
      </c>
      <c r="AA37" s="9">
        <v>1.6000000000000001E-3</v>
      </c>
    </row>
    <row r="38" spans="1:27" x14ac:dyDescent="0.3">
      <c r="B38" s="5">
        <v>202504</v>
      </c>
      <c r="C38" s="5"/>
      <c r="D38" s="9">
        <v>2.5999999999999999E-3</v>
      </c>
      <c r="E38" s="9">
        <v>5.1000000000000004E-3</v>
      </c>
      <c r="F38" s="9">
        <v>2.3999999999999998E-3</v>
      </c>
      <c r="G38" s="9">
        <v>5.8999999999999999E-3</v>
      </c>
      <c r="H38" s="9">
        <v>5.7999999999999996E-3</v>
      </c>
      <c r="I38" s="9">
        <v>6.3E-3</v>
      </c>
      <c r="J38" s="9">
        <v>5.0000000000000001E-3</v>
      </c>
      <c r="K38" s="9">
        <v>4.1000000000000003E-3</v>
      </c>
      <c r="L38" s="9">
        <v>1.9E-3</v>
      </c>
      <c r="M38" s="9">
        <v>2.3999999999999998E-3</v>
      </c>
      <c r="N38" s="9">
        <v>2.2000000000000001E-3</v>
      </c>
      <c r="O38" s="9">
        <v>7.3000000000000001E-3</v>
      </c>
      <c r="P38" s="9">
        <v>2.5000000000000001E-3</v>
      </c>
      <c r="Q38" s="9">
        <v>4.1000000000000003E-3</v>
      </c>
      <c r="R38" s="9">
        <v>1.6999999999999999E-3</v>
      </c>
      <c r="S38" s="9">
        <v>2.5999999999999999E-3</v>
      </c>
      <c r="T38" s="9">
        <v>3.2000000000000002E-3</v>
      </c>
      <c r="U38" s="9">
        <v>3.7000000000000002E-3</v>
      </c>
      <c r="V38" s="9">
        <v>2.5000000000000001E-3</v>
      </c>
      <c r="W38" s="9">
        <v>1.6000000000000001E-3</v>
      </c>
      <c r="X38" s="9">
        <v>8.9999999999999998E-4</v>
      </c>
      <c r="Y38" s="9">
        <v>3.5000000000000001E-3</v>
      </c>
      <c r="Z38" s="9">
        <v>1.6000000000000001E-3</v>
      </c>
      <c r="AA38" s="9">
        <v>8.9999999999999998E-4</v>
      </c>
    </row>
    <row r="39" spans="1:27" ht="15" thickBot="1" x14ac:dyDescent="0.35">
      <c r="B39" s="5">
        <v>202505</v>
      </c>
      <c r="C39" s="5"/>
      <c r="D39" s="9">
        <v>2.5999999999999999E-3</v>
      </c>
      <c r="E39" s="9">
        <v>4.1000000000000003E-3</v>
      </c>
      <c r="F39" s="9">
        <v>2.5000000000000001E-3</v>
      </c>
      <c r="G39" s="9">
        <v>5.3E-3</v>
      </c>
      <c r="H39" s="9">
        <v>4.7000000000000002E-3</v>
      </c>
      <c r="I39" s="9">
        <v>2.7000000000000001E-3</v>
      </c>
      <c r="J39" s="9">
        <v>1.6000000000000001E-3</v>
      </c>
      <c r="K39" s="9">
        <v>3.0000000000000001E-3</v>
      </c>
      <c r="L39" s="9">
        <v>2.8E-3</v>
      </c>
      <c r="M39" s="9">
        <v>2.5000000000000001E-3</v>
      </c>
      <c r="N39" s="9">
        <v>2.7000000000000001E-3</v>
      </c>
      <c r="O39" s="9">
        <v>4.5999999999999999E-3</v>
      </c>
      <c r="P39" s="9">
        <v>4.1000000000000003E-3</v>
      </c>
      <c r="Q39" s="9">
        <v>4.1000000000000003E-3</v>
      </c>
      <c r="R39" s="9">
        <v>1.6999999999999999E-3</v>
      </c>
      <c r="S39" s="9">
        <v>2.3E-3</v>
      </c>
      <c r="T39" s="9">
        <v>2.2000000000000001E-3</v>
      </c>
      <c r="U39" s="9">
        <v>4.4000000000000003E-3</v>
      </c>
      <c r="V39" s="9">
        <v>2.3E-3</v>
      </c>
      <c r="W39" s="9">
        <v>1.6000000000000001E-3</v>
      </c>
      <c r="X39" s="9">
        <v>8.9999999999999998E-4</v>
      </c>
      <c r="Y39" s="9">
        <v>3.0999999999999999E-3</v>
      </c>
      <c r="Z39" s="9">
        <v>1.5E-3</v>
      </c>
      <c r="AA39" s="9">
        <v>8.9999999999999998E-4</v>
      </c>
    </row>
    <row r="40" spans="1:27" ht="15" thickBot="1" x14ac:dyDescent="0.35">
      <c r="B40" s="22" t="s">
        <v>82</v>
      </c>
      <c r="C40" s="22"/>
      <c r="D40" s="24">
        <f t="shared" ref="D40:AA40" si="23">AVERAGE(D35:D39)</f>
        <v>2.7400000000000002E-3</v>
      </c>
      <c r="E40" s="24">
        <f t="shared" si="23"/>
        <v>4.7200000000000002E-3</v>
      </c>
      <c r="F40" s="24">
        <f t="shared" si="23"/>
        <v>2.5600000000000002E-3</v>
      </c>
      <c r="G40" s="24">
        <f t="shared" si="23"/>
        <v>6.2399999999999999E-3</v>
      </c>
      <c r="H40" s="24">
        <f t="shared" si="23"/>
        <v>5.0799999999999994E-3</v>
      </c>
      <c r="I40" s="24">
        <f t="shared" si="23"/>
        <v>4.1000000000000003E-3</v>
      </c>
      <c r="J40" s="24">
        <f t="shared" si="23"/>
        <v>3.2800000000000004E-3</v>
      </c>
      <c r="K40" s="24">
        <f t="shared" si="23"/>
        <v>3.5599999999999998E-3</v>
      </c>
      <c r="L40" s="24">
        <f t="shared" si="23"/>
        <v>2.3400000000000001E-3</v>
      </c>
      <c r="M40" s="24">
        <f t="shared" si="23"/>
        <v>2.5799999999999998E-3</v>
      </c>
      <c r="N40" s="24">
        <f t="shared" si="23"/>
        <v>2.0799999999999998E-3</v>
      </c>
      <c r="O40" s="24">
        <f t="shared" si="23"/>
        <v>8.1399999999999997E-3</v>
      </c>
      <c r="P40" s="24">
        <f t="shared" si="23"/>
        <v>2.7799999999999999E-3</v>
      </c>
      <c r="Q40" s="24">
        <f t="shared" si="23"/>
        <v>3.8199999999999996E-3</v>
      </c>
      <c r="R40" s="24">
        <f t="shared" si="23"/>
        <v>1.72E-3</v>
      </c>
      <c r="S40" s="24">
        <f t="shared" si="23"/>
        <v>2.48E-3</v>
      </c>
      <c r="T40" s="24">
        <f t="shared" si="23"/>
        <v>4.3999999999999994E-3</v>
      </c>
      <c r="U40" s="24">
        <f t="shared" si="23"/>
        <v>4.3E-3</v>
      </c>
      <c r="V40" s="24">
        <f t="shared" si="23"/>
        <v>2.4599999999999999E-3</v>
      </c>
      <c r="W40" s="24">
        <f t="shared" si="23"/>
        <v>1.5800000000000002E-3</v>
      </c>
      <c r="X40" s="24">
        <f t="shared" si="23"/>
        <v>9.7999999999999997E-4</v>
      </c>
      <c r="Y40" s="24">
        <f t="shared" si="23"/>
        <v>3.0400000000000002E-3</v>
      </c>
      <c r="Z40" s="24">
        <f t="shared" si="23"/>
        <v>1.6000000000000001E-3</v>
      </c>
      <c r="AA40" s="24">
        <f t="shared" si="23"/>
        <v>1.0199999999999999E-3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43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5.44140625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9" bestFit="1" customWidth="1"/>
    <col min="33" max="33" width="8.4414062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45690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45696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108</v>
      </c>
      <c r="C6" s="7">
        <v>38</v>
      </c>
      <c r="D6" s="7">
        <v>7</v>
      </c>
      <c r="E6" s="7">
        <v>1197</v>
      </c>
      <c r="F6" s="7">
        <v>1105</v>
      </c>
      <c r="G6" s="7">
        <v>5</v>
      </c>
      <c r="H6" s="9">
        <f t="shared" ref="H6:H12" si="0">IFERROR(G6/F6,0)</f>
        <v>4.5248868778280547E-3</v>
      </c>
      <c r="I6" s="9">
        <f>IFERROR((1197-F6)/1197,0)</f>
        <v>7.685881370091896E-2</v>
      </c>
      <c r="J6" s="7">
        <v>4710</v>
      </c>
      <c r="K6" s="11">
        <f t="shared" ref="K6:K12" si="1">IFERROR(J6/D6/F6*100,0)</f>
        <v>60.892049127343249</v>
      </c>
      <c r="L6" s="11">
        <f>K6-62.9344</f>
        <v>-2.0423508726567476</v>
      </c>
      <c r="M6" s="11">
        <v>66</v>
      </c>
      <c r="N6" s="11">
        <f t="shared" ref="N6:N12" si="2">K6-M6</f>
        <v>-5.1079508726567511</v>
      </c>
      <c r="O6" s="11">
        <f>IFERROR(88850/1197,0)</f>
        <v>74.227234753550547</v>
      </c>
      <c r="P6" s="11">
        <v>0</v>
      </c>
      <c r="Q6" s="11">
        <f t="shared" ref="Q6:Q11" si="3">IFERROR(O6-P6,0)</f>
        <v>74.227234753550547</v>
      </c>
      <c r="R6" s="7">
        <v>875</v>
      </c>
      <c r="S6" s="11">
        <f t="shared" ref="S6:S11" si="4">IFERROR(R6/D6/F6*1000,0)</f>
        <v>113.12217194570135</v>
      </c>
      <c r="T6" s="13">
        <f t="shared" ref="T6:T12" si="5">IFERROR(J6/R6,0)</f>
        <v>5.3828571428571426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185.77494692144373</v>
      </c>
      <c r="Z6" s="11">
        <f t="shared" ref="Z6:Z12" si="9">IFERROR(Y6*X6/1000,0)</f>
        <v>55.152866242038208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13</v>
      </c>
      <c r="AF6" s="11">
        <v>37</v>
      </c>
      <c r="AG6" s="7">
        <f t="shared" ref="AG6:AG11" si="10">IF(M6=0,0,IFERROR(N6/100*7*F6,0))</f>
        <v>-395.09999999999968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68</v>
      </c>
      <c r="C7" s="7"/>
      <c r="D7" s="7">
        <v>7</v>
      </c>
      <c r="E7" s="7">
        <v>14440</v>
      </c>
      <c r="F7" s="7">
        <v>12259</v>
      </c>
      <c r="G7" s="7">
        <v>72</v>
      </c>
      <c r="H7" s="9">
        <f t="shared" si="0"/>
        <v>5.8732359898849822E-3</v>
      </c>
      <c r="I7" s="9">
        <f>IFERROR((14440-F7)/14440,0)</f>
        <v>0.15103878116343492</v>
      </c>
      <c r="J7" s="7">
        <v>61950</v>
      </c>
      <c r="K7" s="11">
        <f t="shared" si="1"/>
        <v>72.191859042336247</v>
      </c>
      <c r="L7" s="11">
        <f>K7-69.5807</f>
        <v>2.6111590423362543</v>
      </c>
      <c r="M7" s="11">
        <v>82</v>
      </c>
      <c r="N7" s="11">
        <f t="shared" si="2"/>
        <v>-9.8081409576637526</v>
      </c>
      <c r="O7" s="11">
        <f>IFERROR(3943390/14440,0)</f>
        <v>273.08795013850414</v>
      </c>
      <c r="P7" s="11">
        <v>303</v>
      </c>
      <c r="Q7" s="11">
        <f t="shared" si="3"/>
        <v>-29.912049861495859</v>
      </c>
      <c r="R7" s="7">
        <v>9940</v>
      </c>
      <c r="S7" s="11">
        <f t="shared" si="4"/>
        <v>115.83326535606493</v>
      </c>
      <c r="T7" s="13">
        <f t="shared" si="5"/>
        <v>6.232394366197183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160.45197740112997</v>
      </c>
      <c r="Z7" s="11">
        <f t="shared" si="9"/>
        <v>59.872655367231644</v>
      </c>
      <c r="AA7" s="7">
        <v>0</v>
      </c>
      <c r="AB7" s="15">
        <f>IFERROR(AA7/1960,0)</f>
        <v>0</v>
      </c>
      <c r="AC7" s="11">
        <v>0</v>
      </c>
      <c r="AD7" s="15">
        <f>IFERROR(AC7/64.1,0)</f>
        <v>0</v>
      </c>
      <c r="AE7" s="11">
        <v>12</v>
      </c>
      <c r="AF7" s="11">
        <v>37</v>
      </c>
      <c r="AG7" s="7">
        <f t="shared" si="10"/>
        <v>-8416.6599999999944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68</v>
      </c>
      <c r="C8" s="7"/>
      <c r="D8" s="7">
        <v>7</v>
      </c>
      <c r="E8" s="7">
        <v>16063</v>
      </c>
      <c r="F8" s="7">
        <v>13886</v>
      </c>
      <c r="G8" s="7">
        <v>75</v>
      </c>
      <c r="H8" s="9">
        <f t="shared" si="0"/>
        <v>5.401123433674204E-3</v>
      </c>
      <c r="I8" s="9">
        <f>IFERROR((16063-F8)/16063,0)</f>
        <v>0.13552885513291416</v>
      </c>
      <c r="J8" s="7">
        <v>63810</v>
      </c>
      <c r="K8" s="11">
        <f t="shared" si="1"/>
        <v>65.646797391000192</v>
      </c>
      <c r="L8" s="11">
        <f>K8-65.3555</f>
        <v>0.29129739100018526</v>
      </c>
      <c r="M8" s="11">
        <v>84</v>
      </c>
      <c r="N8" s="11">
        <f t="shared" si="2"/>
        <v>-18.353202608999808</v>
      </c>
      <c r="O8" s="11">
        <f>IFERROR(4087170/16063,0)</f>
        <v>254.44624291850837</v>
      </c>
      <c r="P8" s="11">
        <v>302</v>
      </c>
      <c r="Q8" s="11">
        <f t="shared" si="3"/>
        <v>-47.553757081491625</v>
      </c>
      <c r="R8" s="7">
        <v>10700</v>
      </c>
      <c r="S8" s="11">
        <f t="shared" si="4"/>
        <v>110.08003950535998</v>
      </c>
      <c r="T8" s="13">
        <f t="shared" si="5"/>
        <v>5.9635514018691591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167.68531578122551</v>
      </c>
      <c r="Z8" s="11">
        <f t="shared" si="9"/>
        <v>62.04356683905344</v>
      </c>
      <c r="AA8" s="7">
        <v>0</v>
      </c>
      <c r="AB8" s="15">
        <f>IFERROR(AA8/1580,0)</f>
        <v>0</v>
      </c>
      <c r="AC8" s="11">
        <v>0</v>
      </c>
      <c r="AD8" s="15">
        <f>IFERROR(AC8/63.3,0)</f>
        <v>0</v>
      </c>
      <c r="AE8" s="11">
        <v>12</v>
      </c>
      <c r="AF8" s="11">
        <v>37</v>
      </c>
      <c r="AG8" s="7">
        <f t="shared" si="10"/>
        <v>-17839.679999999993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29</v>
      </c>
      <c r="C9" s="7"/>
      <c r="D9" s="7">
        <v>7</v>
      </c>
      <c r="E9" s="7">
        <v>4686</v>
      </c>
      <c r="F9" s="7">
        <v>4356</v>
      </c>
      <c r="G9" s="7">
        <v>11</v>
      </c>
      <c r="H9" s="9">
        <f t="shared" si="0"/>
        <v>2.5252525252525255E-3</v>
      </c>
      <c r="I9" s="9">
        <f>IFERROR((4686-F9)/4686,0)</f>
        <v>7.0422535211267609E-2</v>
      </c>
      <c r="J9" s="7">
        <v>28830</v>
      </c>
      <c r="K9" s="11">
        <f t="shared" si="1"/>
        <v>94.549390003935457</v>
      </c>
      <c r="L9" s="11">
        <f>K9-93.1336</f>
        <v>1.4157900039354558</v>
      </c>
      <c r="M9" s="11">
        <v>95.5</v>
      </c>
      <c r="N9" s="11">
        <f t="shared" si="2"/>
        <v>-0.95060999606454288</v>
      </c>
      <c r="O9" s="11">
        <f>IFERROR(253110/4686,0)</f>
        <v>54.014084507042256</v>
      </c>
      <c r="P9" s="11">
        <v>65</v>
      </c>
      <c r="Q9" s="11">
        <f t="shared" si="3"/>
        <v>-10.985915492957744</v>
      </c>
      <c r="R9" s="7">
        <v>5491</v>
      </c>
      <c r="S9" s="11">
        <f t="shared" si="4"/>
        <v>180.08002098911192</v>
      </c>
      <c r="T9" s="13">
        <f t="shared" si="5"/>
        <v>5.2504097614277914</v>
      </c>
      <c r="U9" s="7">
        <v>5040</v>
      </c>
      <c r="V9" s="11">
        <f t="shared" si="6"/>
        <v>165.28925619834712</v>
      </c>
      <c r="W9" s="11">
        <f t="shared" si="7"/>
        <v>0.91786559825168457</v>
      </c>
      <c r="X9" s="11">
        <v>362.76</v>
      </c>
      <c r="Y9" s="11">
        <f t="shared" si="8"/>
        <v>190.46132500867154</v>
      </c>
      <c r="Z9" s="11">
        <f t="shared" si="9"/>
        <v>69.091750260145673</v>
      </c>
      <c r="AA9" s="7">
        <v>0</v>
      </c>
      <c r="AB9" s="15">
        <f>IFERROR(AA9/1900,0)</f>
        <v>0</v>
      </c>
      <c r="AC9" s="11">
        <v>0</v>
      </c>
      <c r="AD9" s="15">
        <f>IFERROR(AC9/60.5,0)</f>
        <v>0</v>
      </c>
      <c r="AE9" s="11">
        <v>19</v>
      </c>
      <c r="AF9" s="11">
        <v>34</v>
      </c>
      <c r="AG9" s="7">
        <f t="shared" si="10"/>
        <v>-289.86000000000041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68</v>
      </c>
      <c r="C10" s="7"/>
      <c r="D10" s="7">
        <v>7</v>
      </c>
      <c r="E10" s="7">
        <v>5000</v>
      </c>
      <c r="F10" s="7">
        <v>4345</v>
      </c>
      <c r="G10" s="7">
        <v>13</v>
      </c>
      <c r="H10" s="9">
        <f t="shared" si="0"/>
        <v>2.991944764096663E-3</v>
      </c>
      <c r="I10" s="9">
        <f>IFERROR((5000-F10)/5000,0)</f>
        <v>0.13100000000000001</v>
      </c>
      <c r="J10" s="7">
        <v>28560</v>
      </c>
      <c r="K10" s="11">
        <f t="shared" si="1"/>
        <v>93.901035673187579</v>
      </c>
      <c r="L10" s="11">
        <f>K10-94.801</f>
        <v>-0.89996432681242311</v>
      </c>
      <c r="M10" s="11">
        <v>82</v>
      </c>
      <c r="N10" s="11">
        <f t="shared" si="2"/>
        <v>11.901035673187579</v>
      </c>
      <c r="O10" s="11">
        <f>IFERROR(1395370/5000,0)</f>
        <v>279.07400000000001</v>
      </c>
      <c r="P10" s="11">
        <v>303</v>
      </c>
      <c r="Q10" s="11">
        <f t="shared" si="3"/>
        <v>-23.925999999999988</v>
      </c>
      <c r="R10" s="7">
        <v>4758</v>
      </c>
      <c r="S10" s="11">
        <f t="shared" si="4"/>
        <v>156.43596909419693</v>
      </c>
      <c r="T10" s="13">
        <f t="shared" si="5"/>
        <v>6.0025220680958382</v>
      </c>
      <c r="U10" s="7">
        <v>5040</v>
      </c>
      <c r="V10" s="11">
        <f t="shared" si="6"/>
        <v>165.70771001150746</v>
      </c>
      <c r="W10" s="11">
        <f t="shared" si="7"/>
        <v>1.0592686002522067</v>
      </c>
      <c r="X10" s="11">
        <v>374.81</v>
      </c>
      <c r="Y10" s="11">
        <f t="shared" si="8"/>
        <v>166.59663865546216</v>
      </c>
      <c r="Z10" s="11">
        <f t="shared" si="9"/>
        <v>62.442086134453767</v>
      </c>
      <c r="AA10" s="7">
        <v>0</v>
      </c>
      <c r="AB10" s="15">
        <f>IFERROR(AA10/1960,0)</f>
        <v>0</v>
      </c>
      <c r="AC10" s="11">
        <v>0</v>
      </c>
      <c r="AD10" s="15">
        <f>IFERROR(AC10/64.1,0)</f>
        <v>0</v>
      </c>
      <c r="AE10" s="11">
        <v>19</v>
      </c>
      <c r="AF10" s="11">
        <v>33</v>
      </c>
      <c r="AG10" s="7">
        <f t="shared" si="10"/>
        <v>3619.7000000000025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29</v>
      </c>
      <c r="C11" s="7"/>
      <c r="D11" s="7">
        <v>7</v>
      </c>
      <c r="E11" s="7">
        <v>4819</v>
      </c>
      <c r="F11" s="7">
        <v>4716</v>
      </c>
      <c r="G11" s="7">
        <v>6</v>
      </c>
      <c r="H11" s="9">
        <f t="shared" si="0"/>
        <v>1.2722646310432571E-3</v>
      </c>
      <c r="I11" s="9">
        <f>IFERROR((4819-F11)/4819,0)</f>
        <v>2.137372898941689E-2</v>
      </c>
      <c r="J11" s="7">
        <v>31500</v>
      </c>
      <c r="K11" s="11">
        <f t="shared" si="1"/>
        <v>95.419847328244273</v>
      </c>
      <c r="L11" s="11">
        <f>K11-92.3943</f>
        <v>3.0255473282442722</v>
      </c>
      <c r="M11" s="11">
        <v>95.5</v>
      </c>
      <c r="N11" s="11">
        <f t="shared" si="2"/>
        <v>-8.0152671755726601E-2</v>
      </c>
      <c r="O11" s="11">
        <f>IFERROR(276516/4819,0)</f>
        <v>57.380369371238849</v>
      </c>
      <c r="P11" s="11">
        <v>65</v>
      </c>
      <c r="Q11" s="11">
        <f t="shared" si="3"/>
        <v>-7.6196306287611506</v>
      </c>
      <c r="R11" s="7">
        <v>4674</v>
      </c>
      <c r="S11" s="11">
        <f t="shared" si="4"/>
        <v>141.58487822609959</v>
      </c>
      <c r="T11" s="13">
        <f t="shared" si="5"/>
        <v>6.7394094993581515</v>
      </c>
      <c r="U11" s="7">
        <v>5040</v>
      </c>
      <c r="V11" s="11">
        <f t="shared" si="6"/>
        <v>152.67175572519085</v>
      </c>
      <c r="W11" s="11">
        <f t="shared" si="7"/>
        <v>1.0783055198973044</v>
      </c>
      <c r="X11" s="11">
        <v>310.93714285710001</v>
      </c>
      <c r="Y11" s="11">
        <f t="shared" si="8"/>
        <v>148.38095238095238</v>
      </c>
      <c r="Z11" s="11">
        <f t="shared" si="9"/>
        <v>46.137149387748742</v>
      </c>
      <c r="AA11" s="7">
        <v>0</v>
      </c>
      <c r="AB11" s="15">
        <f>IFERROR(AA11/1900,0)</f>
        <v>0</v>
      </c>
      <c r="AC11" s="11">
        <v>0</v>
      </c>
      <c r="AD11" s="15">
        <f>IFERROR(AC11/60.5,0)</f>
        <v>0</v>
      </c>
      <c r="AE11" s="11">
        <v>18</v>
      </c>
      <c r="AF11" s="11">
        <v>34</v>
      </c>
      <c r="AG11" s="7">
        <f t="shared" si="10"/>
        <v>-26.460000000000466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40667</v>
      </c>
      <c r="G12" s="17">
        <f>SUM(G6:G11)</f>
        <v>182</v>
      </c>
      <c r="H12" s="18">
        <f t="shared" si="0"/>
        <v>4.4753731526790764E-3</v>
      </c>
      <c r="I12" s="18"/>
      <c r="J12" s="17">
        <f>SUM(J6:J11)</f>
        <v>219360</v>
      </c>
      <c r="K12" s="19">
        <f t="shared" si="1"/>
        <v>77.057916387102225</v>
      </c>
      <c r="L12" s="19"/>
      <c r="M12" s="19">
        <f>IFERROR(SUMPRODUCT($F6:$F11,M6:M11)/$F12, 0)</f>
        <v>85.259743772592032</v>
      </c>
      <c r="N12" s="19">
        <f t="shared" si="2"/>
        <v>-8.2018273854898069</v>
      </c>
      <c r="O12" s="19">
        <f>IFERROR(SUMPRODUCT($E6:$E11,O6:O11)/$E12, 0)</f>
        <v>217.38785845687696</v>
      </c>
      <c r="P12" s="19">
        <f>IFERROR(SUMPRODUCT($E6:$E11,P6:P11)/$E12, 0)</f>
        <v>245.84289579049886</v>
      </c>
      <c r="Q12" s="19">
        <f>IFERROR(SUMPRODUCT($E6:$E11,Q6:Q11)/$E12, 0)</f>
        <v>-28.455037333621906</v>
      </c>
      <c r="R12" s="17">
        <f>SUM(R6:R11)</f>
        <v>36438</v>
      </c>
      <c r="S12" s="19">
        <f>IFERROR(R12/D12/$F12*1000,0)</f>
        <v>128.00129272945071</v>
      </c>
      <c r="T12" s="20">
        <f t="shared" si="5"/>
        <v>6.020088918162358</v>
      </c>
      <c r="U12" s="17">
        <f>SUM(U6:U11)</f>
        <v>15120</v>
      </c>
      <c r="V12" s="19">
        <f>IFERROR(U12/D12/$F12*1000,0)</f>
        <v>53.114318735092333</v>
      </c>
      <c r="W12" s="19">
        <f t="shared" si="7"/>
        <v>0.41495142433723031</v>
      </c>
      <c r="X12" s="19">
        <f>IFERROR(SUMPRODUCT(R6:R11,X6:X11)/R12,0)</f>
        <v>361.06433793605817</v>
      </c>
      <c r="Y12" s="19">
        <f>IFERROR(($F12*S12)/($F12*K12)*100,0)</f>
        <v>166.11050328227569</v>
      </c>
      <c r="Z12" s="19">
        <f t="shared" si="9"/>
        <v>59.97657889184029</v>
      </c>
      <c r="AA12" s="17"/>
      <c r="AB12" s="21">
        <f>IFERROR(SUMPRODUCT($F6:$F11,AB6:AB11)/$F12,0)</f>
        <v>0</v>
      </c>
      <c r="AC12" s="19"/>
      <c r="AD12" s="21">
        <f>AVERAGE(AD6:AD11)</f>
        <v>0</v>
      </c>
      <c r="AE12" s="19"/>
      <c r="AF12" s="19"/>
      <c r="AG12" s="17">
        <f>SUM(AG6:AG11)</f>
        <v>-23348.059999999983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68</v>
      </c>
      <c r="C14" s="6">
        <v>5</v>
      </c>
      <c r="D14" s="6">
        <v>7</v>
      </c>
      <c r="E14" s="6">
        <v>21388</v>
      </c>
      <c r="F14" s="6">
        <v>17212</v>
      </c>
      <c r="G14" s="6">
        <v>64</v>
      </c>
      <c r="H14" s="8">
        <f t="shared" ref="H14:H31" si="12">IFERROR(G14/F14,0)</f>
        <v>3.7183360446200325E-3</v>
      </c>
      <c r="I14" s="8">
        <f>IFERROR((21388-F14)/21388,0)</f>
        <v>0.19524967271367122</v>
      </c>
      <c r="J14" s="6">
        <v>19410</v>
      </c>
      <c r="K14" s="10">
        <f t="shared" ref="K14:K31" si="13">IFERROR(J14/D14/F14*100,0)</f>
        <v>16.110022907605988</v>
      </c>
      <c r="L14" s="10">
        <f>K14-0</f>
        <v>16.110022907605988</v>
      </c>
      <c r="M14" s="10">
        <v>27</v>
      </c>
      <c r="N14" s="10">
        <f t="shared" ref="N14:N31" si="14">K14-M14</f>
        <v>-10.889977092394012</v>
      </c>
      <c r="O14" s="10">
        <f>IFERROR(4154370/21388,0)</f>
        <v>194.23835795773331</v>
      </c>
      <c r="P14" s="10">
        <v>0</v>
      </c>
      <c r="Q14" s="10">
        <f t="shared" ref="Q14:Q30" si="15">IFERROR(O14-P14,0)</f>
        <v>194.23835795773331</v>
      </c>
      <c r="R14" s="6">
        <v>13260</v>
      </c>
      <c r="S14" s="10">
        <f t="shared" ref="S14:S30" si="16">IFERROR(R14/D14/F14*1000,0)</f>
        <v>110.056107034959</v>
      </c>
      <c r="T14" s="12">
        <f t="shared" ref="T14:T31" si="17">IFERROR(J14/R14,0)</f>
        <v>1.4638009049773755</v>
      </c>
      <c r="U14" s="6">
        <v>21960</v>
      </c>
      <c r="V14" s="10">
        <f t="shared" ref="V14:V30" si="18">IFERROR(U14/D14/F14*1000,0)</f>
        <v>182.26486504432123</v>
      </c>
      <c r="W14" s="10">
        <f t="shared" ref="W14:W31" si="19">IFERROR(V14/S14,0)</f>
        <v>1.6561085972850678</v>
      </c>
      <c r="X14" s="10">
        <v>644.45714285710005</v>
      </c>
      <c r="Y14" s="10">
        <f t="shared" ref="Y14:Y30" si="20">IFERROR((F14*S14)/(F14*K14)*100,0)</f>
        <v>683.15301391035553</v>
      </c>
      <c r="Z14" s="10">
        <f t="shared" ref="Z14:Z31" si="21">IFERROR(Y14*X14/1000,0)</f>
        <v>440.26283947888447</v>
      </c>
      <c r="AA14" s="6">
        <v>0</v>
      </c>
      <c r="AB14" s="14">
        <f>IFERROR(AA14/1580,0)</f>
        <v>0</v>
      </c>
      <c r="AC14" s="10">
        <v>0</v>
      </c>
      <c r="AD14" s="14">
        <f>IFERROR(AC14/63.3,0)</f>
        <v>0</v>
      </c>
      <c r="AE14" s="10">
        <v>23</v>
      </c>
      <c r="AF14" s="10">
        <v>25</v>
      </c>
      <c r="AG14" s="6">
        <f t="shared" ref="AG14:AG30" si="22">IF(M14=0,0,IFERROR(N14/100*7*F14,0))</f>
        <v>-13120.680000000002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29</v>
      </c>
      <c r="C15" s="7"/>
      <c r="D15" s="7">
        <v>7</v>
      </c>
      <c r="E15" s="7">
        <v>10225</v>
      </c>
      <c r="F15" s="7">
        <v>9581</v>
      </c>
      <c r="G15" s="7">
        <v>38</v>
      </c>
      <c r="H15" s="9">
        <f t="shared" si="12"/>
        <v>3.9661830706606829E-3</v>
      </c>
      <c r="I15" s="9">
        <f>IFERROR((10225-F15)/10225,0)</f>
        <v>6.2982885085574578E-2</v>
      </c>
      <c r="J15" s="7">
        <v>55860</v>
      </c>
      <c r="K15" s="11">
        <f t="shared" si="13"/>
        <v>83.289844483874333</v>
      </c>
      <c r="L15" s="11">
        <f>K15-75.2083</f>
        <v>8.0815444838743389</v>
      </c>
      <c r="M15" s="11">
        <v>95.5</v>
      </c>
      <c r="N15" s="11">
        <f t="shared" si="14"/>
        <v>-12.210155516125667</v>
      </c>
      <c r="O15" s="11">
        <f>IFERROR(515340/10225,0)</f>
        <v>50.4</v>
      </c>
      <c r="P15" s="11">
        <v>65</v>
      </c>
      <c r="Q15" s="11">
        <f t="shared" si="15"/>
        <v>-14.600000000000001</v>
      </c>
      <c r="R15" s="7">
        <v>8090</v>
      </c>
      <c r="S15" s="11">
        <f t="shared" si="16"/>
        <v>120.62564301370273</v>
      </c>
      <c r="T15" s="13">
        <f t="shared" si="17"/>
        <v>6.9048207663782444</v>
      </c>
      <c r="U15" s="7">
        <v>12890</v>
      </c>
      <c r="V15" s="11">
        <f t="shared" si="18"/>
        <v>192.19586383765488</v>
      </c>
      <c r="W15" s="11">
        <f t="shared" si="19"/>
        <v>1.5933250927070455</v>
      </c>
      <c r="X15" s="11">
        <v>542.69428571430001</v>
      </c>
      <c r="Y15" s="11">
        <f t="shared" si="20"/>
        <v>144.8263515932689</v>
      </c>
      <c r="Z15" s="11">
        <f t="shared" si="21"/>
        <v>78.596433430517138</v>
      </c>
      <c r="AA15" s="7">
        <v>0</v>
      </c>
      <c r="AB15" s="15">
        <f>IFERROR(AA15/1900,0)</f>
        <v>0</v>
      </c>
      <c r="AC15" s="11">
        <v>0</v>
      </c>
      <c r="AD15" s="15">
        <f>IFERROR(AC15/60.5,0)</f>
        <v>0</v>
      </c>
      <c r="AE15" s="11">
        <v>24</v>
      </c>
      <c r="AF15" s="11">
        <v>32</v>
      </c>
      <c r="AG15" s="7">
        <f t="shared" si="22"/>
        <v>-8188.9850000000015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57</v>
      </c>
      <c r="C16" s="7"/>
      <c r="D16" s="7">
        <v>7</v>
      </c>
      <c r="E16" s="7">
        <v>56050</v>
      </c>
      <c r="F16" s="7">
        <v>51698</v>
      </c>
      <c r="G16" s="7">
        <v>142</v>
      </c>
      <c r="H16" s="9">
        <f t="shared" si="12"/>
        <v>2.7467213431854229E-3</v>
      </c>
      <c r="I16" s="9">
        <f>IFERROR((56050-F16)/56050,0)</f>
        <v>7.7644959857270296E-2</v>
      </c>
      <c r="J16" s="7">
        <v>336340</v>
      </c>
      <c r="K16" s="11">
        <f t="shared" si="13"/>
        <v>92.940870881990463</v>
      </c>
      <c r="L16" s="11">
        <f>K16-93.651</f>
        <v>-0.71012911800953304</v>
      </c>
      <c r="M16" s="11">
        <v>92.15</v>
      </c>
      <c r="N16" s="11">
        <f t="shared" si="14"/>
        <v>0.79087088199045752</v>
      </c>
      <c r="O16" s="11">
        <f>IFERROR(13164071/56050,0)</f>
        <v>234.86299732381801</v>
      </c>
      <c r="P16" s="11">
        <v>238</v>
      </c>
      <c r="Q16" s="11">
        <f t="shared" si="15"/>
        <v>-3.1370026761819929</v>
      </c>
      <c r="R16" s="7">
        <v>41400</v>
      </c>
      <c r="S16" s="11">
        <f t="shared" si="16"/>
        <v>114.40066761355787</v>
      </c>
      <c r="T16" s="13">
        <f t="shared" si="17"/>
        <v>8.1241545893719813</v>
      </c>
      <c r="U16" s="7">
        <v>63700</v>
      </c>
      <c r="V16" s="11">
        <f t="shared" si="18"/>
        <v>176.0222832604743</v>
      </c>
      <c r="W16" s="11">
        <f t="shared" si="19"/>
        <v>1.538647342995169</v>
      </c>
      <c r="X16" s="11">
        <v>1872.2714285714001</v>
      </c>
      <c r="Y16" s="11">
        <f t="shared" si="20"/>
        <v>123.08973062971992</v>
      </c>
      <c r="Z16" s="11">
        <f t="shared" si="21"/>
        <v>230.45738580857454</v>
      </c>
      <c r="AA16" s="7">
        <v>1797</v>
      </c>
      <c r="AB16" s="15">
        <f>IFERROR(AA16/1725,0)</f>
        <v>1.0417391304347825</v>
      </c>
      <c r="AC16" s="11">
        <v>0</v>
      </c>
      <c r="AD16" s="15">
        <f>IFERROR(AC16/63.05,0)</f>
        <v>0</v>
      </c>
      <c r="AE16" s="11">
        <v>21</v>
      </c>
      <c r="AF16" s="11">
        <v>27</v>
      </c>
      <c r="AG16" s="7">
        <f t="shared" si="22"/>
        <v>2862.0509999999872</v>
      </c>
      <c r="AH16" s="7">
        <v>81</v>
      </c>
      <c r="AI16" s="7">
        <v>1.2345679011999999</v>
      </c>
      <c r="AJ16" s="11">
        <v>7</v>
      </c>
      <c r="AK16" s="11">
        <v>8</v>
      </c>
      <c r="AL16" s="11">
        <v>12</v>
      </c>
      <c r="AM16" s="11">
        <v>0</v>
      </c>
      <c r="AN16" s="11">
        <v>0</v>
      </c>
      <c r="AO16" s="13">
        <f>IFERROR(970/F16,0)</f>
        <v>1.8762814809083525E-2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131</v>
      </c>
      <c r="C17" s="7">
        <v>15</v>
      </c>
      <c r="D17" s="7">
        <v>7</v>
      </c>
      <c r="E17" s="7">
        <v>17433</v>
      </c>
      <c r="F17" s="7">
        <v>16272</v>
      </c>
      <c r="G17" s="7">
        <v>62</v>
      </c>
      <c r="H17" s="9">
        <f t="shared" si="12"/>
        <v>3.8102261553588988E-3</v>
      </c>
      <c r="I17" s="9">
        <f>IFERROR((17433-F17)/17433,0)</f>
        <v>6.6597831698502835E-2</v>
      </c>
      <c r="J17" s="7">
        <v>73520</v>
      </c>
      <c r="K17" s="11">
        <f t="shared" si="13"/>
        <v>64.545582244697286</v>
      </c>
      <c r="L17" s="11">
        <f>K17-64.823</f>
        <v>-0.27741775530270729</v>
      </c>
      <c r="M17" s="11">
        <v>80</v>
      </c>
      <c r="N17" s="11">
        <f t="shared" si="14"/>
        <v>-15.454417755302714</v>
      </c>
      <c r="O17" s="11">
        <f>IFERROR(1088060/17433,0)</f>
        <v>62.413812883611541</v>
      </c>
      <c r="P17" s="11">
        <v>0</v>
      </c>
      <c r="Q17" s="11">
        <f t="shared" si="15"/>
        <v>62.413812883611541</v>
      </c>
      <c r="R17" s="7">
        <v>15670</v>
      </c>
      <c r="S17" s="11">
        <f t="shared" si="16"/>
        <v>137.57199044809664</v>
      </c>
      <c r="T17" s="13">
        <f t="shared" si="17"/>
        <v>4.6917677089980856</v>
      </c>
      <c r="U17" s="7">
        <v>25780</v>
      </c>
      <c r="V17" s="11">
        <f t="shared" si="18"/>
        <v>226.33094535749402</v>
      </c>
      <c r="W17" s="11">
        <f t="shared" si="19"/>
        <v>1.6451818761965538</v>
      </c>
      <c r="X17" s="11">
        <v>1989.6328571429001</v>
      </c>
      <c r="Y17" s="11">
        <f t="shared" si="20"/>
        <v>213.13928182807399</v>
      </c>
      <c r="Z17" s="11">
        <f t="shared" si="21"/>
        <v>424.06891827297665</v>
      </c>
      <c r="AA17" s="7">
        <v>0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18</v>
      </c>
      <c r="AF17" s="11">
        <v>33</v>
      </c>
      <c r="AG17" s="7">
        <f t="shared" si="22"/>
        <v>-17603.2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50</v>
      </c>
      <c r="C18" s="7"/>
      <c r="D18" s="7">
        <v>7</v>
      </c>
      <c r="E18" s="7">
        <v>51536</v>
      </c>
      <c r="F18" s="7">
        <v>49169</v>
      </c>
      <c r="G18" s="7">
        <v>75</v>
      </c>
      <c r="H18" s="9">
        <f t="shared" si="12"/>
        <v>1.5253513392584758E-3</v>
      </c>
      <c r="I18" s="9">
        <f>IFERROR((51536-F18)/51536,0)</f>
        <v>4.5929059298354551E-2</v>
      </c>
      <c r="J18" s="7">
        <v>326400</v>
      </c>
      <c r="K18" s="11">
        <f t="shared" si="13"/>
        <v>94.833271835041245</v>
      </c>
      <c r="L18" s="11">
        <f>K18-95.2903</f>
        <v>-0.45702816495875709</v>
      </c>
      <c r="M18" s="11">
        <v>93.85</v>
      </c>
      <c r="N18" s="11">
        <f t="shared" si="14"/>
        <v>0.9832718350412506</v>
      </c>
      <c r="O18" s="11">
        <f>IFERROR(9628650/51536,0)</f>
        <v>186.83347562868676</v>
      </c>
      <c r="P18" s="11">
        <v>195</v>
      </c>
      <c r="Q18" s="11">
        <f t="shared" si="15"/>
        <v>-8.166524371313244</v>
      </c>
      <c r="R18" s="7">
        <v>39380</v>
      </c>
      <c r="S18" s="11">
        <f t="shared" si="16"/>
        <v>114.41587759999766</v>
      </c>
      <c r="T18" s="13">
        <f t="shared" si="17"/>
        <v>8.2884713052310826</v>
      </c>
      <c r="U18" s="7">
        <v>68193</v>
      </c>
      <c r="V18" s="11">
        <f t="shared" si="18"/>
        <v>198.13006452962523</v>
      </c>
      <c r="W18" s="11">
        <f t="shared" si="19"/>
        <v>1.7316658202133066</v>
      </c>
      <c r="X18" s="11">
        <v>4406.2385714286002</v>
      </c>
      <c r="Y18" s="11">
        <f t="shared" si="20"/>
        <v>120.64950980392155</v>
      </c>
      <c r="Z18" s="11">
        <f t="shared" si="21"/>
        <v>531.61052372199219</v>
      </c>
      <c r="AA18" s="7">
        <v>1658</v>
      </c>
      <c r="AB18" s="15">
        <f>IFERROR(AA18/1720,0)</f>
        <v>0.96395348837209305</v>
      </c>
      <c r="AC18" s="11">
        <v>61.6</v>
      </c>
      <c r="AD18" s="15">
        <f>IFERROR(AC18/62.65,0)</f>
        <v>0.98324022346368722</v>
      </c>
      <c r="AE18" s="11">
        <v>0</v>
      </c>
      <c r="AF18" s="11">
        <v>27323</v>
      </c>
      <c r="AG18" s="7">
        <f t="shared" si="22"/>
        <v>3384.2545000000273</v>
      </c>
      <c r="AH18" s="7">
        <v>15</v>
      </c>
      <c r="AI18" s="7">
        <v>20</v>
      </c>
      <c r="AJ18" s="11">
        <v>4</v>
      </c>
      <c r="AK18" s="11">
        <v>6</v>
      </c>
      <c r="AL18" s="11">
        <v>10</v>
      </c>
      <c r="AM18" s="11">
        <v>0</v>
      </c>
      <c r="AN18" s="11">
        <v>0</v>
      </c>
      <c r="AO18" s="13">
        <f>IFERROR(300/F18,0)</f>
        <v>6.1014053570339032E-3</v>
      </c>
      <c r="AP18" s="11">
        <v>0.6</v>
      </c>
      <c r="AQ18" s="7"/>
      <c r="AR18" s="7"/>
      <c r="AS18" s="7">
        <v>15</v>
      </c>
      <c r="AT18" s="7"/>
    </row>
    <row r="19" spans="1:46" x14ac:dyDescent="0.3">
      <c r="A19" s="5" t="s">
        <v>61</v>
      </c>
      <c r="B19" s="5">
        <v>98</v>
      </c>
      <c r="C19" s="7">
        <v>28</v>
      </c>
      <c r="D19" s="7">
        <v>7</v>
      </c>
      <c r="E19" s="7">
        <v>51311</v>
      </c>
      <c r="F19" s="7">
        <v>40050</v>
      </c>
      <c r="G19" s="7">
        <v>68</v>
      </c>
      <c r="H19" s="9">
        <f t="shared" si="12"/>
        <v>1.6978776529338326E-3</v>
      </c>
      <c r="I19" s="9">
        <f>IFERROR((51311-F19)/51311,0)</f>
        <v>0.21946561166221668</v>
      </c>
      <c r="J19" s="7">
        <v>244480</v>
      </c>
      <c r="K19" s="11">
        <f t="shared" si="13"/>
        <v>87.205279115391463</v>
      </c>
      <c r="L19" s="11">
        <f>K19-87.4141</f>
        <v>-0.2088208846085422</v>
      </c>
      <c r="M19" s="11">
        <v>75</v>
      </c>
      <c r="N19" s="11">
        <f t="shared" si="14"/>
        <v>12.205279115391463</v>
      </c>
      <c r="O19" s="11">
        <f>IFERROR(21516369/51311,0)</f>
        <v>419.33248231373392</v>
      </c>
      <c r="P19" s="11">
        <v>0</v>
      </c>
      <c r="Q19" s="11">
        <f t="shared" si="15"/>
        <v>419.33248231373392</v>
      </c>
      <c r="R19" s="7">
        <v>32600</v>
      </c>
      <c r="S19" s="11">
        <f t="shared" si="16"/>
        <v>116.28321740681291</v>
      </c>
      <c r="T19" s="13">
        <f t="shared" si="17"/>
        <v>7.4993865030674849</v>
      </c>
      <c r="U19" s="7">
        <v>54510</v>
      </c>
      <c r="V19" s="11">
        <f t="shared" si="18"/>
        <v>194.43552701979669</v>
      </c>
      <c r="W19" s="11">
        <f t="shared" si="19"/>
        <v>1.6720858895705524</v>
      </c>
      <c r="X19" s="11">
        <v>4631.5714285714002</v>
      </c>
      <c r="Y19" s="11">
        <f t="shared" si="20"/>
        <v>133.34424083769636</v>
      </c>
      <c r="Z19" s="11">
        <f t="shared" si="21"/>
        <v>617.59337602841822</v>
      </c>
      <c r="AA19" s="7">
        <v>0</v>
      </c>
      <c r="AB19" s="15">
        <f>IFERROR(AA19/1725,0)</f>
        <v>0</v>
      </c>
      <c r="AC19" s="11">
        <v>0</v>
      </c>
      <c r="AD19" s="15">
        <f>IFERROR(AC19/64.95,0)</f>
        <v>0</v>
      </c>
      <c r="AE19" s="11">
        <v>23</v>
      </c>
      <c r="AF19" s="11">
        <v>27</v>
      </c>
      <c r="AG19" s="7">
        <f t="shared" si="22"/>
        <v>34217.499999999964</v>
      </c>
      <c r="AH19" s="7">
        <v>17</v>
      </c>
      <c r="AI19" s="7">
        <v>20</v>
      </c>
      <c r="AJ19" s="11">
        <v>26</v>
      </c>
      <c r="AK19" s="11">
        <v>28</v>
      </c>
      <c r="AL19" s="11">
        <v>34</v>
      </c>
      <c r="AM19" s="11">
        <v>0</v>
      </c>
      <c r="AN19" s="11">
        <v>0</v>
      </c>
      <c r="AO19" s="13">
        <f>IFERROR(180/F19,0)</f>
        <v>4.4943820224719105E-3</v>
      </c>
      <c r="AP19" s="11">
        <v>0.6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29</v>
      </c>
      <c r="C20" s="7"/>
      <c r="D20" s="7">
        <v>7</v>
      </c>
      <c r="E20" s="7">
        <v>52424</v>
      </c>
      <c r="F20" s="7">
        <v>51568</v>
      </c>
      <c r="G20" s="7">
        <v>46</v>
      </c>
      <c r="H20" s="9">
        <f t="shared" si="12"/>
        <v>8.9202606267452689E-4</v>
      </c>
      <c r="I20" s="9">
        <f>IFERROR((52424-F20)/52424,0)</f>
        <v>1.632839920647032E-2</v>
      </c>
      <c r="J20" s="7">
        <v>337720</v>
      </c>
      <c r="K20" s="11">
        <f t="shared" si="13"/>
        <v>93.557466424360612</v>
      </c>
      <c r="L20" s="11">
        <f>K20-92.6765</f>
        <v>0.8809664243606079</v>
      </c>
      <c r="M20" s="11">
        <v>95.95</v>
      </c>
      <c r="N20" s="11">
        <f t="shared" si="14"/>
        <v>-2.3925335756393906</v>
      </c>
      <c r="O20" s="11">
        <f>IFERROR(2852360/52424,0)</f>
        <v>54.409430795055698</v>
      </c>
      <c r="P20" s="11">
        <v>59</v>
      </c>
      <c r="Q20" s="11">
        <f t="shared" si="15"/>
        <v>-4.5905692049443019</v>
      </c>
      <c r="R20" s="7">
        <v>39404</v>
      </c>
      <c r="S20" s="11">
        <f t="shared" si="16"/>
        <v>109.15961171933867</v>
      </c>
      <c r="T20" s="13">
        <f t="shared" si="17"/>
        <v>8.5707034818800114</v>
      </c>
      <c r="U20" s="7">
        <v>64856</v>
      </c>
      <c r="V20" s="11">
        <f t="shared" si="18"/>
        <v>179.66845441248171</v>
      </c>
      <c r="W20" s="11">
        <f t="shared" si="19"/>
        <v>1.6459242716475486</v>
      </c>
      <c r="X20" s="11">
        <v>1251.02</v>
      </c>
      <c r="Y20" s="11">
        <f t="shared" si="20"/>
        <v>116.67653677602748</v>
      </c>
      <c r="Z20" s="11">
        <f t="shared" si="21"/>
        <v>145.96468103754592</v>
      </c>
      <c r="AA20" s="7">
        <v>0</v>
      </c>
      <c r="AB20" s="15">
        <f>IFERROR(AA20/1640,0)</f>
        <v>0</v>
      </c>
      <c r="AC20" s="11">
        <v>0</v>
      </c>
      <c r="AD20" s="15">
        <f>IFERROR(AC20/58.25,0)</f>
        <v>0</v>
      </c>
      <c r="AE20" s="11">
        <v>22</v>
      </c>
      <c r="AF20" s="11">
        <v>27</v>
      </c>
      <c r="AG20" s="7">
        <f t="shared" si="22"/>
        <v>-8636.4720000000452</v>
      </c>
      <c r="AH20" s="7">
        <v>35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63</v>
      </c>
      <c r="B21" s="5">
        <v>19</v>
      </c>
      <c r="C21" s="7"/>
      <c r="D21" s="7">
        <v>7</v>
      </c>
      <c r="E21" s="7">
        <v>50525</v>
      </c>
      <c r="F21" s="7">
        <v>50491</v>
      </c>
      <c r="G21" s="7">
        <v>0</v>
      </c>
      <c r="H21" s="9">
        <f t="shared" si="12"/>
        <v>0</v>
      </c>
      <c r="I21" s="9">
        <f>IFERROR((50525-F21)/50525,0)</f>
        <v>6.7293419099455712E-4</v>
      </c>
      <c r="J21" s="7">
        <v>7380</v>
      </c>
      <c r="K21" s="11">
        <f t="shared" si="13"/>
        <v>2.0880666144178455</v>
      </c>
      <c r="L21" s="11">
        <f>K21-0</f>
        <v>2.0880666144178455</v>
      </c>
      <c r="M21" s="11">
        <v>18.5</v>
      </c>
      <c r="N21" s="11">
        <f t="shared" si="14"/>
        <v>-16.411933385582156</v>
      </c>
      <c r="O21" s="11">
        <f>IFERROR(18797722/50525,0)</f>
        <v>372.04793666501735</v>
      </c>
      <c r="P21" s="11">
        <v>1</v>
      </c>
      <c r="Q21" s="11">
        <f t="shared" si="15"/>
        <v>371.04793666501735</v>
      </c>
      <c r="R21" s="7">
        <v>27788</v>
      </c>
      <c r="S21" s="11">
        <f t="shared" si="16"/>
        <v>78.62221555751097</v>
      </c>
      <c r="T21" s="13">
        <f t="shared" si="17"/>
        <v>0.26558226572621274</v>
      </c>
      <c r="U21" s="7">
        <v>46888</v>
      </c>
      <c r="V21" s="11">
        <f t="shared" si="18"/>
        <v>132.66296397943623</v>
      </c>
      <c r="W21" s="11">
        <f t="shared" si="19"/>
        <v>1.6873470562832875</v>
      </c>
      <c r="X21" s="11">
        <v>7408.81</v>
      </c>
      <c r="Y21" s="11">
        <f t="shared" si="20"/>
        <v>3765.3116531165315</v>
      </c>
      <c r="Z21" s="11">
        <f t="shared" si="21"/>
        <v>27896.478628726294</v>
      </c>
      <c r="AA21" s="7">
        <v>0</v>
      </c>
      <c r="AB21" s="15">
        <f>IFERROR(AA21/1320,0)</f>
        <v>0</v>
      </c>
      <c r="AC21" s="11">
        <v>0</v>
      </c>
      <c r="AD21" s="15">
        <f>IFERROR(AC21/45,0)</f>
        <v>0</v>
      </c>
      <c r="AE21" s="11">
        <v>21</v>
      </c>
      <c r="AF21" s="11">
        <v>26</v>
      </c>
      <c r="AG21" s="7">
        <f t="shared" si="22"/>
        <v>-58005.845000000001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64</v>
      </c>
      <c r="B22" s="5">
        <v>38</v>
      </c>
      <c r="C22" s="7"/>
      <c r="D22" s="7">
        <v>7</v>
      </c>
      <c r="E22" s="7">
        <v>50845</v>
      </c>
      <c r="F22" s="7">
        <v>49793</v>
      </c>
      <c r="G22" s="7">
        <v>25</v>
      </c>
      <c r="H22" s="9">
        <f t="shared" si="12"/>
        <v>5.0207860542646557E-4</v>
      </c>
      <c r="I22" s="9">
        <f>IFERROR((50845-F22)/50845,0)</f>
        <v>2.0690333366112694E-2</v>
      </c>
      <c r="J22" s="7">
        <v>328140</v>
      </c>
      <c r="K22" s="11">
        <f t="shared" si="13"/>
        <v>94.144042048365947</v>
      </c>
      <c r="L22" s="11">
        <f>K22-95.2094</f>
        <v>-1.0653579516340557</v>
      </c>
      <c r="M22" s="11">
        <v>95.45</v>
      </c>
      <c r="N22" s="11">
        <f t="shared" si="14"/>
        <v>-1.3059579516340563</v>
      </c>
      <c r="O22" s="11">
        <f>IFERROR(5806110/50845,0)</f>
        <v>114.19234929688268</v>
      </c>
      <c r="P22" s="11">
        <v>118</v>
      </c>
      <c r="Q22" s="11">
        <f t="shared" si="15"/>
        <v>-3.8076507031173179</v>
      </c>
      <c r="R22" s="7">
        <v>39153</v>
      </c>
      <c r="S22" s="11">
        <f t="shared" si="16"/>
        <v>112.33076364721376</v>
      </c>
      <c r="T22" s="13">
        <f t="shared" si="17"/>
        <v>8.3809669757106739</v>
      </c>
      <c r="U22" s="7">
        <v>67400</v>
      </c>
      <c r="V22" s="11">
        <f t="shared" si="18"/>
        <v>193.37198860425016</v>
      </c>
      <c r="W22" s="11">
        <f t="shared" si="19"/>
        <v>1.7214517406073606</v>
      </c>
      <c r="X22" s="11">
        <v>7173.9</v>
      </c>
      <c r="Y22" s="11">
        <f t="shared" si="20"/>
        <v>119.31797403547269</v>
      </c>
      <c r="Z22" s="11">
        <f t="shared" si="21"/>
        <v>855.9752139330775</v>
      </c>
      <c r="AA22" s="7">
        <v>0</v>
      </c>
      <c r="AB22" s="15">
        <f>IFERROR(AA22/1700,0)</f>
        <v>0</v>
      </c>
      <c r="AC22" s="11">
        <v>0</v>
      </c>
      <c r="AD22" s="15">
        <f>IFERROR(AC22/61.45,0)</f>
        <v>0</v>
      </c>
      <c r="AE22" s="11">
        <v>20</v>
      </c>
      <c r="AF22" s="11">
        <v>28</v>
      </c>
      <c r="AG22" s="7">
        <f t="shared" si="22"/>
        <v>-4551.9295000000193</v>
      </c>
      <c r="AH22" s="7">
        <v>15</v>
      </c>
      <c r="AI22" s="7">
        <v>20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65</v>
      </c>
      <c r="B23" s="5">
        <v>88</v>
      </c>
      <c r="C23" s="7"/>
      <c r="D23" s="7">
        <v>7</v>
      </c>
      <c r="E23" s="7">
        <v>20160</v>
      </c>
      <c r="F23" s="7">
        <v>15730</v>
      </c>
      <c r="G23" s="7">
        <v>40</v>
      </c>
      <c r="H23" s="9">
        <f t="shared" si="12"/>
        <v>2.5429116338207248E-3</v>
      </c>
      <c r="I23" s="9">
        <f>IFERROR((20160-F23)/20160,0)</f>
        <v>0.21974206349206349</v>
      </c>
      <c r="J23" s="7">
        <v>83090</v>
      </c>
      <c r="K23" s="11">
        <f t="shared" si="13"/>
        <v>75.460902733630007</v>
      </c>
      <c r="L23" s="11">
        <f>K23-66.0748</f>
        <v>9.3861027336300111</v>
      </c>
      <c r="M23" s="11">
        <v>73</v>
      </c>
      <c r="N23" s="11">
        <f t="shared" si="14"/>
        <v>2.4609027336300073</v>
      </c>
      <c r="O23" s="11">
        <f>IFERROR(5764169/20160,0)</f>
        <v>285.92108134920636</v>
      </c>
      <c r="P23" s="11">
        <v>405</v>
      </c>
      <c r="Q23" s="11">
        <f t="shared" si="15"/>
        <v>-119.07891865079364</v>
      </c>
      <c r="R23" s="7">
        <v>14430</v>
      </c>
      <c r="S23" s="11">
        <f t="shared" si="16"/>
        <v>131.05076741440377</v>
      </c>
      <c r="T23" s="13">
        <f t="shared" si="17"/>
        <v>5.7581427581427578</v>
      </c>
      <c r="U23" s="7">
        <v>22260</v>
      </c>
      <c r="V23" s="11">
        <f t="shared" si="18"/>
        <v>202.16147488874762</v>
      </c>
      <c r="W23" s="11">
        <f t="shared" si="19"/>
        <v>1.5426195426195428</v>
      </c>
      <c r="X23" s="11">
        <v>644.45714285710005</v>
      </c>
      <c r="Y23" s="11">
        <f t="shared" si="20"/>
        <v>173.66710795522923</v>
      </c>
      <c r="Z23" s="11">
        <f t="shared" si="21"/>
        <v>111.92100820108257</v>
      </c>
      <c r="AA23" s="7">
        <v>0</v>
      </c>
      <c r="AB23" s="15">
        <f>IFERROR(AA23/1970,0)</f>
        <v>0</v>
      </c>
      <c r="AC23" s="11">
        <v>0</v>
      </c>
      <c r="AD23" s="15">
        <f>IFERROR(AC23/65,0)</f>
        <v>0</v>
      </c>
      <c r="AE23" s="11">
        <v>23</v>
      </c>
      <c r="AF23" s="11">
        <v>25</v>
      </c>
      <c r="AG23" s="7">
        <f t="shared" si="22"/>
        <v>2709.7000000000012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29</v>
      </c>
      <c r="C24" s="7"/>
      <c r="D24" s="7">
        <v>7</v>
      </c>
      <c r="E24" s="7">
        <v>21875</v>
      </c>
      <c r="F24" s="7">
        <v>21563</v>
      </c>
      <c r="G24" s="7">
        <v>12</v>
      </c>
      <c r="H24" s="9">
        <f t="shared" si="12"/>
        <v>5.5650883457774897E-4</v>
      </c>
      <c r="I24" s="9">
        <f>IFERROR((21875-F24)/21875,0)</f>
        <v>1.4262857142857143E-2</v>
      </c>
      <c r="J24" s="7">
        <v>137700</v>
      </c>
      <c r="K24" s="11">
        <f t="shared" si="13"/>
        <v>91.227698239709568</v>
      </c>
      <c r="L24" s="11">
        <f>K24-91.2708</f>
        <v>-4.3101760290426228E-2</v>
      </c>
      <c r="M24" s="11">
        <v>95.5</v>
      </c>
      <c r="N24" s="11">
        <f t="shared" si="14"/>
        <v>-4.2723017602904321</v>
      </c>
      <c r="O24" s="11">
        <f>IFERROR(1442850/21875,0)</f>
        <v>65.958857142857141</v>
      </c>
      <c r="P24" s="11">
        <v>65</v>
      </c>
      <c r="Q24" s="11">
        <f t="shared" si="15"/>
        <v>0.9588571428571413</v>
      </c>
      <c r="R24" s="7">
        <v>17650</v>
      </c>
      <c r="S24" s="11">
        <f t="shared" si="16"/>
        <v>116.93310631306272</v>
      </c>
      <c r="T24" s="13">
        <f t="shared" si="17"/>
        <v>7.8016997167138813</v>
      </c>
      <c r="U24" s="7">
        <v>32428</v>
      </c>
      <c r="V24" s="11">
        <f t="shared" si="18"/>
        <v>214.83891056770526</v>
      </c>
      <c r="W24" s="11">
        <f t="shared" si="19"/>
        <v>1.8372804532577902</v>
      </c>
      <c r="X24" s="11">
        <v>616.13285714289998</v>
      </c>
      <c r="Y24" s="11">
        <f t="shared" si="20"/>
        <v>128.17719680464776</v>
      </c>
      <c r="Z24" s="11">
        <f t="shared" si="21"/>
        <v>78.974182487815412</v>
      </c>
      <c r="AA24" s="7">
        <v>0</v>
      </c>
      <c r="AB24" s="15">
        <f>IFERROR(AA24/1900,0)</f>
        <v>0</v>
      </c>
      <c r="AC24" s="11">
        <v>0</v>
      </c>
      <c r="AD24" s="15">
        <f>IFERROR(AC24/60.5,0)</f>
        <v>0</v>
      </c>
      <c r="AE24" s="11">
        <v>22</v>
      </c>
      <c r="AF24" s="11">
        <v>27</v>
      </c>
      <c r="AG24" s="7">
        <f t="shared" si="22"/>
        <v>-6448.6549999999806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67</v>
      </c>
      <c r="B25" s="5">
        <v>88</v>
      </c>
      <c r="C25" s="7">
        <v>21</v>
      </c>
      <c r="D25" s="7">
        <v>7</v>
      </c>
      <c r="E25" s="7">
        <v>51833</v>
      </c>
      <c r="F25" s="7">
        <v>42718</v>
      </c>
      <c r="G25" s="7">
        <v>74</v>
      </c>
      <c r="H25" s="9">
        <f t="shared" si="12"/>
        <v>1.7322908375860292E-3</v>
      </c>
      <c r="I25" s="9">
        <f>IFERROR((51833-F25)/51833,0)</f>
        <v>0.17585322092103486</v>
      </c>
      <c r="J25" s="7">
        <v>219640</v>
      </c>
      <c r="K25" s="11">
        <f t="shared" si="13"/>
        <v>73.451806866292571</v>
      </c>
      <c r="L25" s="11">
        <f>K25-75.0451</f>
        <v>-1.5932931337074336</v>
      </c>
      <c r="M25" s="11">
        <v>79</v>
      </c>
      <c r="N25" s="11">
        <f t="shared" si="14"/>
        <v>-5.5481931337074286</v>
      </c>
      <c r="O25" s="11">
        <f>IFERROR(17896618/51833,0)</f>
        <v>345.27459340574535</v>
      </c>
      <c r="P25" s="11">
        <v>0</v>
      </c>
      <c r="Q25" s="11">
        <f t="shared" si="15"/>
        <v>345.27459340574535</v>
      </c>
      <c r="R25" s="7">
        <v>34597</v>
      </c>
      <c r="S25" s="11">
        <f t="shared" si="16"/>
        <v>115.69896932039354</v>
      </c>
      <c r="T25" s="13">
        <f t="shared" si="17"/>
        <v>6.3485273289591584</v>
      </c>
      <c r="U25" s="7">
        <v>54820</v>
      </c>
      <c r="V25" s="11">
        <f t="shared" si="18"/>
        <v>183.32853999317786</v>
      </c>
      <c r="W25" s="11">
        <f t="shared" si="19"/>
        <v>1.5845304506171056</v>
      </c>
      <c r="X25" s="11">
        <v>2038.5128571429</v>
      </c>
      <c r="Y25" s="11">
        <f t="shared" si="20"/>
        <v>157.51684574758696</v>
      </c>
      <c r="Z25" s="11">
        <f t="shared" si="21"/>
        <v>321.10011527305096</v>
      </c>
      <c r="AA25" s="7">
        <v>0</v>
      </c>
      <c r="AB25" s="15">
        <f>IFERROR(AA25/1970,0)</f>
        <v>0</v>
      </c>
      <c r="AC25" s="11">
        <v>0</v>
      </c>
      <c r="AD25" s="15">
        <f>IFERROR(AC25/65,0)</f>
        <v>0</v>
      </c>
      <c r="AE25" s="11">
        <v>22</v>
      </c>
      <c r="AF25" s="11">
        <v>27</v>
      </c>
      <c r="AG25" s="7">
        <f t="shared" si="22"/>
        <v>-16590.539999999975</v>
      </c>
      <c r="AH25" s="7">
        <v>35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IFERROR(700/F25,0)</f>
        <v>1.6386534950138115E-2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81</v>
      </c>
      <c r="B26" s="5">
        <v>87</v>
      </c>
      <c r="C26" s="7">
        <v>21</v>
      </c>
      <c r="D26" s="7">
        <v>7</v>
      </c>
      <c r="E26" s="7">
        <v>21623</v>
      </c>
      <c r="F26" s="7">
        <v>18446</v>
      </c>
      <c r="G26" s="7">
        <v>18</v>
      </c>
      <c r="H26" s="9">
        <f t="shared" si="12"/>
        <v>9.7582131627453107E-4</v>
      </c>
      <c r="I26" s="9">
        <f>IFERROR((21623-F26)/21623,0)</f>
        <v>0.14692688341118254</v>
      </c>
      <c r="J26" s="7">
        <v>99900</v>
      </c>
      <c r="K26" s="11">
        <f t="shared" si="13"/>
        <v>77.368690076052104</v>
      </c>
      <c r="L26" s="11">
        <f>K26-69.0316</f>
        <v>8.3370900760521067</v>
      </c>
      <c r="M26" s="11">
        <v>83</v>
      </c>
      <c r="N26" s="11">
        <f t="shared" si="14"/>
        <v>-5.6313099239478959</v>
      </c>
      <c r="O26" s="11">
        <f>IFERROR(7400285/21623,0)</f>
        <v>342.24136336308561</v>
      </c>
      <c r="P26" s="11">
        <v>0</v>
      </c>
      <c r="Q26" s="11">
        <f t="shared" si="15"/>
        <v>342.24136336308561</v>
      </c>
      <c r="R26" s="7">
        <v>15433</v>
      </c>
      <c r="S26" s="11">
        <f t="shared" si="16"/>
        <v>119.52262201638761</v>
      </c>
      <c r="T26" s="13">
        <f t="shared" si="17"/>
        <v>6.4731419685090392</v>
      </c>
      <c r="U26" s="7">
        <v>27410</v>
      </c>
      <c r="V26" s="11">
        <f t="shared" si="18"/>
        <v>212.27985935781666</v>
      </c>
      <c r="W26" s="11">
        <f t="shared" si="19"/>
        <v>1.7760642778461737</v>
      </c>
      <c r="X26" s="11">
        <v>1431.6314285714</v>
      </c>
      <c r="Y26" s="11">
        <f t="shared" si="20"/>
        <v>154.48448448448451</v>
      </c>
      <c r="Z26" s="11">
        <f t="shared" si="21"/>
        <v>221.16484321463884</v>
      </c>
      <c r="AA26" s="7">
        <v>0</v>
      </c>
      <c r="AB26" s="15">
        <f>IFERROR(AA26/1970,0)</f>
        <v>0</v>
      </c>
      <c r="AC26" s="11">
        <v>0</v>
      </c>
      <c r="AD26" s="15">
        <f>IFERROR(AC26/65,0)</f>
        <v>0</v>
      </c>
      <c r="AE26" s="11">
        <v>22</v>
      </c>
      <c r="AF26" s="11">
        <v>27</v>
      </c>
      <c r="AG26" s="7">
        <f t="shared" si="22"/>
        <v>-7271.2600000000011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68</v>
      </c>
      <c r="B27" s="5">
        <v>19</v>
      </c>
      <c r="C27" s="7"/>
      <c r="D27" s="7">
        <v>7</v>
      </c>
      <c r="E27" s="7">
        <v>21339</v>
      </c>
      <c r="F27" s="7">
        <v>21279</v>
      </c>
      <c r="G27" s="7">
        <v>1</v>
      </c>
      <c r="H27" s="9">
        <f t="shared" si="12"/>
        <v>4.6994689600075188E-5</v>
      </c>
      <c r="I27" s="9">
        <f>IFERROR((21339-F27)/21339,0)</f>
        <v>2.8117531280753552E-3</v>
      </c>
      <c r="J27" s="7">
        <v>52770</v>
      </c>
      <c r="K27" s="11">
        <f t="shared" si="13"/>
        <v>35.427282431370969</v>
      </c>
      <c r="L27" s="11">
        <f>K27-0</f>
        <v>35.427282431370969</v>
      </c>
      <c r="M27" s="11">
        <v>31</v>
      </c>
      <c r="N27" s="11">
        <f t="shared" si="14"/>
        <v>4.4272824313709691</v>
      </c>
      <c r="O27" s="11">
        <f>IFERROR(12371417/21339,0)</f>
        <v>579.75617414124372</v>
      </c>
      <c r="P27" s="11">
        <v>3</v>
      </c>
      <c r="Q27" s="11">
        <f t="shared" si="15"/>
        <v>576.75617414124372</v>
      </c>
      <c r="R27" s="7">
        <v>13990</v>
      </c>
      <c r="S27" s="11">
        <f t="shared" si="16"/>
        <v>93.922243929293131</v>
      </c>
      <c r="T27" s="13">
        <f t="shared" si="17"/>
        <v>3.7719799857040743</v>
      </c>
      <c r="U27" s="7">
        <v>23444</v>
      </c>
      <c r="V27" s="11">
        <f t="shared" si="18"/>
        <v>157.39192899773755</v>
      </c>
      <c r="W27" s="11">
        <f t="shared" si="19"/>
        <v>1.675768406004289</v>
      </c>
      <c r="X27" s="11">
        <v>3853.14</v>
      </c>
      <c r="Y27" s="11">
        <f t="shared" si="20"/>
        <v>265.11275345840437</v>
      </c>
      <c r="Z27" s="11">
        <f t="shared" si="21"/>
        <v>1021.5165548607163</v>
      </c>
      <c r="AA27" s="7">
        <v>0</v>
      </c>
      <c r="AB27" s="15">
        <f>IFERROR(AA27/1620,0)</f>
        <v>0</v>
      </c>
      <c r="AC27" s="11">
        <v>0</v>
      </c>
      <c r="AD27" s="15">
        <f>IFERROR(AC27/50,0)</f>
        <v>0</v>
      </c>
      <c r="AE27" s="11">
        <v>21</v>
      </c>
      <c r="AF27" s="11">
        <v>26</v>
      </c>
      <c r="AG27" s="7">
        <f t="shared" si="22"/>
        <v>6594.57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77</v>
      </c>
      <c r="C28" s="7">
        <v>5</v>
      </c>
      <c r="D28" s="7">
        <v>7</v>
      </c>
      <c r="E28" s="7">
        <v>47224</v>
      </c>
      <c r="F28" s="7">
        <v>38585</v>
      </c>
      <c r="G28" s="7">
        <v>116</v>
      </c>
      <c r="H28" s="9">
        <f t="shared" si="12"/>
        <v>3.0063496177270962E-3</v>
      </c>
      <c r="I28" s="9">
        <f>IFERROR((47224-F28)/47224,0)</f>
        <v>0.18293664238522786</v>
      </c>
      <c r="J28" s="7">
        <v>128400</v>
      </c>
      <c r="K28" s="11">
        <f t="shared" si="13"/>
        <v>47.538828930561465</v>
      </c>
      <c r="L28" s="11">
        <f>K28-19.3636</f>
        <v>28.175228930561463</v>
      </c>
      <c r="M28" s="11">
        <v>5</v>
      </c>
      <c r="N28" s="11">
        <f t="shared" si="14"/>
        <v>42.538828930561465</v>
      </c>
      <c r="O28" s="11">
        <f>IFERROR(13653950/47224,0)</f>
        <v>289.13158563442317</v>
      </c>
      <c r="P28" s="11">
        <v>0</v>
      </c>
      <c r="Q28" s="11">
        <f t="shared" si="15"/>
        <v>289.13158563442317</v>
      </c>
      <c r="R28" s="7">
        <v>29280</v>
      </c>
      <c r="S28" s="11">
        <f t="shared" si="16"/>
        <v>108.40630148651401</v>
      </c>
      <c r="T28" s="13">
        <f t="shared" si="17"/>
        <v>4.3852459016393439</v>
      </c>
      <c r="U28" s="7">
        <v>56800</v>
      </c>
      <c r="V28" s="11">
        <f t="shared" si="18"/>
        <v>210.29637720061461</v>
      </c>
      <c r="W28" s="11">
        <f t="shared" si="19"/>
        <v>1.9398907103825136</v>
      </c>
      <c r="X28" s="11">
        <v>3337.6542857142999</v>
      </c>
      <c r="Y28" s="11">
        <f t="shared" si="20"/>
        <v>228.03738317757012</v>
      </c>
      <c r="Z28" s="11">
        <f t="shared" si="21"/>
        <v>761.10994926569083</v>
      </c>
      <c r="AA28" s="7">
        <v>0</v>
      </c>
      <c r="AB28" s="15">
        <f>IFERROR(AA28/1580,0)</f>
        <v>0</v>
      </c>
      <c r="AC28" s="11">
        <v>0</v>
      </c>
      <c r="AD28" s="15">
        <f>IFERROR(AC28/63.5,0)</f>
        <v>0</v>
      </c>
      <c r="AE28" s="11">
        <v>16</v>
      </c>
      <c r="AF28" s="11">
        <v>32</v>
      </c>
      <c r="AG28" s="7">
        <f t="shared" si="22"/>
        <v>114895.24999999999</v>
      </c>
      <c r="AH28" s="7">
        <v>15</v>
      </c>
      <c r="AI28" s="7">
        <v>20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107</v>
      </c>
      <c r="C29" s="7">
        <v>35</v>
      </c>
      <c r="D29" s="7">
        <v>7</v>
      </c>
      <c r="E29" s="7">
        <v>33376</v>
      </c>
      <c r="F29" s="7">
        <v>30187</v>
      </c>
      <c r="G29" s="7">
        <v>109</v>
      </c>
      <c r="H29" s="9">
        <f t="shared" si="12"/>
        <v>3.6108258521880278E-3</v>
      </c>
      <c r="I29" s="9">
        <f>IFERROR((33376-F29)/33376,0)</f>
        <v>9.5547698945349951E-2</v>
      </c>
      <c r="J29" s="7">
        <v>138640</v>
      </c>
      <c r="K29" s="11">
        <f t="shared" si="13"/>
        <v>65.610078132024668</v>
      </c>
      <c r="L29" s="11">
        <f>K29-68.6465</f>
        <v>-3.036421867975335</v>
      </c>
      <c r="M29" s="11">
        <v>70</v>
      </c>
      <c r="N29" s="11">
        <f t="shared" si="14"/>
        <v>-4.3899218679753318</v>
      </c>
      <c r="O29" s="11">
        <f>IFERROR(13754293/33376,0)</f>
        <v>412.10130033557044</v>
      </c>
      <c r="P29" s="11">
        <v>0</v>
      </c>
      <c r="Q29" s="11">
        <f t="shared" si="15"/>
        <v>412.10130033557044</v>
      </c>
      <c r="R29" s="7">
        <v>23980</v>
      </c>
      <c r="S29" s="11">
        <f t="shared" si="16"/>
        <v>113.48309821162374</v>
      </c>
      <c r="T29" s="13">
        <f t="shared" si="17"/>
        <v>5.7814845704753965</v>
      </c>
      <c r="U29" s="7">
        <v>41132</v>
      </c>
      <c r="V29" s="11">
        <f t="shared" si="18"/>
        <v>194.65332759134728</v>
      </c>
      <c r="W29" s="11">
        <f t="shared" si="19"/>
        <v>1.7152627189324436</v>
      </c>
      <c r="X29" s="11">
        <v>4232.2814285714003</v>
      </c>
      <c r="Y29" s="11">
        <f t="shared" si="20"/>
        <v>172.96595499134449</v>
      </c>
      <c r="Z29" s="11">
        <f t="shared" si="21"/>
        <v>732.04059908498391</v>
      </c>
      <c r="AA29" s="7">
        <v>0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17</v>
      </c>
      <c r="AF29" s="11">
        <v>32</v>
      </c>
      <c r="AG29" s="7">
        <f t="shared" si="22"/>
        <v>-9276.2999999999938</v>
      </c>
      <c r="AH29" s="7">
        <v>8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IFERROR(300/F29,0)</f>
        <v>9.9380528041872335E-3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107</v>
      </c>
      <c r="C30" s="7">
        <v>35</v>
      </c>
      <c r="D30" s="7">
        <v>7</v>
      </c>
      <c r="E30" s="7">
        <v>12390</v>
      </c>
      <c r="F30" s="7">
        <v>10257</v>
      </c>
      <c r="G30" s="7">
        <v>18</v>
      </c>
      <c r="H30" s="9">
        <f t="shared" si="12"/>
        <v>1.7548990933021352E-3</v>
      </c>
      <c r="I30" s="9">
        <f>IFERROR((12390-F30)/12390,0)</f>
        <v>0.17215496368038741</v>
      </c>
      <c r="J30" s="7">
        <v>56780</v>
      </c>
      <c r="K30" s="11">
        <f t="shared" si="13"/>
        <v>79.08188136325019</v>
      </c>
      <c r="L30" s="11">
        <f>K30-80.6535</f>
        <v>-1.571618636749804</v>
      </c>
      <c r="M30" s="11">
        <v>70</v>
      </c>
      <c r="N30" s="11">
        <f t="shared" si="14"/>
        <v>9.08188136325019</v>
      </c>
      <c r="O30" s="11">
        <f>IFERROR(5612688/12390,0)</f>
        <v>453.00145278450361</v>
      </c>
      <c r="P30" s="11">
        <v>0</v>
      </c>
      <c r="Q30" s="11">
        <f t="shared" si="15"/>
        <v>453.00145278450361</v>
      </c>
      <c r="R30" s="7">
        <v>10610</v>
      </c>
      <c r="S30" s="11">
        <f t="shared" si="16"/>
        <v>147.7736458725052</v>
      </c>
      <c r="T30" s="13">
        <f t="shared" si="17"/>
        <v>5.3515551366635252</v>
      </c>
      <c r="U30" s="7">
        <v>20564</v>
      </c>
      <c r="V30" s="11">
        <f t="shared" si="18"/>
        <v>286.41067424337388</v>
      </c>
      <c r="W30" s="11">
        <f t="shared" si="19"/>
        <v>1.9381715362865222</v>
      </c>
      <c r="X30" s="11">
        <v>3533.35</v>
      </c>
      <c r="Y30" s="11">
        <f t="shared" si="20"/>
        <v>186.86157097569568</v>
      </c>
      <c r="Z30" s="11">
        <f t="shared" si="21"/>
        <v>660.24733180697433</v>
      </c>
      <c r="AA30" s="7">
        <v>0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17</v>
      </c>
      <c r="AF30" s="11">
        <v>32</v>
      </c>
      <c r="AG30" s="7">
        <f t="shared" si="22"/>
        <v>6520.7000000000035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IFERROR(300/F30,0)</f>
        <v>2.9248318221702253E-2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591557</v>
      </c>
      <c r="F31" s="17">
        <f>SUM(F14:F30)</f>
        <v>534599</v>
      </c>
      <c r="G31" s="17">
        <f>SUM(G14:G30)</f>
        <v>908</v>
      </c>
      <c r="H31" s="18">
        <f t="shared" si="12"/>
        <v>1.6984693199949869E-3</v>
      </c>
      <c r="I31" s="18"/>
      <c r="J31" s="17">
        <f>SUM(J14:J30)</f>
        <v>2646170</v>
      </c>
      <c r="K31" s="19">
        <f t="shared" si="13"/>
        <v>70.711745759772413</v>
      </c>
      <c r="L31" s="19"/>
      <c r="M31" s="19">
        <f>IFERROR(SUMPRODUCT($F14:$F30,M14:M30)/$F31, 0)</f>
        <v>70.137479306919758</v>
      </c>
      <c r="N31" s="19">
        <f t="shared" si="14"/>
        <v>0.57426645285265465</v>
      </c>
      <c r="O31" s="19">
        <f>IFERROR(SUMPRODUCT($E14:$E30,O14:O30)/$E31, 0)</f>
        <v>262.72924164535283</v>
      </c>
      <c r="P31" s="19">
        <f>IFERROR(SUMPRODUCT($E14:$E30,P14:P30)/$E31, 0)</f>
        <v>72.43256017594247</v>
      </c>
      <c r="Q31" s="19">
        <f>IFERROR(SUMPRODUCT($E14:$E30,Q14:Q30)/$E31, 0)</f>
        <v>190.29668146941037</v>
      </c>
      <c r="R31" s="17">
        <f>SUM(R14:R30)</f>
        <v>416715</v>
      </c>
      <c r="S31" s="19">
        <f>IFERROR(R31/D31/$F31*1000,0)</f>
        <v>111.355827986424</v>
      </c>
      <c r="T31" s="20">
        <f t="shared" si="17"/>
        <v>6.3500713917185605</v>
      </c>
      <c r="U31" s="17">
        <f>SUM(U14:U30)</f>
        <v>705035</v>
      </c>
      <c r="V31" s="19">
        <f>IFERROR(U31/D31/$F31*1000,0)</f>
        <v>188.40156026158991</v>
      </c>
      <c r="W31" s="19">
        <f t="shared" si="19"/>
        <v>1.6918877410220412</v>
      </c>
      <c r="X31" s="19">
        <f>IFERROR(SUMPRODUCT(R14:R30,X14:X30)/R31,0)</f>
        <v>3325.028506228135</v>
      </c>
      <c r="Y31" s="19">
        <f>IFERROR(($F31*S31)/($F31*K31)*100,0)</f>
        <v>157.47854446237392</v>
      </c>
      <c r="Z31" s="19">
        <f t="shared" si="21"/>
        <v>523.62064945670807</v>
      </c>
      <c r="AA31" s="17"/>
      <c r="AB31" s="21">
        <f>IFERROR(SUMPRODUCT($F14:$F30,AB14:AB30)/$F31,0)</f>
        <v>0.18939889269337359</v>
      </c>
      <c r="AC31" s="19"/>
      <c r="AD31" s="21">
        <f>AVERAGE(AD14:AD30)</f>
        <v>5.7837660203746311E-2</v>
      </c>
      <c r="AE31" s="19"/>
      <c r="AF31" s="19"/>
      <c r="AG31" s="17">
        <f>SUM(AG14:AG30)</f>
        <v>21490.158999999956</v>
      </c>
      <c r="AH31" s="17">
        <f>SUM(AH14:AH30)</f>
        <v>221</v>
      </c>
      <c r="AI31" s="17">
        <f>IFERROR(SUMPRODUCT(AH14:AH30,AI14:AI30)/AH31, 0)</f>
        <v>13.122171945688688</v>
      </c>
      <c r="AJ31" s="19">
        <f>AVERAGE(AJ14:AJ30)</f>
        <v>2.1764705882352939</v>
      </c>
      <c r="AK31" s="19">
        <f>AVERAGE(AK14:AK30)</f>
        <v>2.4705882352941178</v>
      </c>
      <c r="AL31" s="19">
        <f>AVERAGE(AL14:AL30)</f>
        <v>3.2941176470588234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637762</v>
      </c>
      <c r="F33" s="23">
        <f>F12+F31</f>
        <v>575266</v>
      </c>
      <c r="G33" s="23">
        <f>G12+G31</f>
        <v>1090</v>
      </c>
      <c r="H33" s="24">
        <f>IFERROR(G33/F33,0)</f>
        <v>1.8947756342283396E-3</v>
      </c>
      <c r="I33" s="23"/>
      <c r="J33" s="23">
        <f>J12+J31</f>
        <v>2865530</v>
      </c>
      <c r="K33" s="25">
        <f>IFERROR(J33/D33/F33*100,0)</f>
        <v>71.160372518353</v>
      </c>
      <c r="L33" s="23"/>
      <c r="M33" s="25">
        <f>IFERROR($F$12/$F33*M$12,0)+IFERROR($F$31/$F33*M$31,0)</f>
        <v>71.206510205713528</v>
      </c>
      <c r="N33" s="25">
        <f>K33-M33</f>
        <v>-4.613768736052748E-2</v>
      </c>
      <c r="O33" s="23">
        <f>IFERROR($E$12/$E33*O$12,0)+IFERROR($E$31/$E33*O$31,0)</f>
        <v>259.44431935424183</v>
      </c>
      <c r="P33" s="23">
        <f>IFERROR($E$12/$E33*P$12,0)+IFERROR($E$31/$E33*P$31,0)</f>
        <v>84.995905996280754</v>
      </c>
      <c r="Q33" s="23">
        <f>IFERROR($E$12/$E33*Q$12,0)+IFERROR($E$31/$E33*Q$31,0)</f>
        <v>174.44841335796113</v>
      </c>
      <c r="R33" s="23">
        <f>R12+R31</f>
        <v>453153</v>
      </c>
      <c r="S33" s="25">
        <f>IFERROR(R33/D33/$F33*1000,0)</f>
        <v>112.53253774278831</v>
      </c>
      <c r="T33" s="26">
        <f>IFERROR(J33/R33,0)</f>
        <v>6.323537524853637</v>
      </c>
      <c r="U33" s="23">
        <f>U12+U31</f>
        <v>720155</v>
      </c>
      <c r="V33" s="25">
        <f>IFERROR(U33/D33/$F33*1000,0)</f>
        <v>178.83776498921492</v>
      </c>
      <c r="W33" s="25">
        <f>IFERROR(V33/S33,0)</f>
        <v>1.5892093840270283</v>
      </c>
      <c r="X33" s="25">
        <f>IFERROR($F$12/$F33*X$12,0)+IFERROR($F$31/$F33*X$31,0)</f>
        <v>3115.4984265225139</v>
      </c>
      <c r="Y33" s="25">
        <f>IFERROR(($F33*S33)/($F33*K33)*100,0)</f>
        <v>158.1393319909406</v>
      </c>
      <c r="Z33" s="25">
        <f>IFERROR(Y33*X33/1000,0)</f>
        <v>492.68283998909692</v>
      </c>
      <c r="AA33" s="23"/>
      <c r="AB33" s="27"/>
      <c r="AC33" s="23"/>
      <c r="AD33" s="27"/>
      <c r="AE33" s="23"/>
      <c r="AF33" s="23"/>
      <c r="AG33" s="23">
        <f>AG12+AG31</f>
        <v>-1857.9010000000271</v>
      </c>
      <c r="AH33" s="23">
        <f>AH12+AH31</f>
        <v>221</v>
      </c>
      <c r="AI33" s="23">
        <f>IFERROR(AH$12/AH33*AI$12,0)+IFERROR(AH$31/AH33*AI$31,0)</f>
        <v>13.122171945688688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61</v>
      </c>
      <c r="T36" s="32" t="s">
        <v>70</v>
      </c>
      <c r="U36" s="32" t="s">
        <v>71</v>
      </c>
      <c r="V36" s="32" t="s">
        <v>72</v>
      </c>
      <c r="W36" s="32" t="s">
        <v>62</v>
      </c>
      <c r="X36" s="32" t="s">
        <v>66</v>
      </c>
      <c r="Y36" s="32" t="s">
        <v>67</v>
      </c>
      <c r="Z36" s="32" t="s">
        <v>81</v>
      </c>
      <c r="AA36" s="32" t="s">
        <v>63</v>
      </c>
      <c r="AB36" s="32" t="s">
        <v>68</v>
      </c>
      <c r="AC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>
        <v>2.5000000000000001E-3</v>
      </c>
      <c r="T37" s="8">
        <v>5.3E-3</v>
      </c>
      <c r="U37" s="8">
        <v>6.3E-3</v>
      </c>
      <c r="V37" s="8">
        <v>2.7000000000000001E-3</v>
      </c>
      <c r="W37" s="8">
        <v>1.5E-3</v>
      </c>
      <c r="X37" s="8">
        <v>1.4E-3</v>
      </c>
      <c r="Y37" s="8">
        <v>2.8E-3</v>
      </c>
      <c r="Z37" s="8">
        <v>1.6999999999999999E-3</v>
      </c>
      <c r="AA37" s="8"/>
      <c r="AB37" s="8"/>
      <c r="AC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>
        <v>2.5000000000000001E-3</v>
      </c>
      <c r="T38" s="9">
        <v>5.7999999999999996E-3</v>
      </c>
      <c r="U38" s="9">
        <v>3.5999999999999999E-3</v>
      </c>
      <c r="V38" s="9">
        <v>2.3E-3</v>
      </c>
      <c r="W38" s="9">
        <v>1.5E-3</v>
      </c>
      <c r="X38" s="9">
        <v>1E-3</v>
      </c>
      <c r="Y38" s="9">
        <v>3.0000000000000001E-3</v>
      </c>
      <c r="Z38" s="9">
        <v>1.8E-3</v>
      </c>
      <c r="AA38" s="9"/>
      <c r="AB38" s="9"/>
      <c r="AC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>
        <v>2.5000000000000001E-3</v>
      </c>
      <c r="T39" s="9">
        <v>5.4999999999999997E-3</v>
      </c>
      <c r="U39" s="9">
        <v>3.5000000000000001E-3</v>
      </c>
      <c r="V39" s="9">
        <v>2.5000000000000001E-3</v>
      </c>
      <c r="W39" s="9">
        <v>1.6999999999999999E-3</v>
      </c>
      <c r="X39" s="9">
        <v>6.9999999999999999E-4</v>
      </c>
      <c r="Y39" s="9">
        <v>2.8E-3</v>
      </c>
      <c r="Z39" s="9">
        <v>1.4E-3</v>
      </c>
      <c r="AA39" s="9"/>
      <c r="AB39" s="9"/>
      <c r="AC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>
        <v>2.5999999999999999E-3</v>
      </c>
      <c r="T40" s="9">
        <v>3.2000000000000002E-3</v>
      </c>
      <c r="U40" s="9">
        <v>3.7000000000000002E-3</v>
      </c>
      <c r="V40" s="9">
        <v>2.5000000000000001E-3</v>
      </c>
      <c r="W40" s="9">
        <v>1.6000000000000001E-3</v>
      </c>
      <c r="X40" s="9">
        <v>8.9999999999999998E-4</v>
      </c>
      <c r="Y40" s="9">
        <v>3.5000000000000001E-3</v>
      </c>
      <c r="Z40" s="9">
        <v>1.6000000000000001E-3</v>
      </c>
      <c r="AA40" s="9"/>
      <c r="AB40" s="9"/>
      <c r="AC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>
        <v>2.3E-3</v>
      </c>
      <c r="T41" s="9">
        <v>2.2000000000000001E-3</v>
      </c>
      <c r="U41" s="9">
        <v>4.4000000000000003E-3</v>
      </c>
      <c r="V41" s="9">
        <v>2.3E-3</v>
      </c>
      <c r="W41" s="9">
        <v>1.6000000000000001E-3</v>
      </c>
      <c r="X41" s="9">
        <v>8.9999999999999998E-4</v>
      </c>
      <c r="Y41" s="9">
        <v>3.0999999999999999E-3</v>
      </c>
      <c r="Z41" s="9">
        <v>1.5E-3</v>
      </c>
      <c r="AA41" s="9"/>
      <c r="AB41" s="9"/>
      <c r="AC41" s="9">
        <v>8.9999999999999998E-4</v>
      </c>
    </row>
    <row r="42" spans="1:46" ht="15" thickBot="1" x14ac:dyDescent="0.35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>
        <v>1.6999999999999999E-3</v>
      </c>
      <c r="T42" s="9">
        <v>3.0000000000000001E-3</v>
      </c>
      <c r="U42" s="9">
        <v>3.5999999999999999E-3</v>
      </c>
      <c r="V42" s="9">
        <v>1.8E-3</v>
      </c>
      <c r="W42" s="9">
        <v>8.9999999999999998E-4</v>
      </c>
      <c r="X42" s="9">
        <v>5.9999999999999995E-4</v>
      </c>
      <c r="Y42" s="9">
        <v>1.6999999999999999E-3</v>
      </c>
      <c r="Z42" s="9">
        <v>1E-3</v>
      </c>
      <c r="AA42" s="9">
        <v>0</v>
      </c>
      <c r="AB42" s="9">
        <v>0</v>
      </c>
      <c r="AC42" s="9">
        <v>5.0000000000000001E-4</v>
      </c>
    </row>
    <row r="43" spans="1:46" ht="15" thickBot="1" x14ac:dyDescent="0.35">
      <c r="B43" s="22" t="s">
        <v>82</v>
      </c>
      <c r="C43" s="22"/>
      <c r="D43" s="24">
        <f t="shared" ref="D43:AC43" si="23">AVERAGE(D37:D42)</f>
        <v>2.6000000000000003E-3</v>
      </c>
      <c r="E43" s="24">
        <f t="shared" si="23"/>
        <v>4.6833333333333336E-3</v>
      </c>
      <c r="F43" s="24">
        <f t="shared" si="23"/>
        <v>2.4166666666666668E-3</v>
      </c>
      <c r="G43" s="24">
        <f t="shared" si="23"/>
        <v>6.1833333333333332E-3</v>
      </c>
      <c r="H43" s="24">
        <f t="shared" si="23"/>
        <v>5.1333333333333335E-3</v>
      </c>
      <c r="I43" s="24">
        <f t="shared" si="23"/>
        <v>4.1666666666666666E-3</v>
      </c>
      <c r="J43" s="24">
        <f t="shared" si="23"/>
        <v>3.15E-3</v>
      </c>
      <c r="K43" s="24">
        <f t="shared" si="23"/>
        <v>3.4666666666666665E-3</v>
      </c>
      <c r="L43" s="24">
        <f t="shared" si="23"/>
        <v>2.166666666666667E-3</v>
      </c>
      <c r="M43" s="24">
        <f t="shared" si="23"/>
        <v>2.7666666666666668E-3</v>
      </c>
      <c r="N43" s="24">
        <f t="shared" si="23"/>
        <v>2.15E-3</v>
      </c>
      <c r="O43" s="24">
        <f t="shared" si="23"/>
        <v>7.4500000000000009E-3</v>
      </c>
      <c r="P43" s="24">
        <f t="shared" si="23"/>
        <v>2.7666666666666668E-3</v>
      </c>
      <c r="Q43" s="24">
        <f t="shared" si="23"/>
        <v>3.8166666666666666E-3</v>
      </c>
      <c r="R43" s="24">
        <f t="shared" si="23"/>
        <v>1.6833333333333333E-3</v>
      </c>
      <c r="S43" s="24">
        <f t="shared" si="23"/>
        <v>2.3500000000000001E-3</v>
      </c>
      <c r="T43" s="24">
        <f t="shared" si="23"/>
        <v>4.1666666666666666E-3</v>
      </c>
      <c r="U43" s="24">
        <f t="shared" si="23"/>
        <v>4.1833333333333332E-3</v>
      </c>
      <c r="V43" s="24">
        <f t="shared" si="23"/>
        <v>2.3500000000000001E-3</v>
      </c>
      <c r="W43" s="24">
        <f t="shared" si="23"/>
        <v>1.4666666666666667E-3</v>
      </c>
      <c r="X43" s="24">
        <f t="shared" si="23"/>
        <v>9.1666666666666665E-4</v>
      </c>
      <c r="Y43" s="24">
        <f t="shared" si="23"/>
        <v>2.8166666666666665E-3</v>
      </c>
      <c r="Z43" s="24">
        <f t="shared" si="23"/>
        <v>1.5000000000000002E-3</v>
      </c>
      <c r="AA43" s="24">
        <f t="shared" si="23"/>
        <v>0</v>
      </c>
      <c r="AB43" s="24">
        <f t="shared" si="23"/>
        <v>0</v>
      </c>
      <c r="AC43" s="24">
        <f t="shared" si="23"/>
        <v>9.3333333333333322E-4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44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5.44140625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8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45697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45703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109</v>
      </c>
      <c r="C6" s="7">
        <v>39</v>
      </c>
      <c r="D6" s="7">
        <v>7</v>
      </c>
      <c r="E6" s="7">
        <v>1197</v>
      </c>
      <c r="F6" s="7">
        <v>1100</v>
      </c>
      <c r="G6" s="7">
        <v>5</v>
      </c>
      <c r="H6" s="9">
        <f t="shared" ref="H6:H12" si="0">IFERROR(G6/F6,0)</f>
        <v>4.5454545454545452E-3</v>
      </c>
      <c r="I6" s="9">
        <f>IFERROR((1197-F6)/1197,0)</f>
        <v>8.1035923141186295E-2</v>
      </c>
      <c r="J6" s="7">
        <v>4680</v>
      </c>
      <c r="K6" s="11">
        <f t="shared" ref="K6:K12" si="1">IFERROR(J6/D6/F6*100,0)</f>
        <v>60.779220779220779</v>
      </c>
      <c r="L6" s="11">
        <f>K6-60.892</f>
        <v>-0.11277922077922398</v>
      </c>
      <c r="M6" s="11">
        <v>67</v>
      </c>
      <c r="N6" s="11">
        <f t="shared" ref="N6:N12" si="2">K6-M6</f>
        <v>-6.220779220779221</v>
      </c>
      <c r="O6" s="11">
        <f>IFERROR(93530/1197,0)</f>
        <v>78.137009189640764</v>
      </c>
      <c r="P6" s="11">
        <v>0</v>
      </c>
      <c r="Q6" s="11">
        <f t="shared" ref="Q6:Q11" si="3">IFERROR(O6-P6,0)</f>
        <v>78.137009189640764</v>
      </c>
      <c r="R6" s="7">
        <v>875</v>
      </c>
      <c r="S6" s="11">
        <f t="shared" ref="S6:S11" si="4">IFERROR(R6/D6/F6*1000,0)</f>
        <v>113.63636363636363</v>
      </c>
      <c r="T6" s="13">
        <f t="shared" ref="T6:T12" si="5">IFERROR(J6/R6,0)</f>
        <v>5.3485714285714288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186.96581196581195</v>
      </c>
      <c r="Z6" s="11">
        <f t="shared" ref="Z6:Z12" si="9">IFERROR(Y6*X6/1000,0)</f>
        <v>55.506410256410248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12</v>
      </c>
      <c r="AF6" s="11">
        <v>33</v>
      </c>
      <c r="AG6" s="7">
        <f t="shared" ref="AG6:AG11" si="10">IF(M6=0,0,IFERROR(N6/100*7*F6,0))</f>
        <v>-479.00000000000006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69</v>
      </c>
      <c r="C7" s="7"/>
      <c r="D7" s="7">
        <v>7</v>
      </c>
      <c r="E7" s="7">
        <v>14440</v>
      </c>
      <c r="F7" s="7">
        <v>12188</v>
      </c>
      <c r="G7" s="7">
        <v>71</v>
      </c>
      <c r="H7" s="9">
        <f t="shared" si="0"/>
        <v>5.8254020347883167E-3</v>
      </c>
      <c r="I7" s="9">
        <f>IFERROR((14440-F7)/14440,0)</f>
        <v>0.15595567867036012</v>
      </c>
      <c r="J7" s="7">
        <v>60630</v>
      </c>
      <c r="K7" s="11">
        <f t="shared" si="1"/>
        <v>71.065216372075568</v>
      </c>
      <c r="L7" s="11">
        <f>K7-72.1919</f>
        <v>-1.1266836279244359</v>
      </c>
      <c r="M7" s="11">
        <v>81.5</v>
      </c>
      <c r="N7" s="11">
        <f t="shared" si="2"/>
        <v>-10.434783627924432</v>
      </c>
      <c r="O7" s="11">
        <f>IFERROR(4004020/14440,0)</f>
        <v>277.28670360110806</v>
      </c>
      <c r="P7" s="11">
        <v>308</v>
      </c>
      <c r="Q7" s="11">
        <f t="shared" si="3"/>
        <v>-30.713296398891941</v>
      </c>
      <c r="R7" s="7">
        <v>9940</v>
      </c>
      <c r="S7" s="11">
        <f t="shared" si="4"/>
        <v>116.50804069576633</v>
      </c>
      <c r="T7" s="13">
        <f t="shared" si="5"/>
        <v>6.0995975855130782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163.94524162955634</v>
      </c>
      <c r="Z7" s="11">
        <f t="shared" si="9"/>
        <v>61.176166914068943</v>
      </c>
      <c r="AA7" s="7">
        <v>0</v>
      </c>
      <c r="AB7" s="15">
        <f>IFERROR(AA7/1960,0)</f>
        <v>0</v>
      </c>
      <c r="AC7" s="11">
        <v>0</v>
      </c>
      <c r="AD7" s="15">
        <f>IFERROR(AC7/64.2,0)</f>
        <v>0</v>
      </c>
      <c r="AE7" s="11">
        <v>12</v>
      </c>
      <c r="AF7" s="11">
        <v>33</v>
      </c>
      <c r="AG7" s="7">
        <f t="shared" si="10"/>
        <v>-8902.54000000001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69</v>
      </c>
      <c r="C8" s="7"/>
      <c r="D8" s="7">
        <v>7</v>
      </c>
      <c r="E8" s="7">
        <v>16063</v>
      </c>
      <c r="F8" s="7">
        <v>13826</v>
      </c>
      <c r="G8" s="7">
        <v>60</v>
      </c>
      <c r="H8" s="9">
        <f t="shared" si="0"/>
        <v>4.3396499349052505E-3</v>
      </c>
      <c r="I8" s="9">
        <f>IFERROR((16063-F8)/16063,0)</f>
        <v>0.13926414741953558</v>
      </c>
      <c r="J8" s="7">
        <v>64560</v>
      </c>
      <c r="K8" s="11">
        <f t="shared" si="1"/>
        <v>66.706618999400717</v>
      </c>
      <c r="L8" s="11">
        <f>K8-65.6468</f>
        <v>1.0598189994007186</v>
      </c>
      <c r="M8" s="11">
        <v>83.5</v>
      </c>
      <c r="N8" s="11">
        <f t="shared" si="2"/>
        <v>-16.793381000599283</v>
      </c>
      <c r="O8" s="11">
        <f>IFERROR(4151730/16063,0)</f>
        <v>258.46541741891303</v>
      </c>
      <c r="P8" s="11">
        <v>308</v>
      </c>
      <c r="Q8" s="11">
        <f t="shared" si="3"/>
        <v>-49.534582581086966</v>
      </c>
      <c r="R8" s="7">
        <v>10710</v>
      </c>
      <c r="S8" s="11">
        <f t="shared" si="4"/>
        <v>110.6610733400839</v>
      </c>
      <c r="T8" s="13">
        <f t="shared" si="5"/>
        <v>6.0280112044817926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165.89219330855019</v>
      </c>
      <c r="Z8" s="11">
        <f t="shared" si="9"/>
        <v>61.380111524163574</v>
      </c>
      <c r="AA8" s="7">
        <v>0</v>
      </c>
      <c r="AB8" s="15">
        <f>IFERROR(AA8/1580,0)</f>
        <v>0</v>
      </c>
      <c r="AC8" s="11">
        <v>0</v>
      </c>
      <c r="AD8" s="15">
        <f>IFERROR(AC8/63.3,0)</f>
        <v>0</v>
      </c>
      <c r="AE8" s="11">
        <v>12</v>
      </c>
      <c r="AF8" s="11">
        <v>33</v>
      </c>
      <c r="AG8" s="7">
        <f t="shared" si="10"/>
        <v>-16252.97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30</v>
      </c>
      <c r="C9" s="7"/>
      <c r="D9" s="7">
        <v>7</v>
      </c>
      <c r="E9" s="7">
        <v>4686</v>
      </c>
      <c r="F9" s="7">
        <v>4345</v>
      </c>
      <c r="G9" s="7">
        <v>11</v>
      </c>
      <c r="H9" s="9">
        <f t="shared" si="0"/>
        <v>2.5316455696202532E-3</v>
      </c>
      <c r="I9" s="9">
        <f>IFERROR((4686-F9)/4686,0)</f>
        <v>7.2769953051643188E-2</v>
      </c>
      <c r="J9" s="7">
        <v>29460</v>
      </c>
      <c r="K9" s="11">
        <f t="shared" si="1"/>
        <v>96.86010192339306</v>
      </c>
      <c r="L9" s="11">
        <f>K9-94.5494</f>
        <v>2.3107019233930544</v>
      </c>
      <c r="M9" s="11">
        <v>95</v>
      </c>
      <c r="N9" s="11">
        <f t="shared" si="2"/>
        <v>1.86010192339306</v>
      </c>
      <c r="O9" s="11">
        <f>IFERROR(282570/4686,0)</f>
        <v>60.300896286811778</v>
      </c>
      <c r="P9" s="11">
        <v>71</v>
      </c>
      <c r="Q9" s="11">
        <f t="shared" si="3"/>
        <v>-10.699103713188222</v>
      </c>
      <c r="R9" s="7">
        <v>4679</v>
      </c>
      <c r="S9" s="11">
        <f t="shared" si="4"/>
        <v>153.83856649679433</v>
      </c>
      <c r="T9" s="13">
        <f t="shared" si="5"/>
        <v>6.2962171404146181</v>
      </c>
      <c r="U9" s="7">
        <v>4320</v>
      </c>
      <c r="V9" s="11">
        <f t="shared" si="6"/>
        <v>142.03518000986352</v>
      </c>
      <c r="W9" s="11">
        <f t="shared" si="7"/>
        <v>0.92327420388971992</v>
      </c>
      <c r="X9" s="11">
        <v>362.76</v>
      </c>
      <c r="Y9" s="11">
        <f t="shared" si="8"/>
        <v>158.82552613713509</v>
      </c>
      <c r="Z9" s="11">
        <f t="shared" si="9"/>
        <v>57.615547861507117</v>
      </c>
      <c r="AA9" s="7">
        <v>0</v>
      </c>
      <c r="AB9" s="15">
        <f>IFERROR(AA9/1900,0)</f>
        <v>0</v>
      </c>
      <c r="AC9" s="11">
        <v>0</v>
      </c>
      <c r="AD9" s="15">
        <f>IFERROR(AC9/60.9,0)</f>
        <v>0</v>
      </c>
      <c r="AE9" s="11">
        <v>18</v>
      </c>
      <c r="AF9" s="11">
        <v>35</v>
      </c>
      <c r="AG9" s="7">
        <f t="shared" si="10"/>
        <v>565.7499999999992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69</v>
      </c>
      <c r="C10" s="7"/>
      <c r="D10" s="7">
        <v>7</v>
      </c>
      <c r="E10" s="7">
        <v>5000</v>
      </c>
      <c r="F10" s="7">
        <v>4323</v>
      </c>
      <c r="G10" s="7">
        <v>22</v>
      </c>
      <c r="H10" s="9">
        <f t="shared" si="0"/>
        <v>5.0890585241730284E-3</v>
      </c>
      <c r="I10" s="9">
        <f>IFERROR((5000-F10)/5000,0)</f>
        <v>0.13539999999999999</v>
      </c>
      <c r="J10" s="7">
        <v>18030</v>
      </c>
      <c r="K10" s="11">
        <f t="shared" si="1"/>
        <v>59.581639734311487</v>
      </c>
      <c r="L10" s="11">
        <f>K10-93.901</f>
        <v>-34.319360265688509</v>
      </c>
      <c r="M10" s="11">
        <v>81.5</v>
      </c>
      <c r="N10" s="11">
        <f t="shared" si="2"/>
        <v>-21.918360265688513</v>
      </c>
      <c r="O10" s="11">
        <f>IFERROR(1413400/5000,0)</f>
        <v>282.68</v>
      </c>
      <c r="P10" s="11">
        <v>308</v>
      </c>
      <c r="Q10" s="11">
        <f t="shared" si="3"/>
        <v>-25.319999999999993</v>
      </c>
      <c r="R10" s="7">
        <v>2950</v>
      </c>
      <c r="S10" s="11">
        <f t="shared" si="4"/>
        <v>97.485211989028798</v>
      </c>
      <c r="T10" s="13">
        <f t="shared" si="5"/>
        <v>6.1118644067796613</v>
      </c>
      <c r="U10" s="7">
        <v>5040</v>
      </c>
      <c r="V10" s="11">
        <f t="shared" si="6"/>
        <v>166.55100624566273</v>
      </c>
      <c r="W10" s="11">
        <f t="shared" si="7"/>
        <v>1.7084745762711862</v>
      </c>
      <c r="X10" s="11">
        <v>374.81</v>
      </c>
      <c r="Y10" s="11">
        <f t="shared" si="8"/>
        <v>163.61619523017197</v>
      </c>
      <c r="Z10" s="11">
        <f t="shared" si="9"/>
        <v>61.324986134220758</v>
      </c>
      <c r="AA10" s="7">
        <v>0</v>
      </c>
      <c r="AB10" s="15">
        <f>IFERROR(AA10/1960,0)</f>
        <v>0</v>
      </c>
      <c r="AC10" s="11">
        <v>0</v>
      </c>
      <c r="AD10" s="15">
        <f>IFERROR(AC10/64.2,0)</f>
        <v>0</v>
      </c>
      <c r="AE10" s="11">
        <v>18</v>
      </c>
      <c r="AF10" s="11">
        <v>36</v>
      </c>
      <c r="AG10" s="7">
        <f t="shared" si="10"/>
        <v>-6632.7150000000011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30</v>
      </c>
      <c r="C11" s="7"/>
      <c r="D11" s="7">
        <v>7</v>
      </c>
      <c r="E11" s="7">
        <v>4819</v>
      </c>
      <c r="F11" s="7">
        <v>4698</v>
      </c>
      <c r="G11" s="7">
        <v>18</v>
      </c>
      <c r="H11" s="9">
        <f t="shared" si="0"/>
        <v>3.8314176245210726E-3</v>
      </c>
      <c r="I11" s="9">
        <f>IFERROR((4819-F11)/4819,0)</f>
        <v>2.5108943764266447E-2</v>
      </c>
      <c r="J11" s="7">
        <v>30240</v>
      </c>
      <c r="K11" s="11">
        <f t="shared" si="1"/>
        <v>91.954022988505741</v>
      </c>
      <c r="L11" s="11">
        <f>K11-95.4198</f>
        <v>-3.4657770114942537</v>
      </c>
      <c r="M11" s="11">
        <v>95</v>
      </c>
      <c r="N11" s="11">
        <f t="shared" si="2"/>
        <v>-3.0459770114942586</v>
      </c>
      <c r="O11" s="11">
        <f>IFERROR(306756/4819,0)</f>
        <v>63.655530192986099</v>
      </c>
      <c r="P11" s="11">
        <v>71</v>
      </c>
      <c r="Q11" s="11">
        <f t="shared" si="3"/>
        <v>-7.3444698070139012</v>
      </c>
      <c r="R11" s="7">
        <v>4436</v>
      </c>
      <c r="S11" s="11">
        <f t="shared" si="4"/>
        <v>134.89022684424981</v>
      </c>
      <c r="T11" s="13">
        <f t="shared" si="5"/>
        <v>6.816952209197475</v>
      </c>
      <c r="U11" s="7">
        <v>5040</v>
      </c>
      <c r="V11" s="11">
        <f t="shared" si="6"/>
        <v>153.2567049808429</v>
      </c>
      <c r="W11" s="11">
        <f t="shared" si="7"/>
        <v>1.1361587015329127</v>
      </c>
      <c r="X11" s="11">
        <v>362.76</v>
      </c>
      <c r="Y11" s="11">
        <f t="shared" si="8"/>
        <v>146.69312169312164</v>
      </c>
      <c r="Z11" s="11">
        <f t="shared" si="9"/>
        <v>53.214396825396804</v>
      </c>
      <c r="AA11" s="7">
        <v>0</v>
      </c>
      <c r="AB11" s="15">
        <f>IFERROR(AA11/1900,0)</f>
        <v>0</v>
      </c>
      <c r="AC11" s="11">
        <v>0</v>
      </c>
      <c r="AD11" s="15">
        <f>IFERROR(AC11/60.9,0)</f>
        <v>0</v>
      </c>
      <c r="AE11" s="11">
        <v>19</v>
      </c>
      <c r="AF11" s="11">
        <v>35</v>
      </c>
      <c r="AG11" s="7">
        <f t="shared" si="10"/>
        <v>-1001.700000000002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40480</v>
      </c>
      <c r="G12" s="17">
        <f>SUM(G6:G11)</f>
        <v>187</v>
      </c>
      <c r="H12" s="18">
        <f t="shared" si="0"/>
        <v>4.6195652173913046E-3</v>
      </c>
      <c r="I12" s="18"/>
      <c r="J12" s="17">
        <f>SUM(J6:J11)</f>
        <v>207600</v>
      </c>
      <c r="K12" s="19">
        <f t="shared" si="1"/>
        <v>73.263692828910223</v>
      </c>
      <c r="L12" s="19"/>
      <c r="M12" s="19">
        <f>IFERROR(SUMPRODUCT($F6:$F11,M6:M11)/$F12, 0)</f>
        <v>84.804903656126484</v>
      </c>
      <c r="N12" s="19">
        <f t="shared" si="2"/>
        <v>-11.541210827216261</v>
      </c>
      <c r="O12" s="19">
        <f>IFERROR(SUMPRODUCT($E6:$E11,O6:O11)/$E12, 0)</f>
        <v>221.88087869278218</v>
      </c>
      <c r="P12" s="19">
        <f>IFERROR(SUMPRODUCT($E6:$E11,P6:P11)/$E12, 0)</f>
        <v>251.26672438047831</v>
      </c>
      <c r="Q12" s="19">
        <f>IFERROR(SUMPRODUCT($E6:$E11,Q6:Q11)/$E12, 0)</f>
        <v>-29.385845687696126</v>
      </c>
      <c r="R12" s="17">
        <f>SUM(R6:R11)</f>
        <v>33590</v>
      </c>
      <c r="S12" s="19">
        <f>IFERROR(R12/D12/$F12*1000,0)</f>
        <v>118.54178430265387</v>
      </c>
      <c r="T12" s="20">
        <f t="shared" si="5"/>
        <v>6.1804108365585</v>
      </c>
      <c r="U12" s="17">
        <f>SUM(U6:U11)</f>
        <v>14400</v>
      </c>
      <c r="V12" s="19">
        <f>IFERROR(U12/D12/$F12*1000,0)</f>
        <v>50.818746470920388</v>
      </c>
      <c r="W12" s="19">
        <f t="shared" si="7"/>
        <v>0.42869901756475143</v>
      </c>
      <c r="X12" s="19">
        <f>IFERROR(SUMPRODUCT(R6:R11,X6:X11)/R12,0)</f>
        <v>367.48520095266446</v>
      </c>
      <c r="Y12" s="19">
        <f>IFERROR(($F12*S12)/($F12*K12)*100,0)</f>
        <v>161.80154142581887</v>
      </c>
      <c r="Z12" s="19">
        <f t="shared" si="9"/>
        <v>59.459671965317909</v>
      </c>
      <c r="AA12" s="17"/>
      <c r="AB12" s="21">
        <f>IFERROR(SUMPRODUCT($F6:$F11,AB6:AB11)/$F12,0)</f>
        <v>0</v>
      </c>
      <c r="AC12" s="19"/>
      <c r="AD12" s="21">
        <f>AVERAGE(AD6:AD11)</f>
        <v>0</v>
      </c>
      <c r="AE12" s="19"/>
      <c r="AF12" s="19"/>
      <c r="AG12" s="17">
        <f>SUM(AG6:AG11)</f>
        <v>-32703.17500000001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69</v>
      </c>
      <c r="C14" s="6">
        <v>6</v>
      </c>
      <c r="D14" s="6">
        <v>7</v>
      </c>
      <c r="E14" s="6">
        <v>21388</v>
      </c>
      <c r="F14" s="6">
        <v>17074</v>
      </c>
      <c r="G14" s="6">
        <v>138</v>
      </c>
      <c r="H14" s="8">
        <f t="shared" ref="H14:H31" si="12">IFERROR(G14/F14,0)</f>
        <v>8.0824645660067945E-3</v>
      </c>
      <c r="I14" s="8">
        <f>IFERROR((21388-F14)/21388,0)</f>
        <v>0.20170188890966897</v>
      </c>
      <c r="J14" s="6">
        <v>62460</v>
      </c>
      <c r="K14" s="10">
        <f t="shared" ref="K14:K31" si="13">IFERROR(J14/D14/F14*100,0)</f>
        <v>52.259910641074988</v>
      </c>
      <c r="L14" s="10">
        <f>K14-16.11</f>
        <v>36.149910641074989</v>
      </c>
      <c r="M14" s="10">
        <v>56</v>
      </c>
      <c r="N14" s="10">
        <f t="shared" ref="N14:N31" si="14">K14-M14</f>
        <v>-3.7400893589250117</v>
      </c>
      <c r="O14" s="10">
        <f>IFERROR(4216830/21388,0)</f>
        <v>197.1586871142697</v>
      </c>
      <c r="P14" s="10">
        <v>0</v>
      </c>
      <c r="Q14" s="10">
        <f t="shared" ref="Q14:Q30" si="15">IFERROR(O14-P14,0)</f>
        <v>197.1586871142697</v>
      </c>
      <c r="R14" s="6">
        <v>13030</v>
      </c>
      <c r="S14" s="10">
        <f t="shared" ref="S14:S30" si="16">IFERROR(R14/D14/F14*1000,0)</f>
        <v>109.02123529510199</v>
      </c>
      <c r="T14" s="12">
        <f t="shared" ref="T14:T31" si="17">IFERROR(J14/R14,0)</f>
        <v>4.7935533384497315</v>
      </c>
      <c r="U14" s="6">
        <v>22310</v>
      </c>
      <c r="V14" s="10">
        <f t="shared" ref="V14:V30" si="18">IFERROR(U14/D14/F14*1000,0)</f>
        <v>186.66644354825215</v>
      </c>
      <c r="W14" s="10">
        <f t="shared" ref="W14:W31" si="19">IFERROR(V14/S14,0)</f>
        <v>1.7122026093630085</v>
      </c>
      <c r="X14" s="10">
        <v>1025.7828571429</v>
      </c>
      <c r="Y14" s="10">
        <f t="shared" ref="Y14:Y30" si="20">IFERROR((F14*S14)/(F14*K14)*100,0)</f>
        <v>208.61351264809477</v>
      </c>
      <c r="Z14" s="10">
        <f t="shared" ref="Z14:Z31" si="21">IFERROR(Y14*X14/1000,0)</f>
        <v>213.99216504277913</v>
      </c>
      <c r="AA14" s="6">
        <v>0</v>
      </c>
      <c r="AB14" s="14">
        <f>IFERROR(AA14/1580,0)</f>
        <v>0</v>
      </c>
      <c r="AC14" s="10">
        <v>0</v>
      </c>
      <c r="AD14" s="14">
        <f>IFERROR(AC14/63.3,0)</f>
        <v>0</v>
      </c>
      <c r="AE14" s="10">
        <v>23</v>
      </c>
      <c r="AF14" s="10">
        <v>25</v>
      </c>
      <c r="AG14" s="6">
        <f t="shared" ref="AG14:AG30" si="22">IF(M14=0,0,IFERROR(N14/100*7*F14,0))</f>
        <v>-4470.0799999999954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30</v>
      </c>
      <c r="C15" s="7"/>
      <c r="D15" s="7">
        <v>7</v>
      </c>
      <c r="E15" s="7">
        <v>10225</v>
      </c>
      <c r="F15" s="7">
        <v>9538</v>
      </c>
      <c r="G15" s="7">
        <v>43</v>
      </c>
      <c r="H15" s="9">
        <f t="shared" si="12"/>
        <v>4.5082826588383309E-3</v>
      </c>
      <c r="I15" s="9">
        <f>IFERROR((10225-F15)/10225,0)</f>
        <v>6.7188264058679711E-2</v>
      </c>
      <c r="J15" s="7">
        <v>55410</v>
      </c>
      <c r="K15" s="11">
        <f t="shared" si="13"/>
        <v>82.991342899080365</v>
      </c>
      <c r="L15" s="11">
        <f>K15-83.2898</f>
        <v>-0.2984571009196344</v>
      </c>
      <c r="M15" s="11">
        <v>95</v>
      </c>
      <c r="N15" s="11">
        <f t="shared" si="14"/>
        <v>-12.008657100919635</v>
      </c>
      <c r="O15" s="11">
        <f>IFERROR(570750/10225,0)</f>
        <v>55.819070904645478</v>
      </c>
      <c r="P15" s="11">
        <v>71</v>
      </c>
      <c r="Q15" s="11">
        <f t="shared" si="15"/>
        <v>-15.180929095354522</v>
      </c>
      <c r="R15" s="7">
        <v>7850</v>
      </c>
      <c r="S15" s="11">
        <f t="shared" si="16"/>
        <v>117.5748135278435</v>
      </c>
      <c r="T15" s="13">
        <f t="shared" si="17"/>
        <v>7.0585987261146501</v>
      </c>
      <c r="U15" s="7">
        <v>12760</v>
      </c>
      <c r="V15" s="11">
        <f t="shared" si="18"/>
        <v>191.11523829494053</v>
      </c>
      <c r="W15" s="11">
        <f t="shared" si="19"/>
        <v>1.6254777070063695</v>
      </c>
      <c r="X15" s="11">
        <v>795.17285714290006</v>
      </c>
      <c r="Y15" s="11">
        <f t="shared" si="20"/>
        <v>141.6711784876376</v>
      </c>
      <c r="Z15" s="11">
        <f t="shared" si="21"/>
        <v>112.65307577281655</v>
      </c>
      <c r="AA15" s="7">
        <v>0</v>
      </c>
      <c r="AB15" s="15">
        <f>IFERROR(AA15/1900,0)</f>
        <v>0</v>
      </c>
      <c r="AC15" s="11">
        <v>0</v>
      </c>
      <c r="AD15" s="15">
        <f>IFERROR(AC15/60.9,0)</f>
        <v>0</v>
      </c>
      <c r="AE15" s="11">
        <v>24</v>
      </c>
      <c r="AF15" s="11">
        <v>31</v>
      </c>
      <c r="AG15" s="7">
        <f t="shared" si="22"/>
        <v>-8017.7000000000035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58</v>
      </c>
      <c r="C16" s="7"/>
      <c r="D16" s="7">
        <v>7</v>
      </c>
      <c r="E16" s="7">
        <v>56050</v>
      </c>
      <c r="F16" s="7">
        <v>51553</v>
      </c>
      <c r="G16" s="7">
        <v>105</v>
      </c>
      <c r="H16" s="9">
        <f t="shared" si="12"/>
        <v>2.0367388900742927E-3</v>
      </c>
      <c r="I16" s="9">
        <f>IFERROR((56050-F16)/56050,0)</f>
        <v>8.023193577163247E-2</v>
      </c>
      <c r="J16" s="7">
        <v>331860</v>
      </c>
      <c r="K16" s="11">
        <f t="shared" si="13"/>
        <v>91.960839191844173</v>
      </c>
      <c r="L16" s="11">
        <f>K16-92.9409</f>
        <v>-0.98006080815582663</v>
      </c>
      <c r="M16" s="11">
        <v>91.9</v>
      </c>
      <c r="N16" s="11">
        <f t="shared" si="14"/>
        <v>6.0839191844166862E-2</v>
      </c>
      <c r="O16" s="11">
        <f>IFERROR(13495931/56050,0)</f>
        <v>240.78378233719894</v>
      </c>
      <c r="P16" s="11">
        <v>244</v>
      </c>
      <c r="Q16" s="11">
        <f t="shared" si="15"/>
        <v>-3.216217662801057</v>
      </c>
      <c r="R16" s="7">
        <v>40600</v>
      </c>
      <c r="S16" s="11">
        <f t="shared" si="16"/>
        <v>112.50557678505615</v>
      </c>
      <c r="T16" s="13">
        <f t="shared" si="17"/>
        <v>8.173891625615763</v>
      </c>
      <c r="U16" s="7">
        <v>63800</v>
      </c>
      <c r="V16" s="11">
        <f t="shared" si="18"/>
        <v>176.79447780508823</v>
      </c>
      <c r="W16" s="11">
        <f t="shared" si="19"/>
        <v>1.5714285714285714</v>
      </c>
      <c r="X16" s="11">
        <v>2117.5500000000002</v>
      </c>
      <c r="Y16" s="11">
        <f t="shared" si="20"/>
        <v>122.34074609775207</v>
      </c>
      <c r="Z16" s="11">
        <f t="shared" si="21"/>
        <v>259.06264689929492</v>
      </c>
      <c r="AA16" s="7">
        <v>1782</v>
      </c>
      <c r="AB16" s="15">
        <f>IFERROR(AA16/1725,0)</f>
        <v>1.0330434782608695</v>
      </c>
      <c r="AC16" s="11">
        <v>0</v>
      </c>
      <c r="AD16" s="15">
        <f>IFERROR(AC16/63.1,0)</f>
        <v>0</v>
      </c>
      <c r="AE16" s="11">
        <v>21</v>
      </c>
      <c r="AF16" s="11">
        <v>27</v>
      </c>
      <c r="AG16" s="7">
        <f t="shared" si="22"/>
        <v>219.55099999996341</v>
      </c>
      <c r="AH16" s="7">
        <v>75</v>
      </c>
      <c r="AI16" s="7">
        <v>2.6666666666999999</v>
      </c>
      <c r="AJ16" s="11">
        <v>18</v>
      </c>
      <c r="AK16" s="11">
        <v>12</v>
      </c>
      <c r="AL16" s="11">
        <v>18</v>
      </c>
      <c r="AM16" s="11">
        <v>0</v>
      </c>
      <c r="AN16" s="11">
        <v>0</v>
      </c>
      <c r="AO16" s="13">
        <f>IFERROR(1120/F16,0)</f>
        <v>2.1725214827459118E-2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132</v>
      </c>
      <c r="C17" s="7">
        <v>16</v>
      </c>
      <c r="D17" s="7">
        <v>7</v>
      </c>
      <c r="E17" s="7">
        <v>17433</v>
      </c>
      <c r="F17" s="7">
        <v>16149</v>
      </c>
      <c r="G17" s="7">
        <v>79</v>
      </c>
      <c r="H17" s="9">
        <f t="shared" si="12"/>
        <v>4.8919437736082731E-3</v>
      </c>
      <c r="I17" s="9">
        <f>IFERROR((17433-F17)/17433,0)</f>
        <v>7.3653415935295133E-2</v>
      </c>
      <c r="J17" s="7">
        <v>72300</v>
      </c>
      <c r="K17" s="11">
        <f t="shared" si="13"/>
        <v>63.957962899073806</v>
      </c>
      <c r="L17" s="11">
        <f>K17-64.5456</f>
        <v>-0.58763710092618737</v>
      </c>
      <c r="M17" s="11">
        <v>79</v>
      </c>
      <c r="N17" s="11">
        <f t="shared" si="14"/>
        <v>-15.042037100926194</v>
      </c>
      <c r="O17" s="11">
        <f>IFERROR(1160360/17433,0)</f>
        <v>66.561119715482135</v>
      </c>
      <c r="P17" s="11">
        <v>0</v>
      </c>
      <c r="Q17" s="11">
        <f t="shared" si="15"/>
        <v>66.561119715482135</v>
      </c>
      <c r="R17" s="7">
        <v>13280</v>
      </c>
      <c r="S17" s="11">
        <f t="shared" si="16"/>
        <v>117.47742009677734</v>
      </c>
      <c r="T17" s="13">
        <f t="shared" si="17"/>
        <v>5.4442771084337354</v>
      </c>
      <c r="U17" s="7">
        <v>30110</v>
      </c>
      <c r="V17" s="11">
        <f t="shared" si="18"/>
        <v>266.35881921038896</v>
      </c>
      <c r="W17" s="11">
        <f t="shared" si="19"/>
        <v>2.2673192771084336</v>
      </c>
      <c r="X17" s="11">
        <v>2520.2514285714001</v>
      </c>
      <c r="Y17" s="11">
        <f t="shared" si="20"/>
        <v>183.67911479944675</v>
      </c>
      <c r="Z17" s="11">
        <f t="shared" si="21"/>
        <v>462.91755147203588</v>
      </c>
      <c r="AA17" s="7">
        <v>0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18</v>
      </c>
      <c r="AF17" s="11">
        <v>34</v>
      </c>
      <c r="AG17" s="7">
        <f t="shared" si="22"/>
        <v>-17003.969999999998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51</v>
      </c>
      <c r="C18" s="7"/>
      <c r="D18" s="7">
        <v>7</v>
      </c>
      <c r="E18" s="7">
        <v>51536</v>
      </c>
      <c r="F18" s="7">
        <v>49077</v>
      </c>
      <c r="G18" s="7">
        <v>67</v>
      </c>
      <c r="H18" s="9">
        <f t="shared" si="12"/>
        <v>1.3652016219410314E-3</v>
      </c>
      <c r="I18" s="9">
        <f>IFERROR((51536-F18)/51536,0)</f>
        <v>4.7714219186588018E-2</v>
      </c>
      <c r="J18" s="7">
        <v>327202</v>
      </c>
      <c r="K18" s="11">
        <f t="shared" si="13"/>
        <v>95.244499168944415</v>
      </c>
      <c r="L18" s="11">
        <f>K18-94.8333</f>
        <v>0.41119916894442099</v>
      </c>
      <c r="M18" s="11">
        <v>93.7</v>
      </c>
      <c r="N18" s="11">
        <f t="shared" si="14"/>
        <v>1.5444991689444123</v>
      </c>
      <c r="O18" s="11">
        <f>IFERROR(9955852/51536,0)</f>
        <v>193.18247438683639</v>
      </c>
      <c r="P18" s="11">
        <v>204</v>
      </c>
      <c r="Q18" s="11">
        <f t="shared" si="15"/>
        <v>-10.81752561316361</v>
      </c>
      <c r="R18" s="7">
        <v>39470</v>
      </c>
      <c r="S18" s="11">
        <f t="shared" si="16"/>
        <v>114.89234118979213</v>
      </c>
      <c r="T18" s="13">
        <f t="shared" si="17"/>
        <v>8.2898910564986057</v>
      </c>
      <c r="U18" s="7">
        <v>69240</v>
      </c>
      <c r="V18" s="11">
        <f t="shared" si="18"/>
        <v>201.54916908997231</v>
      </c>
      <c r="W18" s="11">
        <f t="shared" si="19"/>
        <v>1.7542437294147453</v>
      </c>
      <c r="X18" s="11">
        <v>5056.2571428571</v>
      </c>
      <c r="Y18" s="11">
        <f t="shared" si="20"/>
        <v>120.62884701193757</v>
      </c>
      <c r="Z18" s="11">
        <f t="shared" si="21"/>
        <v>609.93046933872563</v>
      </c>
      <c r="AA18" s="7">
        <v>1678</v>
      </c>
      <c r="AB18" s="15">
        <f>IFERROR(AA18/1725,0)</f>
        <v>0.97275362318840575</v>
      </c>
      <c r="AC18" s="11">
        <v>62.9</v>
      </c>
      <c r="AD18" s="15">
        <f>IFERROR(AC18/62.7,0)</f>
        <v>1.0031897926634767</v>
      </c>
      <c r="AE18" s="11">
        <v>22</v>
      </c>
      <c r="AF18" s="11">
        <v>28</v>
      </c>
      <c r="AG18" s="7">
        <f t="shared" si="22"/>
        <v>5305.9569999999449</v>
      </c>
      <c r="AH18" s="7">
        <v>16</v>
      </c>
      <c r="AI18" s="7">
        <v>20</v>
      </c>
      <c r="AJ18" s="11">
        <v>10</v>
      </c>
      <c r="AK18" s="11">
        <v>10</v>
      </c>
      <c r="AL18" s="11">
        <v>0</v>
      </c>
      <c r="AM18" s="11">
        <v>0</v>
      </c>
      <c r="AN18" s="11">
        <v>0</v>
      </c>
      <c r="AO18" s="13">
        <f>IFERROR(150/F18,0)</f>
        <v>3.0564215416590255E-3</v>
      </c>
      <c r="AP18" s="11">
        <v>1.2</v>
      </c>
      <c r="AQ18" s="7"/>
      <c r="AR18" s="7"/>
      <c r="AS18" s="7">
        <v>15</v>
      </c>
      <c r="AT18" s="7"/>
    </row>
    <row r="19" spans="1:46" x14ac:dyDescent="0.3">
      <c r="A19" s="5" t="s">
        <v>61</v>
      </c>
      <c r="B19" s="5">
        <v>99</v>
      </c>
      <c r="C19" s="7">
        <v>29</v>
      </c>
      <c r="D19" s="7">
        <v>7</v>
      </c>
      <c r="E19" s="7">
        <v>51311</v>
      </c>
      <c r="F19" s="7">
        <v>39942</v>
      </c>
      <c r="G19" s="7">
        <v>77</v>
      </c>
      <c r="H19" s="9">
        <f t="shared" si="12"/>
        <v>1.927795303189625E-3</v>
      </c>
      <c r="I19" s="9">
        <f>IFERROR((51311-F19)/51311,0)</f>
        <v>0.22157042349593653</v>
      </c>
      <c r="J19" s="7">
        <v>240560</v>
      </c>
      <c r="K19" s="11">
        <f t="shared" si="13"/>
        <v>86.039042325657917</v>
      </c>
      <c r="L19" s="11">
        <f>K19-87.2053</f>
        <v>-1.1662576743420772</v>
      </c>
      <c r="M19" s="11">
        <v>75</v>
      </c>
      <c r="N19" s="11">
        <f t="shared" si="14"/>
        <v>11.039042325657917</v>
      </c>
      <c r="O19" s="11">
        <f>IFERROR(21756929/51311,0)</f>
        <v>424.0207557833603</v>
      </c>
      <c r="P19" s="11">
        <v>0</v>
      </c>
      <c r="Q19" s="11">
        <f t="shared" si="15"/>
        <v>424.0207557833603</v>
      </c>
      <c r="R19" s="7">
        <v>31830</v>
      </c>
      <c r="S19" s="11">
        <f t="shared" si="16"/>
        <v>113.84364471340585</v>
      </c>
      <c r="T19" s="13">
        <f t="shared" si="17"/>
        <v>7.5576500157084512</v>
      </c>
      <c r="U19" s="7">
        <v>54440</v>
      </c>
      <c r="V19" s="11">
        <f t="shared" si="18"/>
        <v>194.7109022368148</v>
      </c>
      <c r="W19" s="11">
        <f t="shared" si="19"/>
        <v>1.71033616085454</v>
      </c>
      <c r="X19" s="11">
        <v>5639.1185714286003</v>
      </c>
      <c r="Y19" s="11">
        <f t="shared" si="20"/>
        <v>132.3162620552045</v>
      </c>
      <c r="Z19" s="11">
        <f t="shared" si="21"/>
        <v>746.14709065751708</v>
      </c>
      <c r="AA19" s="7">
        <v>0</v>
      </c>
      <c r="AB19" s="15">
        <f>IFERROR(AA19/1725,0)</f>
        <v>0</v>
      </c>
      <c r="AC19" s="11">
        <v>0</v>
      </c>
      <c r="AD19" s="15">
        <f>IFERROR(AC19/65.55,0)</f>
        <v>0</v>
      </c>
      <c r="AE19" s="11">
        <v>22</v>
      </c>
      <c r="AF19" s="11">
        <v>28</v>
      </c>
      <c r="AG19" s="7">
        <f t="shared" si="22"/>
        <v>30864.499999999996</v>
      </c>
      <c r="AH19" s="7">
        <v>22</v>
      </c>
      <c r="AI19" s="7">
        <v>20</v>
      </c>
      <c r="AJ19" s="11">
        <v>32</v>
      </c>
      <c r="AK19" s="11">
        <v>32</v>
      </c>
      <c r="AL19" s="11">
        <v>0</v>
      </c>
      <c r="AM19" s="11">
        <v>0</v>
      </c>
      <c r="AN19" s="11">
        <v>0</v>
      </c>
      <c r="AO19" s="13">
        <f>IFERROR(200/F19,0)</f>
        <v>5.0072605277652598E-3</v>
      </c>
      <c r="AP19" s="11">
        <v>1.2</v>
      </c>
      <c r="AQ19" s="7"/>
      <c r="AR19" s="7"/>
      <c r="AS19" s="7">
        <v>15</v>
      </c>
      <c r="AT19" s="7"/>
    </row>
    <row r="20" spans="1:46" x14ac:dyDescent="0.3">
      <c r="A20" s="5" t="s">
        <v>62</v>
      </c>
      <c r="B20" s="5">
        <v>30</v>
      </c>
      <c r="C20" s="7"/>
      <c r="D20" s="7">
        <v>7</v>
      </c>
      <c r="E20" s="7">
        <v>52424</v>
      </c>
      <c r="F20" s="7">
        <v>51481</v>
      </c>
      <c r="G20" s="7">
        <v>58</v>
      </c>
      <c r="H20" s="9">
        <f t="shared" si="12"/>
        <v>1.1266292418562187E-3</v>
      </c>
      <c r="I20" s="9">
        <f>IFERROR((52424-F20)/52424,0)</f>
        <v>1.7987944452922327E-2</v>
      </c>
      <c r="J20" s="7">
        <v>335560</v>
      </c>
      <c r="K20" s="11">
        <f t="shared" si="13"/>
        <v>93.116184334303625</v>
      </c>
      <c r="L20" s="11">
        <f>K20-93.5575</f>
        <v>-0.44131566569637926</v>
      </c>
      <c r="M20" s="11">
        <v>95.95</v>
      </c>
      <c r="N20" s="11">
        <f t="shared" si="14"/>
        <v>-2.8338156656963776</v>
      </c>
      <c r="O20" s="11">
        <f>IFERROR(3187920/52424,0)</f>
        <v>60.810315885853811</v>
      </c>
      <c r="P20" s="11">
        <v>66</v>
      </c>
      <c r="Q20" s="11">
        <f t="shared" si="15"/>
        <v>-5.1896841141461891</v>
      </c>
      <c r="R20" s="7">
        <v>40848</v>
      </c>
      <c r="S20" s="11">
        <f t="shared" si="16"/>
        <v>113.35111150577052</v>
      </c>
      <c r="T20" s="13">
        <f t="shared" si="17"/>
        <v>8.2148452800626721</v>
      </c>
      <c r="U20" s="7">
        <v>64465</v>
      </c>
      <c r="V20" s="11">
        <f t="shared" si="18"/>
        <v>178.88707900556929</v>
      </c>
      <c r="W20" s="11">
        <f t="shared" si="19"/>
        <v>1.5781678417547977</v>
      </c>
      <c r="X20" s="11">
        <v>2902.4285714286002</v>
      </c>
      <c r="Y20" s="11">
        <f t="shared" si="20"/>
        <v>121.7308380021457</v>
      </c>
      <c r="Z20" s="11">
        <f t="shared" si="21"/>
        <v>353.31506224137411</v>
      </c>
      <c r="AA20" s="7">
        <v>1652</v>
      </c>
      <c r="AB20" s="15">
        <f>IFERROR(AA20/1655,0)</f>
        <v>0.99818731117824777</v>
      </c>
      <c r="AC20" s="11">
        <v>58.61</v>
      </c>
      <c r="AD20" s="15">
        <f>IFERROR(AC20/58.9,0)</f>
        <v>0.99507640067911718</v>
      </c>
      <c r="AE20" s="11">
        <v>22</v>
      </c>
      <c r="AF20" s="11">
        <v>28</v>
      </c>
      <c r="AG20" s="7">
        <f t="shared" si="22"/>
        <v>-10212.136500000066</v>
      </c>
      <c r="AH20" s="7">
        <v>20</v>
      </c>
      <c r="AI20" s="7">
        <v>20</v>
      </c>
      <c r="AJ20" s="11">
        <v>6</v>
      </c>
      <c r="AK20" s="11">
        <v>4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2</v>
      </c>
      <c r="AQ20" s="7"/>
      <c r="AR20" s="7"/>
      <c r="AS20" s="7">
        <v>14</v>
      </c>
      <c r="AT20" s="7"/>
    </row>
    <row r="21" spans="1:46" x14ac:dyDescent="0.3">
      <c r="A21" s="5" t="s">
        <v>63</v>
      </c>
      <c r="B21" s="5">
        <v>20</v>
      </c>
      <c r="C21" s="7"/>
      <c r="D21" s="7">
        <v>7</v>
      </c>
      <c r="E21" s="7">
        <v>50525</v>
      </c>
      <c r="F21" s="7">
        <v>50419</v>
      </c>
      <c r="G21" s="7">
        <v>44</v>
      </c>
      <c r="H21" s="9">
        <f t="shared" si="12"/>
        <v>8.7268688391281069E-4</v>
      </c>
      <c r="I21" s="9">
        <f>IFERROR((50525-F21)/50525,0)</f>
        <v>2.0979713013359724E-3</v>
      </c>
      <c r="J21" s="7">
        <v>63720</v>
      </c>
      <c r="K21" s="11">
        <f t="shared" si="13"/>
        <v>18.054418260689705</v>
      </c>
      <c r="L21" s="11">
        <f>K21-2.0881</f>
        <v>15.966318260689704</v>
      </c>
      <c r="M21" s="11">
        <v>42.5</v>
      </c>
      <c r="N21" s="11">
        <f t="shared" si="14"/>
        <v>-24.445581739310295</v>
      </c>
      <c r="O21" s="11">
        <f>IFERROR(71100/50525,0)</f>
        <v>1.4072241464621476</v>
      </c>
      <c r="P21" s="11">
        <v>4</v>
      </c>
      <c r="Q21" s="11">
        <f t="shared" si="15"/>
        <v>-2.5927758535378524</v>
      </c>
      <c r="R21" s="7">
        <v>27864</v>
      </c>
      <c r="S21" s="11">
        <f t="shared" si="16"/>
        <v>78.949829004371935</v>
      </c>
      <c r="T21" s="13">
        <f t="shared" si="17"/>
        <v>2.2868217054263567</v>
      </c>
      <c r="U21" s="7">
        <v>55644</v>
      </c>
      <c r="V21" s="11">
        <f t="shared" si="18"/>
        <v>157.66165249494946</v>
      </c>
      <c r="W21" s="11">
        <f t="shared" si="19"/>
        <v>1.9969853574504737</v>
      </c>
      <c r="X21" s="11">
        <v>317.45285714289997</v>
      </c>
      <c r="Y21" s="11">
        <f t="shared" si="20"/>
        <v>437.28813559322043</v>
      </c>
      <c r="Z21" s="11">
        <f t="shared" si="21"/>
        <v>138.81836803875967</v>
      </c>
      <c r="AA21" s="7">
        <v>1344</v>
      </c>
      <c r="AB21" s="15">
        <f>IFERROR(AA21/1375,0)</f>
        <v>0.97745454545454546</v>
      </c>
      <c r="AC21" s="11">
        <v>43.7</v>
      </c>
      <c r="AD21" s="15">
        <f>IFERROR(AC21/45.9,0)</f>
        <v>0.95206971677559926</v>
      </c>
      <c r="AE21" s="11">
        <v>21</v>
      </c>
      <c r="AF21" s="11">
        <v>27</v>
      </c>
      <c r="AG21" s="7">
        <f t="shared" si="22"/>
        <v>-86276.525000000009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2</v>
      </c>
      <c r="AQ21" s="7"/>
      <c r="AR21" s="7"/>
      <c r="AS21" s="7">
        <v>14</v>
      </c>
      <c r="AT21" s="7"/>
    </row>
    <row r="22" spans="1:46" x14ac:dyDescent="0.3">
      <c r="A22" s="5" t="s">
        <v>64</v>
      </c>
      <c r="B22" s="5">
        <v>39</v>
      </c>
      <c r="C22" s="7"/>
      <c r="D22" s="7">
        <v>7</v>
      </c>
      <c r="E22" s="7">
        <v>50845</v>
      </c>
      <c r="F22" s="7">
        <v>49736</v>
      </c>
      <c r="G22" s="7">
        <v>33</v>
      </c>
      <c r="H22" s="9">
        <f t="shared" si="12"/>
        <v>6.6350329741032648E-4</v>
      </c>
      <c r="I22" s="9">
        <f>IFERROR((50845-F22)/50845,0)</f>
        <v>2.181138755039827E-2</v>
      </c>
      <c r="J22" s="7">
        <v>329960</v>
      </c>
      <c r="K22" s="11">
        <f t="shared" si="13"/>
        <v>94.774696109745165</v>
      </c>
      <c r="L22" s="11">
        <f>K22-94.144</f>
        <v>0.63069610974515911</v>
      </c>
      <c r="M22" s="11">
        <v>95.35</v>
      </c>
      <c r="N22" s="11">
        <f t="shared" si="14"/>
        <v>-0.57530389025482975</v>
      </c>
      <c r="O22" s="11">
        <f>IFERROR(6136070/50845,0)</f>
        <v>120.68187629068738</v>
      </c>
      <c r="P22" s="11">
        <v>125</v>
      </c>
      <c r="Q22" s="11">
        <f t="shared" si="15"/>
        <v>-4.3181237093126157</v>
      </c>
      <c r="R22" s="7">
        <v>40347</v>
      </c>
      <c r="S22" s="11">
        <f t="shared" si="16"/>
        <v>115.88903697235691</v>
      </c>
      <c r="T22" s="13">
        <f t="shared" si="17"/>
        <v>8.1780553696681295</v>
      </c>
      <c r="U22" s="7">
        <v>66400</v>
      </c>
      <c r="V22" s="11">
        <f t="shared" si="18"/>
        <v>190.72129414738393</v>
      </c>
      <c r="W22" s="11">
        <f t="shared" si="19"/>
        <v>1.6457233499392769</v>
      </c>
      <c r="X22" s="11">
        <v>5337.3171428571004</v>
      </c>
      <c r="Y22" s="11">
        <f t="shared" si="20"/>
        <v>122.27845799490848</v>
      </c>
      <c r="Z22" s="11">
        <f t="shared" si="21"/>
        <v>652.63891005835694</v>
      </c>
      <c r="AA22" s="7">
        <v>1765</v>
      </c>
      <c r="AB22" s="15">
        <f>IFERROR(AA22/1700,0)</f>
        <v>1.0382352941176471</v>
      </c>
      <c r="AC22" s="11">
        <v>61.41</v>
      </c>
      <c r="AD22" s="15">
        <f>IFERROR(AC22/61.65,0)</f>
        <v>0.99610705596107052</v>
      </c>
      <c r="AE22" s="11">
        <v>20</v>
      </c>
      <c r="AF22" s="11">
        <v>29</v>
      </c>
      <c r="AG22" s="7">
        <f t="shared" si="22"/>
        <v>-2002.931999999995</v>
      </c>
      <c r="AH22" s="7">
        <v>15</v>
      </c>
      <c r="AI22" s="7">
        <v>13.333333333300001</v>
      </c>
      <c r="AJ22" s="11">
        <v>10</v>
      </c>
      <c r="AK22" s="11">
        <v>6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2</v>
      </c>
      <c r="AQ22" s="7"/>
      <c r="AR22" s="7"/>
      <c r="AS22" s="7">
        <v>15</v>
      </c>
      <c r="AT22" s="7"/>
    </row>
    <row r="23" spans="1:46" x14ac:dyDescent="0.3">
      <c r="A23" s="5" t="s">
        <v>65</v>
      </c>
      <c r="B23" s="5">
        <v>89</v>
      </c>
      <c r="C23" s="7"/>
      <c r="D23" s="7">
        <v>7</v>
      </c>
      <c r="E23" s="7">
        <v>20160</v>
      </c>
      <c r="F23" s="7">
        <v>15686</v>
      </c>
      <c r="G23" s="7">
        <v>44</v>
      </c>
      <c r="H23" s="9">
        <f t="shared" si="12"/>
        <v>2.8050490883590462E-3</v>
      </c>
      <c r="I23" s="9">
        <f>IFERROR((20160-F23)/20160,0)</f>
        <v>0.22192460317460316</v>
      </c>
      <c r="J23" s="7">
        <v>83745</v>
      </c>
      <c r="K23" s="11">
        <f t="shared" si="13"/>
        <v>76.26910256643778</v>
      </c>
      <c r="L23" s="11">
        <f>K23-75.4609</f>
        <v>0.80820256643778521</v>
      </c>
      <c r="M23" s="11">
        <v>73</v>
      </c>
      <c r="N23" s="11">
        <f t="shared" si="14"/>
        <v>3.2691025664377804</v>
      </c>
      <c r="O23" s="11">
        <f>IFERROR(5847914/20160,0)</f>
        <v>290.07509920634919</v>
      </c>
      <c r="P23" s="11">
        <v>409</v>
      </c>
      <c r="Q23" s="11">
        <f t="shared" si="15"/>
        <v>-118.92490079365081</v>
      </c>
      <c r="R23" s="7">
        <v>14190</v>
      </c>
      <c r="S23" s="11">
        <f t="shared" si="16"/>
        <v>129.23261871368464</v>
      </c>
      <c r="T23" s="13">
        <f t="shared" si="17"/>
        <v>5.9016913319238897</v>
      </c>
      <c r="U23" s="7">
        <v>22380</v>
      </c>
      <c r="V23" s="11">
        <f t="shared" si="18"/>
        <v>203.82142401777747</v>
      </c>
      <c r="W23" s="11">
        <f t="shared" si="19"/>
        <v>1.5771670190274842</v>
      </c>
      <c r="X23" s="11">
        <v>1025.7828571429</v>
      </c>
      <c r="Y23" s="11">
        <f t="shared" si="20"/>
        <v>169.44295181801897</v>
      </c>
      <c r="Z23" s="11">
        <f t="shared" si="21"/>
        <v>173.81167523861424</v>
      </c>
      <c r="AA23" s="7">
        <v>0</v>
      </c>
      <c r="AB23" s="15">
        <f>IFERROR(AA23/1970,0)</f>
        <v>0</v>
      </c>
      <c r="AC23" s="11">
        <v>0</v>
      </c>
      <c r="AD23" s="15">
        <f>IFERROR(AC23/65,0)</f>
        <v>0</v>
      </c>
      <c r="AE23" s="11">
        <v>23</v>
      </c>
      <c r="AF23" s="11">
        <v>25</v>
      </c>
      <c r="AG23" s="7">
        <f t="shared" si="22"/>
        <v>3589.5400000000113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30</v>
      </c>
      <c r="C24" s="7"/>
      <c r="D24" s="7">
        <v>7</v>
      </c>
      <c r="E24" s="7">
        <v>21875</v>
      </c>
      <c r="F24" s="7">
        <v>21545</v>
      </c>
      <c r="G24" s="7">
        <v>10</v>
      </c>
      <c r="H24" s="9">
        <f t="shared" si="12"/>
        <v>4.6414481318171272E-4</v>
      </c>
      <c r="I24" s="9">
        <f>IFERROR((21875-F24)/21875,0)</f>
        <v>1.5085714285714286E-2</v>
      </c>
      <c r="J24" s="7">
        <v>141480</v>
      </c>
      <c r="K24" s="11">
        <f t="shared" si="13"/>
        <v>93.810297384212447</v>
      </c>
      <c r="L24" s="11">
        <f>K24-91.2277</f>
        <v>2.5825973842124483</v>
      </c>
      <c r="M24" s="11">
        <v>95</v>
      </c>
      <c r="N24" s="11">
        <f t="shared" si="14"/>
        <v>-1.189702615787553</v>
      </c>
      <c r="O24" s="11">
        <f>IFERROR(1584330/21875,0)</f>
        <v>72.426514285714291</v>
      </c>
      <c r="P24" s="11">
        <v>71</v>
      </c>
      <c r="Q24" s="11">
        <f t="shared" si="15"/>
        <v>1.4265142857142905</v>
      </c>
      <c r="R24" s="7">
        <v>19280</v>
      </c>
      <c r="S24" s="11">
        <f t="shared" si="16"/>
        <v>127.8387428306203</v>
      </c>
      <c r="T24" s="13">
        <f t="shared" si="17"/>
        <v>7.3381742738589208</v>
      </c>
      <c r="U24" s="7">
        <v>32232</v>
      </c>
      <c r="V24" s="11">
        <f t="shared" si="18"/>
        <v>213.71879454961376</v>
      </c>
      <c r="W24" s="11">
        <f t="shared" si="19"/>
        <v>1.6717842323651451</v>
      </c>
      <c r="X24" s="11">
        <v>937.27571428570002</v>
      </c>
      <c r="Y24" s="11">
        <f t="shared" si="20"/>
        <v>136.27367825841108</v>
      </c>
      <c r="Z24" s="11">
        <f t="shared" si="21"/>
        <v>127.72600912799192</v>
      </c>
      <c r="AA24" s="7">
        <v>2014</v>
      </c>
      <c r="AB24" s="15">
        <f>IFERROR(AA24/1900,0)</f>
        <v>1.06</v>
      </c>
      <c r="AC24" s="11">
        <v>60.91</v>
      </c>
      <c r="AD24" s="15">
        <f>IFERROR(AC24/60.9,0)</f>
        <v>1.0001642036124794</v>
      </c>
      <c r="AE24" s="11">
        <v>22</v>
      </c>
      <c r="AF24" s="11">
        <v>28</v>
      </c>
      <c r="AG24" s="7">
        <f t="shared" si="22"/>
        <v>-1794.2499999999982</v>
      </c>
      <c r="AH24" s="7">
        <v>0</v>
      </c>
      <c r="AI24" s="7">
        <v>0</v>
      </c>
      <c r="AJ24" s="11">
        <v>5</v>
      </c>
      <c r="AK24" s="11">
        <v>6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2</v>
      </c>
      <c r="AQ24" s="7"/>
      <c r="AR24" s="7"/>
      <c r="AS24" s="7">
        <v>14</v>
      </c>
      <c r="AT24" s="7"/>
    </row>
    <row r="25" spans="1:46" x14ac:dyDescent="0.3">
      <c r="A25" s="5" t="s">
        <v>67</v>
      </c>
      <c r="B25" s="5">
        <v>89</v>
      </c>
      <c r="C25" s="7">
        <v>22</v>
      </c>
      <c r="D25" s="7">
        <v>7</v>
      </c>
      <c r="E25" s="7">
        <v>51833</v>
      </c>
      <c r="F25" s="7">
        <v>42585</v>
      </c>
      <c r="G25" s="7">
        <v>89</v>
      </c>
      <c r="H25" s="9">
        <f t="shared" si="12"/>
        <v>2.0899377715157918E-3</v>
      </c>
      <c r="I25" s="9">
        <f>IFERROR((51833-F25)/51833,0)</f>
        <v>0.17841915382092488</v>
      </c>
      <c r="J25" s="7">
        <v>220340</v>
      </c>
      <c r="K25" s="11">
        <f t="shared" si="13"/>
        <v>73.916033479259966</v>
      </c>
      <c r="L25" s="11">
        <f>K25-73.4518</f>
        <v>0.46423347925995984</v>
      </c>
      <c r="M25" s="11">
        <v>78</v>
      </c>
      <c r="N25" s="11">
        <f t="shared" si="14"/>
        <v>-4.0839665207400344</v>
      </c>
      <c r="O25" s="11">
        <f>IFERROR(18116958/51833,0)</f>
        <v>349.52555321899177</v>
      </c>
      <c r="P25" s="11">
        <v>0</v>
      </c>
      <c r="Q25" s="11">
        <f t="shared" si="15"/>
        <v>349.52555321899177</v>
      </c>
      <c r="R25" s="7">
        <v>35135</v>
      </c>
      <c r="S25" s="11">
        <f t="shared" si="16"/>
        <v>117.86511011590265</v>
      </c>
      <c r="T25" s="13">
        <f t="shared" si="17"/>
        <v>6.2712395047673262</v>
      </c>
      <c r="U25" s="7">
        <v>56991</v>
      </c>
      <c r="V25" s="11">
        <f t="shared" si="18"/>
        <v>191.18401851758668</v>
      </c>
      <c r="W25" s="11">
        <f t="shared" si="19"/>
        <v>1.6220577771452966</v>
      </c>
      <c r="X25" s="11">
        <v>3783.5685714286001</v>
      </c>
      <c r="Y25" s="11">
        <f t="shared" si="20"/>
        <v>159.4581101933376</v>
      </c>
      <c r="Z25" s="11">
        <f t="shared" si="21"/>
        <v>603.3206941869106</v>
      </c>
      <c r="AA25" s="7">
        <v>1796</v>
      </c>
      <c r="AB25" s="15">
        <f>IFERROR(AA25/1970,0)</f>
        <v>0.91167512690355335</v>
      </c>
      <c r="AC25" s="11">
        <v>0</v>
      </c>
      <c r="AD25" s="15">
        <f>IFERROR(AC25/65,0)</f>
        <v>0</v>
      </c>
      <c r="AE25" s="11">
        <v>22</v>
      </c>
      <c r="AF25" s="11">
        <v>29</v>
      </c>
      <c r="AG25" s="7">
        <f t="shared" si="22"/>
        <v>-12174.100000000006</v>
      </c>
      <c r="AH25" s="7">
        <v>25</v>
      </c>
      <c r="AI25" s="7">
        <v>20</v>
      </c>
      <c r="AJ25" s="11">
        <v>30</v>
      </c>
      <c r="AK25" s="11">
        <v>36</v>
      </c>
      <c r="AL25" s="11">
        <v>0</v>
      </c>
      <c r="AM25" s="11">
        <v>0</v>
      </c>
      <c r="AN25" s="11">
        <v>0</v>
      </c>
      <c r="AO25" s="13">
        <f>IFERROR(700/F25,0)</f>
        <v>1.6437712809674768E-2</v>
      </c>
      <c r="AP25" s="11">
        <v>2</v>
      </c>
      <c r="AQ25" s="7"/>
      <c r="AR25" s="7"/>
      <c r="AS25" s="7">
        <v>16</v>
      </c>
      <c r="AT25" s="7"/>
    </row>
    <row r="26" spans="1:46" x14ac:dyDescent="0.3">
      <c r="A26" s="5" t="s">
        <v>81</v>
      </c>
      <c r="B26" s="5">
        <v>88</v>
      </c>
      <c r="C26" s="7">
        <v>22</v>
      </c>
      <c r="D26" s="7">
        <v>7</v>
      </c>
      <c r="E26" s="7">
        <v>21623</v>
      </c>
      <c r="F26" s="7">
        <v>18413</v>
      </c>
      <c r="G26" s="7">
        <v>22</v>
      </c>
      <c r="H26" s="9">
        <f t="shared" si="12"/>
        <v>1.1948080160755989E-3</v>
      </c>
      <c r="I26" s="9">
        <f>IFERROR((21623-F26)/21623,0)</f>
        <v>0.14845303611894742</v>
      </c>
      <c r="J26" s="7">
        <v>97740</v>
      </c>
      <c r="K26" s="11">
        <f t="shared" si="13"/>
        <v>75.831516552746123</v>
      </c>
      <c r="L26" s="11">
        <f>K26-77.3687</f>
        <v>-1.5371834472538808</v>
      </c>
      <c r="M26" s="11">
        <v>83</v>
      </c>
      <c r="N26" s="11">
        <f t="shared" si="14"/>
        <v>-7.1684834472538768</v>
      </c>
      <c r="O26" s="11">
        <f>IFERROR(7498025/21623,0)</f>
        <v>346.76155020117466</v>
      </c>
      <c r="P26" s="11">
        <v>0</v>
      </c>
      <c r="Q26" s="11">
        <f t="shared" si="15"/>
        <v>346.76155020117466</v>
      </c>
      <c r="R26" s="7">
        <v>14375</v>
      </c>
      <c r="S26" s="11">
        <f t="shared" si="16"/>
        <v>111.52834565640734</v>
      </c>
      <c r="T26" s="13">
        <f t="shared" si="17"/>
        <v>6.7993043478260873</v>
      </c>
      <c r="U26" s="7">
        <v>28494</v>
      </c>
      <c r="V26" s="11">
        <f t="shared" si="18"/>
        <v>221.07051694842929</v>
      </c>
      <c r="W26" s="11">
        <f t="shared" si="19"/>
        <v>1.9821913043478263</v>
      </c>
      <c r="X26" s="11">
        <v>876.12571428570004</v>
      </c>
      <c r="Y26" s="11">
        <f t="shared" si="20"/>
        <v>147.07386944956005</v>
      </c>
      <c r="Z26" s="11">
        <f t="shared" si="21"/>
        <v>128.85519892425759</v>
      </c>
      <c r="AA26" s="7">
        <v>2030</v>
      </c>
      <c r="AB26" s="15">
        <f>IFERROR(AA26/1970,0)</f>
        <v>1.0304568527918783</v>
      </c>
      <c r="AC26" s="11">
        <v>65.11</v>
      </c>
      <c r="AD26" s="15">
        <f>IFERROR(AC26/65,0)</f>
        <v>1.0016923076923077</v>
      </c>
      <c r="AE26" s="11">
        <v>22</v>
      </c>
      <c r="AF26" s="11">
        <v>29</v>
      </c>
      <c r="AG26" s="7">
        <f t="shared" si="22"/>
        <v>-9239.5299999999952</v>
      </c>
      <c r="AH26" s="7">
        <v>0</v>
      </c>
      <c r="AI26" s="7">
        <v>0</v>
      </c>
      <c r="AJ26" s="11">
        <v>9</v>
      </c>
      <c r="AK26" s="11">
        <v>9</v>
      </c>
      <c r="AL26" s="11">
        <v>0</v>
      </c>
      <c r="AM26" s="11">
        <v>0</v>
      </c>
      <c r="AN26" s="11">
        <v>0</v>
      </c>
      <c r="AO26" s="13">
        <f>IFERROR(350/F26,0)</f>
        <v>1.9008309346657253E-2</v>
      </c>
      <c r="AP26" s="11">
        <v>2</v>
      </c>
      <c r="AQ26" s="7"/>
      <c r="AR26" s="7"/>
      <c r="AS26" s="7">
        <v>16</v>
      </c>
      <c r="AT26" s="7"/>
    </row>
    <row r="27" spans="1:46" x14ac:dyDescent="0.3">
      <c r="A27" s="5" t="s">
        <v>68</v>
      </c>
      <c r="B27" s="5">
        <v>20</v>
      </c>
      <c r="C27" s="7"/>
      <c r="D27" s="7">
        <v>7</v>
      </c>
      <c r="E27" s="7">
        <v>21339</v>
      </c>
      <c r="F27" s="7">
        <v>21253</v>
      </c>
      <c r="G27" s="7">
        <v>16</v>
      </c>
      <c r="H27" s="9">
        <f t="shared" si="12"/>
        <v>7.528348938973321E-4</v>
      </c>
      <c r="I27" s="9">
        <f>IFERROR((21339-F27)/21339,0)</f>
        <v>4.0301794835746751E-3</v>
      </c>
      <c r="J27" s="7">
        <v>88200</v>
      </c>
      <c r="K27" s="11">
        <f t="shared" si="13"/>
        <v>59.285747894414911</v>
      </c>
      <c r="L27" s="11">
        <f>K27-35.4273</f>
        <v>23.858447894414908</v>
      </c>
      <c r="M27" s="11">
        <v>58.5</v>
      </c>
      <c r="N27" s="11">
        <f t="shared" si="14"/>
        <v>0.78574789441491077</v>
      </c>
      <c r="O27" s="11">
        <f>IFERROR(140970/21339,0)</f>
        <v>6.6062139744130466</v>
      </c>
      <c r="P27" s="11">
        <v>7</v>
      </c>
      <c r="Q27" s="11">
        <f t="shared" si="15"/>
        <v>-0.39378602558695341</v>
      </c>
      <c r="R27" s="7">
        <v>15210</v>
      </c>
      <c r="S27" s="11">
        <f t="shared" si="16"/>
        <v>102.23766728730733</v>
      </c>
      <c r="T27" s="13">
        <f t="shared" si="17"/>
        <v>5.7988165680473376</v>
      </c>
      <c r="U27" s="7">
        <v>27823</v>
      </c>
      <c r="V27" s="11">
        <f t="shared" si="18"/>
        <v>187.01897547237027</v>
      </c>
      <c r="W27" s="11">
        <f t="shared" si="19"/>
        <v>1.8292570677186062</v>
      </c>
      <c r="X27" s="11">
        <v>1077.5485714286001</v>
      </c>
      <c r="Y27" s="11">
        <f t="shared" si="20"/>
        <v>172.44897959183672</v>
      </c>
      <c r="Z27" s="11">
        <f t="shared" si="21"/>
        <v>185.82215160350347</v>
      </c>
      <c r="AA27" s="7">
        <v>1756</v>
      </c>
      <c r="AB27" s="15">
        <f>IFERROR(AA27/1680,0)</f>
        <v>1.0452380952380953</v>
      </c>
      <c r="AC27" s="11">
        <v>51.22</v>
      </c>
      <c r="AD27" s="15">
        <f>IFERROR(AC27/51.2,0)</f>
        <v>1.0003906249999999</v>
      </c>
      <c r="AE27" s="11">
        <v>21</v>
      </c>
      <c r="AF27" s="11">
        <v>27</v>
      </c>
      <c r="AG27" s="7">
        <f t="shared" si="22"/>
        <v>1168.9650000000067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2</v>
      </c>
      <c r="AQ27" s="7"/>
      <c r="AR27" s="7"/>
      <c r="AS27" s="7">
        <v>14</v>
      </c>
      <c r="AT27" s="7"/>
    </row>
    <row r="28" spans="1:46" x14ac:dyDescent="0.3">
      <c r="A28" s="5" t="s">
        <v>70</v>
      </c>
      <c r="B28" s="5">
        <v>78</v>
      </c>
      <c r="C28" s="7">
        <v>6</v>
      </c>
      <c r="D28" s="7">
        <v>7</v>
      </c>
      <c r="E28" s="7">
        <v>47224</v>
      </c>
      <c r="F28" s="7">
        <v>38410</v>
      </c>
      <c r="G28" s="7">
        <v>167</v>
      </c>
      <c r="H28" s="9">
        <f t="shared" si="12"/>
        <v>4.3478260869565218E-3</v>
      </c>
      <c r="I28" s="9">
        <f>IFERROR((47224-F28)/47224,0)</f>
        <v>0.18664238522785023</v>
      </c>
      <c r="J28" s="7">
        <v>161960</v>
      </c>
      <c r="K28" s="11">
        <f t="shared" si="13"/>
        <v>60.237289396362556</v>
      </c>
      <c r="L28" s="11">
        <f>K28-47.5388</f>
        <v>12.698489396362554</v>
      </c>
      <c r="M28" s="11">
        <v>35</v>
      </c>
      <c r="N28" s="11">
        <f t="shared" si="14"/>
        <v>25.237289396362556</v>
      </c>
      <c r="O28" s="11">
        <f>IFERROR(13815910/47224,0)</f>
        <v>292.56119769608671</v>
      </c>
      <c r="P28" s="11">
        <v>0</v>
      </c>
      <c r="Q28" s="11">
        <f t="shared" si="15"/>
        <v>292.56119769608671</v>
      </c>
      <c r="R28" s="7">
        <v>30320</v>
      </c>
      <c r="S28" s="11">
        <f t="shared" si="16"/>
        <v>112.76825231524529</v>
      </c>
      <c r="T28" s="13">
        <f t="shared" si="17"/>
        <v>5.341688654353562</v>
      </c>
      <c r="U28" s="7">
        <v>60300</v>
      </c>
      <c r="V28" s="11">
        <f t="shared" si="18"/>
        <v>224.27195298843304</v>
      </c>
      <c r="W28" s="11">
        <f t="shared" si="19"/>
        <v>1.9887862796833768</v>
      </c>
      <c r="X28" s="11">
        <v>6353.46</v>
      </c>
      <c r="Y28" s="11">
        <f t="shared" si="20"/>
        <v>187.20671770807607</v>
      </c>
      <c r="Z28" s="11">
        <f t="shared" si="21"/>
        <v>1189.4103926895532</v>
      </c>
      <c r="AA28" s="7">
        <v>0</v>
      </c>
      <c r="AB28" s="15">
        <f>IFERROR(AA28/1580,0)</f>
        <v>0</v>
      </c>
      <c r="AC28" s="11">
        <v>0</v>
      </c>
      <c r="AD28" s="15">
        <f>IFERROR(AC28/63.5,0)</f>
        <v>0</v>
      </c>
      <c r="AE28" s="11">
        <v>17</v>
      </c>
      <c r="AF28" s="11">
        <v>35</v>
      </c>
      <c r="AG28" s="7">
        <f t="shared" si="22"/>
        <v>67855.5</v>
      </c>
      <c r="AH28" s="7">
        <v>22</v>
      </c>
      <c r="AI28" s="7">
        <v>25.4545454545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109</v>
      </c>
      <c r="C29" s="7">
        <v>36</v>
      </c>
      <c r="D29" s="7">
        <v>7</v>
      </c>
      <c r="E29" s="7">
        <v>33376</v>
      </c>
      <c r="F29" s="7">
        <v>30052</v>
      </c>
      <c r="G29" s="7">
        <v>126</v>
      </c>
      <c r="H29" s="9">
        <f t="shared" si="12"/>
        <v>4.1927325968321577E-3</v>
      </c>
      <c r="I29" s="9">
        <f>IFERROR((33376-F29)/33376,0)</f>
        <v>9.9592521572387349E-2</v>
      </c>
      <c r="J29" s="7">
        <v>145340</v>
      </c>
      <c r="K29" s="11">
        <f t="shared" si="13"/>
        <v>69.089768211290902</v>
      </c>
      <c r="L29" s="11">
        <f>K29-65.6101</f>
        <v>3.4796682112908996</v>
      </c>
      <c r="M29" s="11">
        <v>69</v>
      </c>
      <c r="N29" s="11">
        <f t="shared" si="14"/>
        <v>8.97682112909024E-2</v>
      </c>
      <c r="O29" s="11">
        <f>IFERROR(13899633/33376,0)</f>
        <v>416.45592641418983</v>
      </c>
      <c r="P29" s="11">
        <v>0</v>
      </c>
      <c r="Q29" s="11">
        <f t="shared" si="15"/>
        <v>416.45592641418983</v>
      </c>
      <c r="R29" s="7">
        <v>22730</v>
      </c>
      <c r="S29" s="11">
        <f t="shared" si="16"/>
        <v>108.05080717232987</v>
      </c>
      <c r="T29" s="13">
        <f t="shared" si="17"/>
        <v>6.3941926968763747</v>
      </c>
      <c r="U29" s="7">
        <v>39097</v>
      </c>
      <c r="V29" s="11">
        <f t="shared" si="18"/>
        <v>185.85404346751346</v>
      </c>
      <c r="W29" s="11">
        <f t="shared" si="19"/>
        <v>1.7200615926088869</v>
      </c>
      <c r="X29" s="11">
        <v>4583.4485714286002</v>
      </c>
      <c r="Y29" s="11">
        <f t="shared" si="20"/>
        <v>156.3919086280446</v>
      </c>
      <c r="Z29" s="11">
        <f t="shared" si="21"/>
        <v>716.81427018420322</v>
      </c>
      <c r="AA29" s="7">
        <v>1660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16</v>
      </c>
      <c r="AF29" s="11">
        <v>34</v>
      </c>
      <c r="AG29" s="7">
        <f t="shared" si="22"/>
        <v>188.83999999999392</v>
      </c>
      <c r="AH29" s="7">
        <v>28</v>
      </c>
      <c r="AI29" s="7">
        <v>24.285714285699999</v>
      </c>
      <c r="AJ29" s="11">
        <v>16</v>
      </c>
      <c r="AK29" s="11">
        <v>0</v>
      </c>
      <c r="AL29" s="11">
        <v>0</v>
      </c>
      <c r="AM29" s="11">
        <v>0</v>
      </c>
      <c r="AN29" s="11">
        <v>0</v>
      </c>
      <c r="AO29" s="13">
        <f>IFERROR(700/F29,0)</f>
        <v>2.3292958871289765E-2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108</v>
      </c>
      <c r="C30" s="7">
        <v>36</v>
      </c>
      <c r="D30" s="7">
        <v>7</v>
      </c>
      <c r="E30" s="7">
        <v>12390</v>
      </c>
      <c r="F30" s="7">
        <v>10212</v>
      </c>
      <c r="G30" s="7">
        <v>45</v>
      </c>
      <c r="H30" s="9">
        <f t="shared" si="12"/>
        <v>4.4065804935370153E-3</v>
      </c>
      <c r="I30" s="9">
        <f>IFERROR((12390-F30)/12390,0)</f>
        <v>0.17578692493946732</v>
      </c>
      <c r="J30" s="7">
        <v>55980</v>
      </c>
      <c r="K30" s="11">
        <f t="shared" si="13"/>
        <v>78.311230485143525</v>
      </c>
      <c r="L30" s="11">
        <f>K30-79.0819</f>
        <v>-0.77066951485647905</v>
      </c>
      <c r="M30" s="11">
        <v>69</v>
      </c>
      <c r="N30" s="11">
        <f t="shared" si="14"/>
        <v>9.3112304851435255</v>
      </c>
      <c r="O30" s="11">
        <f>IFERROR(5668668/12390,0)</f>
        <v>457.51961259079906</v>
      </c>
      <c r="P30" s="11">
        <v>0</v>
      </c>
      <c r="Q30" s="11">
        <f t="shared" si="15"/>
        <v>457.51961259079906</v>
      </c>
      <c r="R30" s="7">
        <v>12190</v>
      </c>
      <c r="S30" s="11">
        <f t="shared" si="16"/>
        <v>170.52767052767052</v>
      </c>
      <c r="T30" s="13">
        <f t="shared" si="17"/>
        <v>4.5922887612797378</v>
      </c>
      <c r="U30" s="7">
        <v>19547</v>
      </c>
      <c r="V30" s="11">
        <f t="shared" si="18"/>
        <v>273.4458060545017</v>
      </c>
      <c r="W30" s="11">
        <f t="shared" si="19"/>
        <v>1.6035274815422478</v>
      </c>
      <c r="X30" s="11">
        <v>3662.6514285714002</v>
      </c>
      <c r="Y30" s="11">
        <f t="shared" si="20"/>
        <v>217.75634155055377</v>
      </c>
      <c r="Z30" s="11">
        <f t="shared" si="21"/>
        <v>797.56557546061754</v>
      </c>
      <c r="AA30" s="7">
        <v>1994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16</v>
      </c>
      <c r="AF30" s="11">
        <v>34</v>
      </c>
      <c r="AG30" s="7">
        <f t="shared" si="22"/>
        <v>6656.0399999999972</v>
      </c>
      <c r="AH30" s="7">
        <v>0</v>
      </c>
      <c r="AI30" s="7">
        <v>0</v>
      </c>
      <c r="AJ30" s="11">
        <v>8</v>
      </c>
      <c r="AK30" s="11">
        <v>0</v>
      </c>
      <c r="AL30" s="11">
        <v>0</v>
      </c>
      <c r="AM30" s="11">
        <v>0</v>
      </c>
      <c r="AN30" s="11">
        <v>0</v>
      </c>
      <c r="AO30" s="13">
        <f>IFERROR(350/F30,0)</f>
        <v>3.4273403838621229E-2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591557</v>
      </c>
      <c r="F31" s="17">
        <f>SUM(F14:F30)</f>
        <v>533125</v>
      </c>
      <c r="G31" s="17">
        <f>SUM(G14:G30)</f>
        <v>1163</v>
      </c>
      <c r="H31" s="18">
        <f t="shared" si="12"/>
        <v>2.1814771395076201E-3</v>
      </c>
      <c r="I31" s="18"/>
      <c r="J31" s="17">
        <f>SUM(J14:J30)</f>
        <v>2813817</v>
      </c>
      <c r="K31" s="19">
        <f t="shared" si="13"/>
        <v>75.399551163959146</v>
      </c>
      <c r="L31" s="19"/>
      <c r="M31" s="19">
        <f>IFERROR(SUMPRODUCT($F14:$F30,M14:M30)/$F31, 0)</f>
        <v>76.34659066822978</v>
      </c>
      <c r="N31" s="19">
        <f t="shared" si="14"/>
        <v>-0.94703950427063432</v>
      </c>
      <c r="O31" s="19">
        <f>IFERROR(SUMPRODUCT($E14:$E30,O14:O30)/$E31, 0)</f>
        <v>214.89755002476517</v>
      </c>
      <c r="P31" s="19">
        <f>IFERROR(SUMPRODUCT($E14:$E30,P14:P30)/$E31, 0)</f>
        <v>75.86955441318419</v>
      </c>
      <c r="Q31" s="19">
        <f>IFERROR(SUMPRODUCT($E14:$E30,Q14:Q30)/$E31, 0)</f>
        <v>139.02799561158096</v>
      </c>
      <c r="R31" s="17">
        <f>SUM(R14:R30)</f>
        <v>418549</v>
      </c>
      <c r="S31" s="19">
        <f>IFERROR(R31/D31/$F31*1000,0)</f>
        <v>112.15514989114051</v>
      </c>
      <c r="T31" s="20">
        <f t="shared" si="17"/>
        <v>6.7227899242382616</v>
      </c>
      <c r="U31" s="17">
        <f>SUM(U14:U30)</f>
        <v>726033</v>
      </c>
      <c r="V31" s="19">
        <f>IFERROR(U31/D31/$F31*1000,0)</f>
        <v>194.54912075029307</v>
      </c>
      <c r="W31" s="19">
        <f t="shared" si="19"/>
        <v>1.734642777787069</v>
      </c>
      <c r="X31" s="19">
        <f>IFERROR(SUMPRODUCT(R14:R30,X14:X30)/R31,0)</f>
        <v>3337.4210304511253</v>
      </c>
      <c r="Y31" s="19">
        <f>IFERROR(($F31*S31)/($F31*K31)*100,0)</f>
        <v>148.7477686004456</v>
      </c>
      <c r="Z31" s="19">
        <f t="shared" si="21"/>
        <v>496.43393115980467</v>
      </c>
      <c r="AA31" s="17"/>
      <c r="AB31" s="21">
        <f>IFERROR(SUMPRODUCT($F14:$F30,AB14:AB30)/$F31,0)</f>
        <v>0.66804892816884465</v>
      </c>
      <c r="AC31" s="19"/>
      <c r="AD31" s="21">
        <f>AVERAGE(AD14:AD30)</f>
        <v>0.40874647661082653</v>
      </c>
      <c r="AE31" s="19"/>
      <c r="AF31" s="19"/>
      <c r="AG31" s="17">
        <f>SUM(AG14:AG30)</f>
        <v>-35342.330500000156</v>
      </c>
      <c r="AH31" s="17">
        <f>SUM(AH14:AH30)</f>
        <v>223</v>
      </c>
      <c r="AI31" s="17">
        <f>IFERROR(SUMPRODUCT(AH14:AH30,AI14:AI30)/AH31, 0)</f>
        <v>14.798206278029596</v>
      </c>
      <c r="AJ31" s="19">
        <f>AVERAGE(AJ14:AJ30)</f>
        <v>8.4705882352941178</v>
      </c>
      <c r="AK31" s="19">
        <f>AVERAGE(AK14:AK30)</f>
        <v>6.7647058823529411</v>
      </c>
      <c r="AL31" s="19">
        <f>AVERAGE(AL14:AL30)</f>
        <v>1.0588235294117647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637762</v>
      </c>
      <c r="F33" s="23">
        <f>F12+F31</f>
        <v>573605</v>
      </c>
      <c r="G33" s="23">
        <f>G12+G31</f>
        <v>1350</v>
      </c>
      <c r="H33" s="24">
        <f>IFERROR(G33/F33,0)</f>
        <v>2.3535359698747395E-3</v>
      </c>
      <c r="I33" s="23"/>
      <c r="J33" s="23">
        <f>J12+J31</f>
        <v>3021417</v>
      </c>
      <c r="K33" s="25">
        <f>IFERROR(J33/D33/F33*100,0)</f>
        <v>75.248821052815089</v>
      </c>
      <c r="L33" s="23"/>
      <c r="M33" s="25">
        <f>IFERROR($F$12/$F33*M$12,0)+IFERROR($F$31/$F33*M$31,0)</f>
        <v>76.943504066387149</v>
      </c>
      <c r="N33" s="25">
        <f>K33-M33</f>
        <v>-1.6946830135720603</v>
      </c>
      <c r="O33" s="23">
        <f>IFERROR($E$12/$E33*O$12,0)+IFERROR($E$31/$E33*O$31,0)</f>
        <v>215.40348280393005</v>
      </c>
      <c r="P33" s="23">
        <f>IFERROR($E$12/$E33*P$12,0)+IFERROR($E$31/$E33*P$31,0)</f>
        <v>88.576843712858405</v>
      </c>
      <c r="Q33" s="23">
        <f>IFERROR($E$12/$E33*Q$12,0)+IFERROR($E$31/$E33*Q$31,0)</f>
        <v>126.82663909107161</v>
      </c>
      <c r="R33" s="23">
        <f>R12+R31</f>
        <v>452139</v>
      </c>
      <c r="S33" s="25">
        <f>IFERROR(R33/D33/$F33*1000,0)</f>
        <v>112.60586242150211</v>
      </c>
      <c r="T33" s="26">
        <f>IFERROR(J33/R33,0)</f>
        <v>6.6824958696330112</v>
      </c>
      <c r="U33" s="23">
        <f>U12+U31</f>
        <v>740433</v>
      </c>
      <c r="V33" s="25">
        <f>IFERROR(U33/D33/$F33*1000,0)</f>
        <v>184.40589405103313</v>
      </c>
      <c r="W33" s="25">
        <f>IFERROR(V33/S33,0)</f>
        <v>1.6376225010450325</v>
      </c>
      <c r="X33" s="25">
        <f>IFERROR($F$12/$F33*X$12,0)+IFERROR($F$31/$F33*X$31,0)</f>
        <v>3127.8290597080222</v>
      </c>
      <c r="Y33" s="25">
        <f>IFERROR(($F33*S33)/($F33*K33)*100,0)</f>
        <v>149.64468658248762</v>
      </c>
      <c r="Z33" s="25">
        <f>IFERROR(Y33*X33/1000,0)</f>
        <v>468.06299932360395</v>
      </c>
      <c r="AA33" s="23"/>
      <c r="AB33" s="27"/>
      <c r="AC33" s="23"/>
      <c r="AD33" s="27"/>
      <c r="AE33" s="23"/>
      <c r="AF33" s="23"/>
      <c r="AG33" s="23">
        <f>AG12+AG31</f>
        <v>-68045.505500000174</v>
      </c>
      <c r="AH33" s="23">
        <f>AH12+AH31</f>
        <v>223</v>
      </c>
      <c r="AI33" s="23">
        <f>IFERROR(AH$12/AH33*AI$12,0)+IFERROR(AH$31/AH33*AI$31,0)</f>
        <v>14.798206278029596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61</v>
      </c>
      <c r="T36" s="32" t="s">
        <v>70</v>
      </c>
      <c r="U36" s="32" t="s">
        <v>71</v>
      </c>
      <c r="V36" s="32" t="s">
        <v>72</v>
      </c>
      <c r="W36" s="32" t="s">
        <v>62</v>
      </c>
      <c r="X36" s="32" t="s">
        <v>66</v>
      </c>
      <c r="Y36" s="32" t="s">
        <v>67</v>
      </c>
      <c r="Z36" s="32" t="s">
        <v>81</v>
      </c>
      <c r="AA36" s="32" t="s">
        <v>63</v>
      </c>
      <c r="AB36" s="32" t="s">
        <v>68</v>
      </c>
      <c r="AC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>
        <v>2.5000000000000001E-3</v>
      </c>
      <c r="T37" s="8">
        <v>5.3E-3</v>
      </c>
      <c r="U37" s="8">
        <v>6.3E-3</v>
      </c>
      <c r="V37" s="8">
        <v>2.7000000000000001E-3</v>
      </c>
      <c r="W37" s="8">
        <v>1.5E-3</v>
      </c>
      <c r="X37" s="8">
        <v>1.4E-3</v>
      </c>
      <c r="Y37" s="8">
        <v>2.8E-3</v>
      </c>
      <c r="Z37" s="8">
        <v>1.6999999999999999E-3</v>
      </c>
      <c r="AA37" s="8"/>
      <c r="AB37" s="8"/>
      <c r="AC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>
        <v>2.5000000000000001E-3</v>
      </c>
      <c r="T38" s="9">
        <v>5.7999999999999996E-3</v>
      </c>
      <c r="U38" s="9">
        <v>3.5999999999999999E-3</v>
      </c>
      <c r="V38" s="9">
        <v>2.3E-3</v>
      </c>
      <c r="W38" s="9">
        <v>1.5E-3</v>
      </c>
      <c r="X38" s="9">
        <v>1E-3</v>
      </c>
      <c r="Y38" s="9">
        <v>3.0000000000000001E-3</v>
      </c>
      <c r="Z38" s="9">
        <v>1.8E-3</v>
      </c>
      <c r="AA38" s="9"/>
      <c r="AB38" s="9"/>
      <c r="AC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>
        <v>2.5000000000000001E-3</v>
      </c>
      <c r="T39" s="9">
        <v>5.4999999999999997E-3</v>
      </c>
      <c r="U39" s="9">
        <v>3.5000000000000001E-3</v>
      </c>
      <c r="V39" s="9">
        <v>2.5000000000000001E-3</v>
      </c>
      <c r="W39" s="9">
        <v>1.6999999999999999E-3</v>
      </c>
      <c r="X39" s="9">
        <v>6.9999999999999999E-4</v>
      </c>
      <c r="Y39" s="9">
        <v>2.8E-3</v>
      </c>
      <c r="Z39" s="9">
        <v>1.4E-3</v>
      </c>
      <c r="AA39" s="9"/>
      <c r="AB39" s="9"/>
      <c r="AC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>
        <v>2.5999999999999999E-3</v>
      </c>
      <c r="T40" s="9">
        <v>3.2000000000000002E-3</v>
      </c>
      <c r="U40" s="9">
        <v>3.7000000000000002E-3</v>
      </c>
      <c r="V40" s="9">
        <v>2.5000000000000001E-3</v>
      </c>
      <c r="W40" s="9">
        <v>1.6000000000000001E-3</v>
      </c>
      <c r="X40" s="9">
        <v>8.9999999999999998E-4</v>
      </c>
      <c r="Y40" s="9">
        <v>3.5000000000000001E-3</v>
      </c>
      <c r="Z40" s="9">
        <v>1.6000000000000001E-3</v>
      </c>
      <c r="AA40" s="9"/>
      <c r="AB40" s="9"/>
      <c r="AC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>
        <v>2.3E-3</v>
      </c>
      <c r="T41" s="9">
        <v>2.2000000000000001E-3</v>
      </c>
      <c r="U41" s="9">
        <v>4.4000000000000003E-3</v>
      </c>
      <c r="V41" s="9">
        <v>2.3E-3</v>
      </c>
      <c r="W41" s="9">
        <v>1.6000000000000001E-3</v>
      </c>
      <c r="X41" s="9">
        <v>8.9999999999999998E-4</v>
      </c>
      <c r="Y41" s="9">
        <v>3.0999999999999999E-3</v>
      </c>
      <c r="Z41" s="9">
        <v>1.5E-3</v>
      </c>
      <c r="AA41" s="9"/>
      <c r="AB41" s="9"/>
      <c r="AC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>
        <v>1.6999999999999999E-3</v>
      </c>
      <c r="T42" s="9">
        <v>3.0000000000000001E-3</v>
      </c>
      <c r="U42" s="9">
        <v>3.5999999999999999E-3</v>
      </c>
      <c r="V42" s="9">
        <v>1.8E-3</v>
      </c>
      <c r="W42" s="9">
        <v>8.9999999999999998E-4</v>
      </c>
      <c r="X42" s="9">
        <v>5.9999999999999995E-4</v>
      </c>
      <c r="Y42" s="9">
        <v>1.6999999999999999E-3</v>
      </c>
      <c r="Z42" s="9">
        <v>1E-3</v>
      </c>
      <c r="AA42" s="9">
        <v>0</v>
      </c>
      <c r="AB42" s="9">
        <v>0</v>
      </c>
      <c r="AC42" s="9">
        <v>5.0000000000000001E-4</v>
      </c>
    </row>
    <row r="43" spans="1:46" ht="15" thickBot="1" x14ac:dyDescent="0.35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>
        <v>1.9E-3</v>
      </c>
      <c r="T43" s="9">
        <v>4.3E-3</v>
      </c>
      <c r="U43" s="9">
        <v>4.1999999999999997E-3</v>
      </c>
      <c r="V43" s="9">
        <v>4.4000000000000003E-3</v>
      </c>
      <c r="W43" s="9">
        <v>1.1000000000000001E-3</v>
      </c>
      <c r="X43" s="9">
        <v>5.0000000000000001E-4</v>
      </c>
      <c r="Y43" s="9">
        <v>2.0999999999999999E-3</v>
      </c>
      <c r="Z43" s="9">
        <v>1.1999999999999999E-3</v>
      </c>
      <c r="AA43" s="9">
        <v>8.9999999999999998E-4</v>
      </c>
      <c r="AB43" s="9">
        <v>8.0000000000000004E-4</v>
      </c>
      <c r="AC43" s="9">
        <v>6.9999999999999999E-4</v>
      </c>
    </row>
    <row r="44" spans="1:46" ht="15" thickBot="1" x14ac:dyDescent="0.35">
      <c r="B44" s="22" t="s">
        <v>82</v>
      </c>
      <c r="C44" s="22"/>
      <c r="D44" s="24">
        <f t="shared" ref="D44:AC44" si="23">AVERAGE(D37:D43)</f>
        <v>2.5714285714285717E-3</v>
      </c>
      <c r="E44" s="24">
        <f t="shared" si="23"/>
        <v>4.671428571428572E-3</v>
      </c>
      <c r="F44" s="24">
        <f t="shared" si="23"/>
        <v>2.3857142857142857E-3</v>
      </c>
      <c r="G44" s="24">
        <f t="shared" si="23"/>
        <v>6.1285714285714285E-3</v>
      </c>
      <c r="H44" s="24">
        <f t="shared" si="23"/>
        <v>5.0142857142857142E-3</v>
      </c>
      <c r="I44" s="24">
        <f t="shared" si="23"/>
        <v>4.2142857142857147E-3</v>
      </c>
      <c r="J44" s="24">
        <f t="shared" si="23"/>
        <v>3.0571428571428568E-3</v>
      </c>
      <c r="K44" s="24">
        <f t="shared" si="23"/>
        <v>3.6999999999999997E-3</v>
      </c>
      <c r="L44" s="24">
        <f t="shared" si="23"/>
        <v>2.4000000000000002E-3</v>
      </c>
      <c r="M44" s="24">
        <f t="shared" si="23"/>
        <v>3.5285714285714287E-3</v>
      </c>
      <c r="N44" s="24">
        <f t="shared" si="23"/>
        <v>2.2428571428571428E-3</v>
      </c>
      <c r="O44" s="24">
        <f t="shared" si="23"/>
        <v>7.0285714285714283E-3</v>
      </c>
      <c r="P44" s="24">
        <f t="shared" si="23"/>
        <v>2.657142857142857E-3</v>
      </c>
      <c r="Q44" s="24">
        <f t="shared" si="23"/>
        <v>3.9714285714285711E-3</v>
      </c>
      <c r="R44" s="24">
        <f t="shared" si="23"/>
        <v>1.6428571428571427E-3</v>
      </c>
      <c r="S44" s="24">
        <f t="shared" si="23"/>
        <v>2.2857142857142859E-3</v>
      </c>
      <c r="T44" s="24">
        <f t="shared" si="23"/>
        <v>4.1857142857142857E-3</v>
      </c>
      <c r="U44" s="24">
        <f t="shared" si="23"/>
        <v>4.1857142857142848E-3</v>
      </c>
      <c r="V44" s="24">
        <f t="shared" si="23"/>
        <v>2.6428571428571425E-3</v>
      </c>
      <c r="W44" s="24">
        <f t="shared" si="23"/>
        <v>1.4142857142857145E-3</v>
      </c>
      <c r="X44" s="24">
        <f t="shared" si="23"/>
        <v>8.5714285714285721E-4</v>
      </c>
      <c r="Y44" s="24">
        <f t="shared" si="23"/>
        <v>2.7142857142857142E-3</v>
      </c>
      <c r="Z44" s="24">
        <f t="shared" si="23"/>
        <v>1.4571428571428572E-3</v>
      </c>
      <c r="AA44" s="24">
        <f t="shared" si="23"/>
        <v>4.4999999999999999E-4</v>
      </c>
      <c r="AB44" s="24">
        <f t="shared" si="23"/>
        <v>4.0000000000000002E-4</v>
      </c>
      <c r="AC44" s="24">
        <f t="shared" si="23"/>
        <v>8.9999999999999987E-4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45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5.44140625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45704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110</v>
      </c>
      <c r="C6" s="7">
        <v>40</v>
      </c>
      <c r="D6" s="7">
        <v>7</v>
      </c>
      <c r="E6" s="7">
        <v>1197</v>
      </c>
      <c r="F6" s="7">
        <v>1097</v>
      </c>
      <c r="G6" s="7">
        <v>3</v>
      </c>
      <c r="H6" s="9">
        <f t="shared" ref="H6:H12" si="0">IFERROR(G6/F6,0)</f>
        <v>2.7347310847766638E-3</v>
      </c>
      <c r="I6" s="9">
        <f>IFERROR((1197-F6)/1197,0)</f>
        <v>8.3542188805346695E-2</v>
      </c>
      <c r="J6" s="7">
        <v>4500</v>
      </c>
      <c r="K6" s="11">
        <f t="shared" ref="K6:K12" si="1">IFERROR(J6/D6/F6*100,0)</f>
        <v>58.60138038807137</v>
      </c>
      <c r="L6" s="11">
        <f>K6-60.7792</f>
        <v>-2.1778196119286335</v>
      </c>
      <c r="M6" s="11">
        <v>66</v>
      </c>
      <c r="N6" s="11">
        <f t="shared" ref="N6:N12" si="2">K6-M6</f>
        <v>-7.3986196119286305</v>
      </c>
      <c r="O6" s="11">
        <f>IFERROR(98030/1197,0)</f>
        <v>81.896407685881371</v>
      </c>
      <c r="P6" s="11">
        <v>0</v>
      </c>
      <c r="Q6" s="11">
        <f t="shared" ref="Q6:Q11" si="3">IFERROR(O6-P6,0)</f>
        <v>81.896407685881371</v>
      </c>
      <c r="R6" s="7">
        <v>849</v>
      </c>
      <c r="S6" s="11">
        <f t="shared" ref="S6:S11" si="4">IFERROR(R6/D6/F6*1000,0)</f>
        <v>110.56127099882798</v>
      </c>
      <c r="T6" s="13">
        <f t="shared" ref="T6:T12" si="5">IFERROR(J6/R6,0)</f>
        <v>5.3003533568904597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188.66666666666669</v>
      </c>
      <c r="Z6" s="11">
        <f t="shared" ref="Z6:Z12" si="9">IFERROR(Y6*X6/1000,0)</f>
        <v>56.01136000000001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11</v>
      </c>
      <c r="AF6" s="11">
        <v>32</v>
      </c>
      <c r="AG6" s="7">
        <f t="shared" ref="AG6:AG11" si="10">IF(M6=0,0,IFERROR(N6/100*7*F6,0))</f>
        <v>-568.13999999999965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70</v>
      </c>
      <c r="C7" s="7"/>
      <c r="D7" s="7">
        <v>7</v>
      </c>
      <c r="E7" s="7">
        <v>14440</v>
      </c>
      <c r="F7" s="7">
        <v>12108</v>
      </c>
      <c r="G7" s="7">
        <v>80</v>
      </c>
      <c r="H7" s="9">
        <f t="shared" si="0"/>
        <v>6.6072018500165182E-3</v>
      </c>
      <c r="I7" s="9">
        <f>IFERROR((14440-F7)/14440,0)</f>
        <v>0.16149584487534627</v>
      </c>
      <c r="J7" s="7">
        <v>59190</v>
      </c>
      <c r="K7" s="11">
        <f t="shared" si="1"/>
        <v>69.835763839728159</v>
      </c>
      <c r="L7" s="11">
        <f>K7-71.0652</f>
        <v>-1.2294361602718453</v>
      </c>
      <c r="M7" s="11">
        <v>81</v>
      </c>
      <c r="N7" s="11">
        <f t="shared" si="2"/>
        <v>-11.164236160271841</v>
      </c>
      <c r="O7" s="11">
        <f>IFERROR(4063210/14440,0)</f>
        <v>281.38573407202216</v>
      </c>
      <c r="P7" s="11">
        <v>314</v>
      </c>
      <c r="Q7" s="11">
        <f t="shared" si="3"/>
        <v>-32.61426592797784</v>
      </c>
      <c r="R7" s="7">
        <v>9940</v>
      </c>
      <c r="S7" s="11">
        <f t="shared" si="4"/>
        <v>117.2778328377932</v>
      </c>
      <c r="T7" s="13">
        <f t="shared" si="5"/>
        <v>5.9547283702213276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167.93377259672241</v>
      </c>
      <c r="Z7" s="11">
        <f t="shared" si="9"/>
        <v>62.664487244466962</v>
      </c>
      <c r="AA7" s="7">
        <v>0</v>
      </c>
      <c r="AB7" s="15">
        <f>IFERROR(AA7/1970,0)</f>
        <v>0</v>
      </c>
      <c r="AC7" s="11">
        <v>0</v>
      </c>
      <c r="AD7" s="15">
        <f>IFERROR(AC7/64.2,0)</f>
        <v>0</v>
      </c>
      <c r="AE7" s="11">
        <v>11</v>
      </c>
      <c r="AF7" s="11">
        <v>32</v>
      </c>
      <c r="AG7" s="7">
        <f t="shared" si="10"/>
        <v>-9462.36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70</v>
      </c>
      <c r="C8" s="7"/>
      <c r="D8" s="7">
        <v>7</v>
      </c>
      <c r="E8" s="7">
        <v>16063</v>
      </c>
      <c r="F8" s="7">
        <v>13774</v>
      </c>
      <c r="G8" s="7">
        <v>52</v>
      </c>
      <c r="H8" s="9">
        <f t="shared" si="0"/>
        <v>3.7752286917380573E-3</v>
      </c>
      <c r="I8" s="9">
        <f>IFERROR((16063-F8)/16063,0)</f>
        <v>0.14250140073460749</v>
      </c>
      <c r="J8" s="7">
        <v>61710</v>
      </c>
      <c r="K8" s="11">
        <f t="shared" si="1"/>
        <v>64.002572133833937</v>
      </c>
      <c r="L8" s="11">
        <f>K8-66.7066</f>
        <v>-2.7040278661660579</v>
      </c>
      <c r="M8" s="11">
        <v>83</v>
      </c>
      <c r="N8" s="11">
        <f t="shared" si="2"/>
        <v>-18.997427866166063</v>
      </c>
      <c r="O8" s="11">
        <f>IFERROR(4213440/16063,0)</f>
        <v>262.30716553570318</v>
      </c>
      <c r="P8" s="11">
        <v>314</v>
      </c>
      <c r="Q8" s="11">
        <f t="shared" si="3"/>
        <v>-51.692834464296823</v>
      </c>
      <c r="R8" s="7">
        <v>10565</v>
      </c>
      <c r="S8" s="11">
        <f t="shared" si="4"/>
        <v>109.57497562695761</v>
      </c>
      <c r="T8" s="13">
        <f t="shared" si="5"/>
        <v>5.8409843823946996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171.20401879760166</v>
      </c>
      <c r="Z8" s="11">
        <f t="shared" si="9"/>
        <v>63.345486955112619</v>
      </c>
      <c r="AA8" s="7">
        <v>0</v>
      </c>
      <c r="AB8" s="15">
        <f>IFERROR(AA8/1580,0)</f>
        <v>0</v>
      </c>
      <c r="AC8" s="11">
        <v>0</v>
      </c>
      <c r="AD8" s="15">
        <f>IFERROR(AC8/63.3,0)</f>
        <v>0</v>
      </c>
      <c r="AE8" s="11">
        <v>11</v>
      </c>
      <c r="AF8" s="11">
        <v>32</v>
      </c>
      <c r="AG8" s="7">
        <f t="shared" si="10"/>
        <v>-18316.939999999995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31</v>
      </c>
      <c r="C9" s="7"/>
      <c r="D9" s="7">
        <v>7</v>
      </c>
      <c r="E9" s="7">
        <v>4686</v>
      </c>
      <c r="F9" s="7">
        <v>4331</v>
      </c>
      <c r="G9" s="7">
        <v>14</v>
      </c>
      <c r="H9" s="9">
        <f t="shared" si="0"/>
        <v>3.2325098129762178E-3</v>
      </c>
      <c r="I9" s="9">
        <f>IFERROR((4686-F9)/4686,0)</f>
        <v>7.575757575757576E-2</v>
      </c>
      <c r="J9" s="7">
        <v>29970</v>
      </c>
      <c r="K9" s="11">
        <f t="shared" si="1"/>
        <v>98.855427647854341</v>
      </c>
      <c r="L9" s="11">
        <f>K9-96.8601</f>
        <v>1.9953276478543387</v>
      </c>
      <c r="M9" s="11">
        <v>95</v>
      </c>
      <c r="N9" s="11">
        <f t="shared" si="2"/>
        <v>3.8554276478543414</v>
      </c>
      <c r="O9" s="11">
        <f>IFERROR(312540/4686,0)</f>
        <v>66.69654289372599</v>
      </c>
      <c r="P9" s="11">
        <v>78</v>
      </c>
      <c r="Q9" s="11">
        <f t="shared" si="3"/>
        <v>-11.30345710627401</v>
      </c>
      <c r="R9" s="7">
        <v>5090</v>
      </c>
      <c r="S9" s="11">
        <f t="shared" si="4"/>
        <v>167.89260151070357</v>
      </c>
      <c r="T9" s="13">
        <f t="shared" si="5"/>
        <v>5.8880157170923377</v>
      </c>
      <c r="U9" s="7">
        <v>5040</v>
      </c>
      <c r="V9" s="11">
        <f t="shared" si="6"/>
        <v>166.2433618102055</v>
      </c>
      <c r="W9" s="11">
        <f t="shared" si="7"/>
        <v>0.99017681728880158</v>
      </c>
      <c r="X9" s="11">
        <v>362.76</v>
      </c>
      <c r="Y9" s="11">
        <f t="shared" si="8"/>
        <v>169.8365031698365</v>
      </c>
      <c r="Z9" s="11">
        <f t="shared" si="9"/>
        <v>61.609889889889892</v>
      </c>
      <c r="AA9" s="7">
        <v>0</v>
      </c>
      <c r="AB9" s="15">
        <f>IFERROR(AA9/1900,0)</f>
        <v>0</v>
      </c>
      <c r="AC9" s="11">
        <v>0</v>
      </c>
      <c r="AD9" s="15">
        <f>IFERROR(AC9/61.1,0)</f>
        <v>0</v>
      </c>
      <c r="AE9" s="11">
        <v>17</v>
      </c>
      <c r="AF9" s="11">
        <v>33</v>
      </c>
      <c r="AG9" s="7">
        <f t="shared" si="10"/>
        <v>1168.8500000000006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70</v>
      </c>
      <c r="C10" s="7">
        <v>2</v>
      </c>
      <c r="D10" s="7">
        <v>7</v>
      </c>
      <c r="E10" s="7">
        <v>5000</v>
      </c>
      <c r="F10" s="7">
        <v>4305</v>
      </c>
      <c r="G10" s="7">
        <v>18</v>
      </c>
      <c r="H10" s="9">
        <f t="shared" si="0"/>
        <v>4.181184668989547E-3</v>
      </c>
      <c r="I10" s="9">
        <f>IFERROR((5000-F10)/5000,0)</f>
        <v>0.13900000000000001</v>
      </c>
      <c r="J10" s="7">
        <v>0</v>
      </c>
      <c r="K10" s="11">
        <f t="shared" si="1"/>
        <v>0</v>
      </c>
      <c r="L10" s="11">
        <f>K10-59.5816</f>
        <v>-59.581600000000002</v>
      </c>
      <c r="M10" s="11">
        <v>0</v>
      </c>
      <c r="N10" s="11">
        <f t="shared" si="2"/>
        <v>0</v>
      </c>
      <c r="O10" s="11">
        <f>IFERROR(1413400/5000,0)</f>
        <v>282.68</v>
      </c>
      <c r="P10" s="11">
        <v>0</v>
      </c>
      <c r="Q10" s="11">
        <f t="shared" si="3"/>
        <v>282.68</v>
      </c>
      <c r="R10" s="7">
        <v>2660</v>
      </c>
      <c r="S10" s="11">
        <f t="shared" si="4"/>
        <v>88.269454123112652</v>
      </c>
      <c r="T10" s="13">
        <f t="shared" si="5"/>
        <v>0</v>
      </c>
      <c r="U10" s="7">
        <v>5040</v>
      </c>
      <c r="V10" s="11">
        <f t="shared" si="6"/>
        <v>167.2473867595819</v>
      </c>
      <c r="W10" s="11">
        <f t="shared" si="7"/>
        <v>1.8947368421052635</v>
      </c>
      <c r="X10" s="11">
        <v>374.81</v>
      </c>
      <c r="Y10" s="11">
        <f t="shared" si="8"/>
        <v>0</v>
      </c>
      <c r="Z10" s="11">
        <f t="shared" si="9"/>
        <v>0</v>
      </c>
      <c r="AA10" s="7">
        <v>0</v>
      </c>
      <c r="AB10" s="15">
        <f>IFERROR(AA10/1970,0)</f>
        <v>0</v>
      </c>
      <c r="AC10" s="11">
        <v>0</v>
      </c>
      <c r="AD10" s="15">
        <f>IFERROR(AC10/64.2,0)</f>
        <v>0</v>
      </c>
      <c r="AE10" s="11">
        <v>18</v>
      </c>
      <c r="AF10" s="11">
        <v>33</v>
      </c>
      <c r="AG10" s="7">
        <f t="shared" si="10"/>
        <v>0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31</v>
      </c>
      <c r="C11" s="7"/>
      <c r="D11" s="7">
        <v>7</v>
      </c>
      <c r="E11" s="7">
        <v>4819</v>
      </c>
      <c r="F11" s="7">
        <v>4688</v>
      </c>
      <c r="G11" s="7">
        <v>10</v>
      </c>
      <c r="H11" s="9">
        <f t="shared" si="0"/>
        <v>2.1331058020477816E-3</v>
      </c>
      <c r="I11" s="9">
        <f>IFERROR((4819-F11)/4819,0)</f>
        <v>2.7184063083627308E-2</v>
      </c>
      <c r="J11" s="7">
        <v>30660</v>
      </c>
      <c r="K11" s="11">
        <f t="shared" si="1"/>
        <v>93.430034129692828</v>
      </c>
      <c r="L11" s="11">
        <f>K11-91.954</f>
        <v>1.4760341296928345</v>
      </c>
      <c r="M11" s="11">
        <v>95</v>
      </c>
      <c r="N11" s="11">
        <f t="shared" si="2"/>
        <v>-1.5699658703071719</v>
      </c>
      <c r="O11" s="11">
        <f>IFERROR(337416/4819,0)</f>
        <v>70.017846026146501</v>
      </c>
      <c r="P11" s="11">
        <v>78</v>
      </c>
      <c r="Q11" s="11">
        <f t="shared" si="3"/>
        <v>-7.9821539738534995</v>
      </c>
      <c r="R11" s="7">
        <v>4992</v>
      </c>
      <c r="S11" s="11">
        <f t="shared" si="4"/>
        <v>152.12091662603609</v>
      </c>
      <c r="T11" s="13">
        <f t="shared" si="5"/>
        <v>6.1418269230769234</v>
      </c>
      <c r="U11" s="7">
        <v>5040</v>
      </c>
      <c r="V11" s="11">
        <f t="shared" si="6"/>
        <v>153.58361774744029</v>
      </c>
      <c r="W11" s="11">
        <f t="shared" si="7"/>
        <v>1.0096153846153846</v>
      </c>
      <c r="X11" s="11">
        <v>362.76</v>
      </c>
      <c r="Y11" s="11">
        <f t="shared" si="8"/>
        <v>162.81800391389433</v>
      </c>
      <c r="Z11" s="11">
        <f t="shared" si="9"/>
        <v>59.063859099804304</v>
      </c>
      <c r="AA11" s="7">
        <v>0</v>
      </c>
      <c r="AB11" s="15">
        <f>IFERROR(AA11/1900,0)</f>
        <v>0</v>
      </c>
      <c r="AC11" s="11">
        <v>0</v>
      </c>
      <c r="AD11" s="15">
        <f>IFERROR(AC11/61.1,0)</f>
        <v>0</v>
      </c>
      <c r="AE11" s="11">
        <v>18</v>
      </c>
      <c r="AF11" s="11">
        <v>32</v>
      </c>
      <c r="AG11" s="7">
        <f t="shared" si="10"/>
        <v>-515.20000000000164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40303</v>
      </c>
      <c r="G12" s="17">
        <f>SUM(G6:G11)</f>
        <v>177</v>
      </c>
      <c r="H12" s="18">
        <f t="shared" si="0"/>
        <v>4.3917326253628758E-3</v>
      </c>
      <c r="I12" s="18"/>
      <c r="J12" s="17">
        <f>SUM(J6:J11)</f>
        <v>186030</v>
      </c>
      <c r="K12" s="19">
        <f t="shared" si="1"/>
        <v>65.939791791465368</v>
      </c>
      <c r="L12" s="19"/>
      <c r="M12" s="19">
        <f>IFERROR(SUMPRODUCT($F6:$F11,M6:M11)/$F12, 0)</f>
        <v>75.756072748926883</v>
      </c>
      <c r="N12" s="19">
        <f t="shared" si="2"/>
        <v>-9.8162809574615153</v>
      </c>
      <c r="O12" s="19">
        <f>IFERROR(SUMPRODUCT($E6:$E11,O6:O11)/$E12, 0)</f>
        <v>225.90706633481224</v>
      </c>
      <c r="P12" s="19">
        <f>IFERROR(SUMPRODUCT($E6:$E11,P6:P11)/$E12, 0)</f>
        <v>223.33799372362299</v>
      </c>
      <c r="Q12" s="19">
        <f>IFERROR(SUMPRODUCT($E6:$E11,Q6:Q11)/$E12, 0)</f>
        <v>2.5690726111892648</v>
      </c>
      <c r="R12" s="17">
        <f>SUM(R6:R11)</f>
        <v>34096</v>
      </c>
      <c r="S12" s="19">
        <f>IFERROR(R12/D12/$F12*1000,0)</f>
        <v>120.85594478964701</v>
      </c>
      <c r="T12" s="20">
        <f t="shared" si="5"/>
        <v>5.4560652275926795</v>
      </c>
      <c r="U12" s="17">
        <f>SUM(U6:U11)</f>
        <v>15120</v>
      </c>
      <c r="V12" s="19">
        <f>IFERROR(U12/D12/$F12*1000,0)</f>
        <v>53.594025258665603</v>
      </c>
      <c r="W12" s="19">
        <f t="shared" si="7"/>
        <v>0.44345377756921622</v>
      </c>
      <c r="X12" s="19">
        <f>IFERROR(SUMPRODUCT(R6:R11,X6:X11)/R12,0)</f>
        <v>367.3320342562177</v>
      </c>
      <c r="Y12" s="19">
        <f>IFERROR(($F12*S12)/($F12*K12)*100,0)</f>
        <v>183.28226630113426</v>
      </c>
      <c r="Z12" s="19">
        <f t="shared" si="9"/>
        <v>67.325447723485453</v>
      </c>
      <c r="AA12" s="17"/>
      <c r="AB12" s="21">
        <f>IFERROR(SUMPRODUCT($F6:$F11,AB6:AB11)/$F12,0)</f>
        <v>0</v>
      </c>
      <c r="AC12" s="19"/>
      <c r="AD12" s="21">
        <f>AVERAGE(AD6:AD11)</f>
        <v>0</v>
      </c>
      <c r="AE12" s="19"/>
      <c r="AF12" s="19"/>
      <c r="AG12" s="17">
        <f>SUM(AG6:AG11)</f>
        <v>-27693.789999999994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70</v>
      </c>
      <c r="C14" s="6">
        <v>7</v>
      </c>
      <c r="D14" s="6">
        <v>7</v>
      </c>
      <c r="E14" s="6">
        <v>21388</v>
      </c>
      <c r="F14" s="6">
        <v>17030</v>
      </c>
      <c r="G14" s="6">
        <v>44</v>
      </c>
      <c r="H14" s="8">
        <f t="shared" ref="H14:H31" si="12">IFERROR(G14/F14,0)</f>
        <v>2.583675866118614E-3</v>
      </c>
      <c r="I14" s="8">
        <f>IFERROR((21388-F14)/21388,0)</f>
        <v>0.20375911726201609</v>
      </c>
      <c r="J14" s="6">
        <v>63570</v>
      </c>
      <c r="K14" s="10">
        <f t="shared" ref="K14:K31" si="13">IFERROR(J14/D14/F14*100,0)</f>
        <v>53.326063249727362</v>
      </c>
      <c r="L14" s="10">
        <f>K14-52.2599</f>
        <v>1.0661632497273601</v>
      </c>
      <c r="M14" s="10">
        <v>71</v>
      </c>
      <c r="N14" s="10">
        <f t="shared" ref="N14:N31" si="14">K14-M14</f>
        <v>-17.673936750272638</v>
      </c>
      <c r="O14" s="10">
        <f>IFERROR(4280400/21388,0)</f>
        <v>200.13091453151299</v>
      </c>
      <c r="P14" s="10">
        <v>0</v>
      </c>
      <c r="Q14" s="10">
        <f t="shared" ref="Q14:Q30" si="15">IFERROR(O14-P14,0)</f>
        <v>200.13091453151299</v>
      </c>
      <c r="R14" s="6">
        <v>13000</v>
      </c>
      <c r="S14" s="10">
        <f t="shared" ref="S14:S30" si="16">IFERROR(R14/D14/F14*1000,0)</f>
        <v>109.05125408942203</v>
      </c>
      <c r="T14" s="12">
        <f t="shared" ref="T14:T31" si="17">IFERROR(J14/R14,0)</f>
        <v>4.8899999999999997</v>
      </c>
      <c r="U14" s="6">
        <v>21700</v>
      </c>
      <c r="V14" s="10">
        <f t="shared" ref="V14:V30" si="18">IFERROR(U14/D14/F14*1000,0)</f>
        <v>182.03170874926599</v>
      </c>
      <c r="W14" s="10">
        <f t="shared" ref="W14:W31" si="19">IFERROR(V14/S14,0)</f>
        <v>1.6692307692307691</v>
      </c>
      <c r="X14" s="10">
        <v>305.63142857140002</v>
      </c>
      <c r="Y14" s="10">
        <f t="shared" ref="Y14:Y30" si="20">IFERROR((F14*S14)/(F14*K14)*100,0)</f>
        <v>204.49897750511252</v>
      </c>
      <c r="Z14" s="10">
        <f t="shared" ref="Z14:Z31" si="21">IFERROR(Y14*X14/1000,0)</f>
        <v>62.501314636278138</v>
      </c>
      <c r="AA14" s="6">
        <v>1853</v>
      </c>
      <c r="AB14" s="14">
        <f>IFERROR(AA14/1580,0)</f>
        <v>1.1727848101265823</v>
      </c>
      <c r="AC14" s="10">
        <v>0</v>
      </c>
      <c r="AD14" s="14">
        <f>IFERROR(AC14/63.3,0)</f>
        <v>0</v>
      </c>
      <c r="AE14" s="10">
        <v>23</v>
      </c>
      <c r="AF14" s="10">
        <v>25</v>
      </c>
      <c r="AG14" s="6">
        <f t="shared" ref="AG14:AG30" si="22">IF(M14=0,0,IFERROR(N14/100*7*F14,0))</f>
        <v>-21069.100000000009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31</v>
      </c>
      <c r="C15" s="7"/>
      <c r="D15" s="7">
        <v>7</v>
      </c>
      <c r="E15" s="7">
        <v>10225</v>
      </c>
      <c r="F15" s="7">
        <v>9489</v>
      </c>
      <c r="G15" s="7">
        <v>49</v>
      </c>
      <c r="H15" s="9">
        <f t="shared" si="12"/>
        <v>5.1638739593213197E-3</v>
      </c>
      <c r="I15" s="9">
        <f>IFERROR((10225-F15)/10225,0)</f>
        <v>7.1980440097799511E-2</v>
      </c>
      <c r="J15" s="7">
        <v>55280</v>
      </c>
      <c r="K15" s="11">
        <f t="shared" si="13"/>
        <v>83.224184393959916</v>
      </c>
      <c r="L15" s="11">
        <f>K15-82.9913</f>
        <v>0.232884393959921</v>
      </c>
      <c r="M15" s="11">
        <v>95</v>
      </c>
      <c r="N15" s="11">
        <f t="shared" si="14"/>
        <v>-11.775815606040084</v>
      </c>
      <c r="O15" s="11">
        <f>IFERROR(626030/10225,0)</f>
        <v>61.225427872860635</v>
      </c>
      <c r="P15" s="11">
        <v>78</v>
      </c>
      <c r="Q15" s="11">
        <f t="shared" si="15"/>
        <v>-16.774572127139365</v>
      </c>
      <c r="R15" s="7">
        <v>7800</v>
      </c>
      <c r="S15" s="11">
        <f t="shared" si="16"/>
        <v>117.42920373966848</v>
      </c>
      <c r="T15" s="13">
        <f t="shared" si="17"/>
        <v>7.0871794871794869</v>
      </c>
      <c r="U15" s="7">
        <v>13100</v>
      </c>
      <c r="V15" s="11">
        <f t="shared" si="18"/>
        <v>197.22084217816115</v>
      </c>
      <c r="W15" s="11">
        <f t="shared" si="19"/>
        <v>1.6794871794871793</v>
      </c>
      <c r="X15" s="11">
        <v>307.5</v>
      </c>
      <c r="Y15" s="11">
        <f t="shared" si="20"/>
        <v>141.09985528219971</v>
      </c>
      <c r="Z15" s="11">
        <f t="shared" si="21"/>
        <v>43.38820549927641</v>
      </c>
      <c r="AA15" s="7">
        <v>0</v>
      </c>
      <c r="AB15" s="15">
        <f>IFERROR(AA15/1900,0)</f>
        <v>0</v>
      </c>
      <c r="AC15" s="11">
        <v>0</v>
      </c>
      <c r="AD15" s="15">
        <f>IFERROR(AC15/61.1,0)</f>
        <v>0</v>
      </c>
      <c r="AE15" s="11">
        <v>24</v>
      </c>
      <c r="AF15" s="11">
        <v>32</v>
      </c>
      <c r="AG15" s="7">
        <f t="shared" si="22"/>
        <v>-7821.8500000000049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59</v>
      </c>
      <c r="C16" s="7"/>
      <c r="D16" s="7">
        <v>7</v>
      </c>
      <c r="E16" s="7">
        <v>56050</v>
      </c>
      <c r="F16" s="7">
        <v>51409</v>
      </c>
      <c r="G16" s="7">
        <v>98</v>
      </c>
      <c r="H16" s="9">
        <f t="shared" si="12"/>
        <v>1.9062810013810811E-3</v>
      </c>
      <c r="I16" s="9">
        <f>IFERROR((56050-F16)/56050,0)</f>
        <v>8.2801070472792143E-2</v>
      </c>
      <c r="J16" s="7">
        <v>342660</v>
      </c>
      <c r="K16" s="11">
        <f t="shared" si="13"/>
        <v>95.219569669568699</v>
      </c>
      <c r="L16" s="11">
        <f>K16-91.9608</f>
        <v>3.258769669568693</v>
      </c>
      <c r="M16" s="11">
        <v>91.65</v>
      </c>
      <c r="N16" s="11">
        <f t="shared" si="14"/>
        <v>3.5695696695686934</v>
      </c>
      <c r="O16" s="11">
        <f>IFERROR(13838591/56050,0)</f>
        <v>246.89725245316683</v>
      </c>
      <c r="P16" s="11">
        <v>250</v>
      </c>
      <c r="Q16" s="11">
        <f t="shared" si="15"/>
        <v>-3.1027475468331716</v>
      </c>
      <c r="R16" s="7">
        <v>43350</v>
      </c>
      <c r="S16" s="11">
        <f t="shared" si="16"/>
        <v>120.46250934383363</v>
      </c>
      <c r="T16" s="13">
        <f t="shared" si="17"/>
        <v>7.9044982698961936</v>
      </c>
      <c r="U16" s="7">
        <v>65000</v>
      </c>
      <c r="V16" s="11">
        <f t="shared" si="18"/>
        <v>180.62429313377592</v>
      </c>
      <c r="W16" s="11">
        <f t="shared" si="19"/>
        <v>1.4994232987312572</v>
      </c>
      <c r="X16" s="11">
        <v>303.94857142860002</v>
      </c>
      <c r="Y16" s="11">
        <f t="shared" si="20"/>
        <v>126.51024338994921</v>
      </c>
      <c r="Z16" s="11">
        <f t="shared" si="21"/>
        <v>38.452607749459553</v>
      </c>
      <c r="AA16" s="7">
        <v>1790</v>
      </c>
      <c r="AB16" s="15">
        <f>IFERROR(AA16/1725,0)</f>
        <v>1.0376811594202899</v>
      </c>
      <c r="AC16" s="11">
        <v>0</v>
      </c>
      <c r="AD16" s="15">
        <f>IFERROR(AC16/63.15,0)</f>
        <v>0</v>
      </c>
      <c r="AE16" s="11">
        <v>21</v>
      </c>
      <c r="AF16" s="11">
        <v>26</v>
      </c>
      <c r="AG16" s="7">
        <f t="shared" si="22"/>
        <v>12845.560499999987</v>
      </c>
      <c r="AH16" s="7">
        <v>47</v>
      </c>
      <c r="AI16" s="7">
        <v>4.6808510637999996</v>
      </c>
      <c r="AJ16" s="11">
        <v>12</v>
      </c>
      <c r="AK16" s="11">
        <v>11</v>
      </c>
      <c r="AL16" s="11">
        <v>10</v>
      </c>
      <c r="AM16" s="11">
        <v>0</v>
      </c>
      <c r="AN16" s="11">
        <v>0</v>
      </c>
      <c r="AO16" s="13">
        <f>IFERROR(1120/F16,0)</f>
        <v>2.1786068587212357E-2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133</v>
      </c>
      <c r="C17" s="7">
        <v>17</v>
      </c>
      <c r="D17" s="7">
        <v>7</v>
      </c>
      <c r="E17" s="7">
        <v>17433</v>
      </c>
      <c r="F17" s="7">
        <v>16098</v>
      </c>
      <c r="G17" s="7">
        <v>38</v>
      </c>
      <c r="H17" s="9">
        <f t="shared" si="12"/>
        <v>2.3605416821965461E-3</v>
      </c>
      <c r="I17" s="9">
        <f>IFERROR((17433-F17)/17433,0)</f>
        <v>7.6578902082257788E-2</v>
      </c>
      <c r="J17" s="7">
        <v>69980</v>
      </c>
      <c r="K17" s="11">
        <f t="shared" si="13"/>
        <v>62.101769518839959</v>
      </c>
      <c r="L17" s="11">
        <f>K17-63.958</f>
        <v>-1.8562304811600399</v>
      </c>
      <c r="M17" s="11">
        <v>79</v>
      </c>
      <c r="N17" s="11">
        <f t="shared" si="14"/>
        <v>-16.898230481160041</v>
      </c>
      <c r="O17" s="11">
        <f>IFERROR(1230340/17433,0)</f>
        <v>70.575345608902651</v>
      </c>
      <c r="P17" s="11">
        <v>0</v>
      </c>
      <c r="Q17" s="11">
        <f t="shared" si="15"/>
        <v>70.575345608902651</v>
      </c>
      <c r="R17" s="7">
        <v>14280</v>
      </c>
      <c r="S17" s="11">
        <f t="shared" si="16"/>
        <v>126.723816623183</v>
      </c>
      <c r="T17" s="13">
        <f t="shared" si="17"/>
        <v>4.9005602240896362</v>
      </c>
      <c r="U17" s="7">
        <v>29400</v>
      </c>
      <c r="V17" s="11">
        <f t="shared" si="18"/>
        <v>260.90197540067089</v>
      </c>
      <c r="W17" s="11">
        <f t="shared" si="19"/>
        <v>2.0588235294117649</v>
      </c>
      <c r="X17" s="11">
        <v>252.3714285714</v>
      </c>
      <c r="Y17" s="11">
        <f t="shared" si="20"/>
        <v>204.05830237210631</v>
      </c>
      <c r="Z17" s="11">
        <f t="shared" si="21"/>
        <v>51.498485281503172</v>
      </c>
      <c r="AA17" s="7">
        <v>2550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18</v>
      </c>
      <c r="AF17" s="11">
        <v>33</v>
      </c>
      <c r="AG17" s="7">
        <f t="shared" si="22"/>
        <v>-19041.940000000006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52</v>
      </c>
      <c r="C18" s="7"/>
      <c r="D18" s="7">
        <v>7</v>
      </c>
      <c r="E18" s="7">
        <v>51536</v>
      </c>
      <c r="F18" s="7">
        <v>48986</v>
      </c>
      <c r="G18" s="7">
        <v>65</v>
      </c>
      <c r="H18" s="9">
        <f t="shared" si="12"/>
        <v>1.3269097293104153E-3</v>
      </c>
      <c r="I18" s="9">
        <f>IFERROR((51536-F18)/51536,0)</f>
        <v>4.9479975162992858E-2</v>
      </c>
      <c r="J18" s="7">
        <v>318940</v>
      </c>
      <c r="K18" s="11">
        <f t="shared" si="13"/>
        <v>93.011997596981061</v>
      </c>
      <c r="L18" s="11">
        <f>K18-95.2445</f>
        <v>-2.2325024030189411</v>
      </c>
      <c r="M18" s="11">
        <v>93.1</v>
      </c>
      <c r="N18" s="11">
        <f t="shared" si="14"/>
        <v>-8.8002403018933251E-2</v>
      </c>
      <c r="O18" s="11">
        <f>IFERROR(10274792/51536,0)</f>
        <v>199.37115802545793</v>
      </c>
      <c r="P18" s="11">
        <v>207</v>
      </c>
      <c r="Q18" s="11">
        <f t="shared" si="15"/>
        <v>-7.6288419745420697</v>
      </c>
      <c r="R18" s="7">
        <v>41030</v>
      </c>
      <c r="S18" s="11">
        <f t="shared" si="16"/>
        <v>119.65517844748645</v>
      </c>
      <c r="T18" s="13">
        <f t="shared" si="17"/>
        <v>7.7733365829880574</v>
      </c>
      <c r="U18" s="7">
        <v>70228</v>
      </c>
      <c r="V18" s="11">
        <f t="shared" si="18"/>
        <v>204.80487136266339</v>
      </c>
      <c r="W18" s="11">
        <f t="shared" si="19"/>
        <v>1.7116256397757739</v>
      </c>
      <c r="X18" s="11">
        <v>291.7642857143</v>
      </c>
      <c r="Y18" s="11">
        <f t="shared" si="20"/>
        <v>128.64488618548941</v>
      </c>
      <c r="Z18" s="11">
        <f t="shared" si="21"/>
        <v>37.533983328706739</v>
      </c>
      <c r="AA18" s="7">
        <v>1670</v>
      </c>
      <c r="AB18" s="15">
        <f>IFERROR(AA18/1725,0)</f>
        <v>0.96811594202898554</v>
      </c>
      <c r="AC18" s="11">
        <v>62.6</v>
      </c>
      <c r="AD18" s="15">
        <f>IFERROR(AC18/62.8,0)</f>
        <v>0.99681528662420393</v>
      </c>
      <c r="AE18" s="11">
        <v>20</v>
      </c>
      <c r="AF18" s="11">
        <v>27</v>
      </c>
      <c r="AG18" s="7">
        <f t="shared" si="22"/>
        <v>-301.76199999998249</v>
      </c>
      <c r="AH18" s="7">
        <v>17</v>
      </c>
      <c r="AI18" s="7">
        <v>20</v>
      </c>
      <c r="AJ18" s="11">
        <v>12</v>
      </c>
      <c r="AK18" s="11">
        <v>10</v>
      </c>
      <c r="AL18" s="11">
        <v>12</v>
      </c>
      <c r="AM18" s="11">
        <v>0</v>
      </c>
      <c r="AN18" s="11">
        <v>0</v>
      </c>
      <c r="AO18" s="13">
        <f>IFERROR(150/F18,0)</f>
        <v>3.0620993753317275E-3</v>
      </c>
      <c r="AP18" s="11">
        <v>1.5</v>
      </c>
      <c r="AQ18" s="7"/>
      <c r="AR18" s="7"/>
      <c r="AS18" s="7">
        <v>15</v>
      </c>
      <c r="AT18" s="7"/>
    </row>
    <row r="19" spans="1:46" x14ac:dyDescent="0.3">
      <c r="A19" s="5" t="s">
        <v>61</v>
      </c>
      <c r="B19" s="5">
        <v>100</v>
      </c>
      <c r="C19" s="7">
        <v>30</v>
      </c>
      <c r="D19" s="7">
        <v>7</v>
      </c>
      <c r="E19" s="7">
        <v>51311</v>
      </c>
      <c r="F19" s="7">
        <v>39830</v>
      </c>
      <c r="G19" s="7">
        <v>77</v>
      </c>
      <c r="H19" s="9">
        <f t="shared" si="12"/>
        <v>1.9332161687170475E-3</v>
      </c>
      <c r="I19" s="9">
        <f>IFERROR((51311-F19)/51311,0)</f>
        <v>0.22375319132349789</v>
      </c>
      <c r="J19" s="7">
        <v>238120</v>
      </c>
      <c r="K19" s="11">
        <f t="shared" si="13"/>
        <v>85.405831928553482</v>
      </c>
      <c r="L19" s="11">
        <f>K19-86.039</f>
        <v>-0.63316807144651932</v>
      </c>
      <c r="M19" s="11">
        <v>74</v>
      </c>
      <c r="N19" s="11">
        <f t="shared" si="14"/>
        <v>11.405831928553482</v>
      </c>
      <c r="O19" s="11">
        <f>IFERROR(21995049/51311,0)</f>
        <v>428.6614760967434</v>
      </c>
      <c r="P19" s="11">
        <v>0</v>
      </c>
      <c r="Q19" s="11">
        <f t="shared" si="15"/>
        <v>428.6614760967434</v>
      </c>
      <c r="R19" s="7">
        <v>33540</v>
      </c>
      <c r="S19" s="11">
        <f t="shared" si="16"/>
        <v>120.29697643556544</v>
      </c>
      <c r="T19" s="13">
        <f t="shared" si="17"/>
        <v>7.0995825879546812</v>
      </c>
      <c r="U19" s="7">
        <v>56430</v>
      </c>
      <c r="V19" s="11">
        <f t="shared" si="18"/>
        <v>202.39589684731538</v>
      </c>
      <c r="W19" s="11">
        <f t="shared" si="19"/>
        <v>1.6824686940966012</v>
      </c>
      <c r="X19" s="11">
        <v>308.74857142859997</v>
      </c>
      <c r="Y19" s="11">
        <f t="shared" si="20"/>
        <v>140.85335125146989</v>
      </c>
      <c r="Z19" s="11">
        <f t="shared" si="21"/>
        <v>43.488270979822133</v>
      </c>
      <c r="AA19" s="7">
        <v>0</v>
      </c>
      <c r="AB19" s="15">
        <f>IFERROR(AA19/1725,0)</f>
        <v>0</v>
      </c>
      <c r="AC19" s="11">
        <v>0</v>
      </c>
      <c r="AD19" s="15">
        <f>IFERROR(AC19/65.05,0)</f>
        <v>0</v>
      </c>
      <c r="AE19" s="11">
        <v>20</v>
      </c>
      <c r="AF19" s="11">
        <v>26</v>
      </c>
      <c r="AG19" s="7">
        <f t="shared" si="22"/>
        <v>31800.599999999966</v>
      </c>
      <c r="AH19" s="7">
        <v>23</v>
      </c>
      <c r="AI19" s="7">
        <v>20</v>
      </c>
      <c r="AJ19" s="11">
        <v>30</v>
      </c>
      <c r="AK19" s="11">
        <v>30</v>
      </c>
      <c r="AL19" s="11">
        <v>28</v>
      </c>
      <c r="AM19" s="11">
        <v>0</v>
      </c>
      <c r="AN19" s="11">
        <v>0</v>
      </c>
      <c r="AO19" s="13">
        <f>IFERROR(200/F19,0)</f>
        <v>5.0213406979663566E-3</v>
      </c>
      <c r="AP19" s="11">
        <v>1.5</v>
      </c>
      <c r="AQ19" s="7"/>
      <c r="AR19" s="7"/>
      <c r="AS19" s="7">
        <v>15</v>
      </c>
      <c r="AT19" s="7"/>
    </row>
    <row r="20" spans="1:46" x14ac:dyDescent="0.3">
      <c r="A20" s="5" t="s">
        <v>62</v>
      </c>
      <c r="B20" s="5">
        <v>31</v>
      </c>
      <c r="C20" s="7"/>
      <c r="D20" s="7">
        <v>7</v>
      </c>
      <c r="E20" s="7">
        <v>52424</v>
      </c>
      <c r="F20" s="7">
        <v>51398</v>
      </c>
      <c r="G20" s="7">
        <v>56</v>
      </c>
      <c r="H20" s="9">
        <f t="shared" si="12"/>
        <v>1.0895365578427177E-3</v>
      </c>
      <c r="I20" s="9">
        <f>IFERROR((52424-F20)/52424,0)</f>
        <v>1.9571188768502976E-2</v>
      </c>
      <c r="J20" s="7">
        <v>332420</v>
      </c>
      <c r="K20" s="11">
        <f t="shared" si="13"/>
        <v>92.393811877060244</v>
      </c>
      <c r="L20" s="11">
        <f>K20-93.1162</f>
        <v>-0.72238812293976196</v>
      </c>
      <c r="M20" s="11">
        <v>95.85</v>
      </c>
      <c r="N20" s="11">
        <f t="shared" si="14"/>
        <v>-3.45618812293975</v>
      </c>
      <c r="O20" s="11">
        <f>IFERROR(3520340/52424,0)</f>
        <v>67.151304745917898</v>
      </c>
      <c r="P20" s="11">
        <v>73</v>
      </c>
      <c r="Q20" s="11">
        <f t="shared" si="15"/>
        <v>-5.8486952540821022</v>
      </c>
      <c r="R20" s="7">
        <v>41524</v>
      </c>
      <c r="S20" s="11">
        <f t="shared" si="16"/>
        <v>115.41305109148216</v>
      </c>
      <c r="T20" s="13">
        <f t="shared" si="17"/>
        <v>8.0054908005009153</v>
      </c>
      <c r="U20" s="7">
        <v>66732</v>
      </c>
      <c r="V20" s="11">
        <f t="shared" si="18"/>
        <v>185.47692239275568</v>
      </c>
      <c r="W20" s="11">
        <f t="shared" si="19"/>
        <v>1.6070706097678449</v>
      </c>
      <c r="X20" s="11">
        <v>308.78428571429998</v>
      </c>
      <c r="Y20" s="11">
        <f t="shared" si="20"/>
        <v>124.91426508633656</v>
      </c>
      <c r="Z20" s="11">
        <f t="shared" si="21"/>
        <v>38.571562120211148</v>
      </c>
      <c r="AA20" s="7">
        <v>1739</v>
      </c>
      <c r="AB20" s="15">
        <f>IFERROR(AA20/1665,0)</f>
        <v>1.0444444444444445</v>
      </c>
      <c r="AC20" s="11">
        <v>59.01</v>
      </c>
      <c r="AD20" s="15">
        <f>IFERROR(AC20/59.55,0)</f>
        <v>0.99093198992443321</v>
      </c>
      <c r="AE20" s="11">
        <v>20</v>
      </c>
      <c r="AF20" s="11">
        <v>27</v>
      </c>
      <c r="AG20" s="7">
        <f t="shared" si="22"/>
        <v>-12434.881000000008</v>
      </c>
      <c r="AH20" s="7">
        <v>10</v>
      </c>
      <c r="AI20" s="7">
        <v>20</v>
      </c>
      <c r="AJ20" s="11">
        <v>10</v>
      </c>
      <c r="AK20" s="11">
        <v>8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15</v>
      </c>
      <c r="AT20" s="7"/>
    </row>
    <row r="21" spans="1:46" x14ac:dyDescent="0.3">
      <c r="A21" s="5" t="s">
        <v>63</v>
      </c>
      <c r="B21" s="5">
        <v>21</v>
      </c>
      <c r="C21" s="7"/>
      <c r="D21" s="7">
        <v>7</v>
      </c>
      <c r="E21" s="7">
        <v>50525</v>
      </c>
      <c r="F21" s="7">
        <v>50327</v>
      </c>
      <c r="G21" s="7">
        <v>61</v>
      </c>
      <c r="H21" s="9">
        <f t="shared" si="12"/>
        <v>1.2120730423033361E-3</v>
      </c>
      <c r="I21" s="9">
        <f>IFERROR((50525-F21)/50525,0)</f>
        <v>3.9188520534388918E-3</v>
      </c>
      <c r="J21" s="7">
        <v>191340</v>
      </c>
      <c r="K21" s="11">
        <f t="shared" si="13"/>
        <v>54.31336204082443</v>
      </c>
      <c r="L21" s="11">
        <f>K21-18.0544</f>
        <v>36.258962040824429</v>
      </c>
      <c r="M21" s="11">
        <v>63.5</v>
      </c>
      <c r="N21" s="11">
        <f t="shared" si="14"/>
        <v>-9.1866379591755702</v>
      </c>
      <c r="O21" s="11">
        <f>IFERROR(262440/50525,0)</f>
        <v>5.1942602671944584</v>
      </c>
      <c r="P21" s="11">
        <v>9</v>
      </c>
      <c r="Q21" s="11">
        <f t="shared" si="15"/>
        <v>-3.8057397328055416</v>
      </c>
      <c r="R21" s="7">
        <v>29619</v>
      </c>
      <c r="S21" s="11">
        <f t="shared" si="16"/>
        <v>84.075858173261153</v>
      </c>
      <c r="T21" s="13">
        <f t="shared" si="17"/>
        <v>6.4600425402613189</v>
      </c>
      <c r="U21" s="7">
        <v>63687</v>
      </c>
      <c r="V21" s="11">
        <f t="shared" si="18"/>
        <v>180.78055233061491</v>
      </c>
      <c r="W21" s="11">
        <f t="shared" si="19"/>
        <v>2.1502076369897702</v>
      </c>
      <c r="X21" s="11">
        <v>316.34428571429999</v>
      </c>
      <c r="Y21" s="11">
        <f t="shared" si="20"/>
        <v>154.79774223894637</v>
      </c>
      <c r="Z21" s="11">
        <f t="shared" si="21"/>
        <v>48.969381198765809</v>
      </c>
      <c r="AA21" s="7">
        <v>1467</v>
      </c>
      <c r="AB21" s="15">
        <f>IFERROR(AA21/1425,0)</f>
        <v>1.0294736842105263</v>
      </c>
      <c r="AC21" s="11">
        <v>45.22</v>
      </c>
      <c r="AD21" s="15">
        <f>IFERROR(AC21/48,0)</f>
        <v>0.94208333333333327</v>
      </c>
      <c r="AE21" s="11">
        <v>21</v>
      </c>
      <c r="AF21" s="11">
        <v>26</v>
      </c>
      <c r="AG21" s="7">
        <f t="shared" si="22"/>
        <v>-32363.515000000025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14</v>
      </c>
      <c r="AT21" s="7"/>
    </row>
    <row r="22" spans="1:46" x14ac:dyDescent="0.3">
      <c r="A22" s="5" t="s">
        <v>64</v>
      </c>
      <c r="B22" s="5">
        <v>40</v>
      </c>
      <c r="C22" s="7"/>
      <c r="D22" s="7">
        <v>7</v>
      </c>
      <c r="E22" s="7">
        <v>50845</v>
      </c>
      <c r="F22" s="7">
        <v>49690</v>
      </c>
      <c r="G22" s="7">
        <v>30</v>
      </c>
      <c r="H22" s="9">
        <f t="shared" si="12"/>
        <v>6.0374320788891128E-4</v>
      </c>
      <c r="I22" s="9">
        <f>IFERROR((50845-F22)/50845,0)</f>
        <v>2.2716097944733997E-2</v>
      </c>
      <c r="J22" s="7">
        <v>324940</v>
      </c>
      <c r="K22" s="11">
        <f t="shared" si="13"/>
        <v>93.419199034010873</v>
      </c>
      <c r="L22" s="11">
        <f>K22-94.7747</f>
        <v>-1.3555009659891226</v>
      </c>
      <c r="M22" s="11">
        <v>95.25</v>
      </c>
      <c r="N22" s="11">
        <f t="shared" si="14"/>
        <v>-1.8308009659891269</v>
      </c>
      <c r="O22" s="11">
        <f>IFERROR(6461010/50845,0)</f>
        <v>127.07267184580589</v>
      </c>
      <c r="P22" s="11">
        <v>131</v>
      </c>
      <c r="Q22" s="11">
        <f t="shared" si="15"/>
        <v>-3.9273281541941145</v>
      </c>
      <c r="R22" s="7">
        <v>40408</v>
      </c>
      <c r="S22" s="11">
        <f t="shared" si="16"/>
        <v>116.17169306845297</v>
      </c>
      <c r="T22" s="13">
        <f t="shared" si="17"/>
        <v>8.041476935260345</v>
      </c>
      <c r="U22" s="7">
        <v>69000</v>
      </c>
      <c r="V22" s="11">
        <f t="shared" si="18"/>
        <v>198.37276830635656</v>
      </c>
      <c r="W22" s="11">
        <f t="shared" si="19"/>
        <v>1.7075826568996242</v>
      </c>
      <c r="X22" s="11">
        <v>292.6371428571</v>
      </c>
      <c r="Y22" s="11">
        <f t="shared" si="20"/>
        <v>124.35526558749305</v>
      </c>
      <c r="Z22" s="11">
        <f t="shared" si="21"/>
        <v>36.390969620759819</v>
      </c>
      <c r="AA22" s="7">
        <v>1745</v>
      </c>
      <c r="AB22" s="15">
        <f>IFERROR(AA22/1705,0)</f>
        <v>1.0234604105571847</v>
      </c>
      <c r="AC22" s="11">
        <v>61.53</v>
      </c>
      <c r="AD22" s="15">
        <f>IFERROR(AC22/61.75,0)</f>
        <v>0.99643724696356273</v>
      </c>
      <c r="AE22" s="11">
        <v>20</v>
      </c>
      <c r="AF22" s="11">
        <v>27</v>
      </c>
      <c r="AG22" s="7">
        <f t="shared" si="22"/>
        <v>-6368.0749999999807</v>
      </c>
      <c r="AH22" s="7">
        <v>5</v>
      </c>
      <c r="AI22" s="7">
        <v>20</v>
      </c>
      <c r="AJ22" s="11">
        <v>15</v>
      </c>
      <c r="AK22" s="11">
        <v>17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15</v>
      </c>
      <c r="AT22" s="7"/>
    </row>
    <row r="23" spans="1:46" x14ac:dyDescent="0.3">
      <c r="A23" s="5" t="s">
        <v>65</v>
      </c>
      <c r="B23" s="5">
        <v>90</v>
      </c>
      <c r="C23" s="7"/>
      <c r="D23" s="7">
        <v>7</v>
      </c>
      <c r="E23" s="7">
        <v>20160</v>
      </c>
      <c r="F23" s="7">
        <v>15641</v>
      </c>
      <c r="G23" s="7">
        <v>45</v>
      </c>
      <c r="H23" s="9">
        <f t="shared" si="12"/>
        <v>2.877053896809667E-3</v>
      </c>
      <c r="I23" s="9">
        <f>IFERROR((20160-F23)/20160,0)</f>
        <v>0.22415674603174604</v>
      </c>
      <c r="J23" s="7">
        <v>62100</v>
      </c>
      <c r="K23" s="11">
        <f t="shared" si="13"/>
        <v>56.719062537104861</v>
      </c>
      <c r="L23" s="11">
        <f>K23-76.2691</f>
        <v>-19.550037462895133</v>
      </c>
      <c r="M23" s="11">
        <v>73</v>
      </c>
      <c r="N23" s="11">
        <f t="shared" si="14"/>
        <v>-16.280937462895139</v>
      </c>
      <c r="O23" s="11">
        <f>IFERROR(5910014/20160,0)</f>
        <v>293.15545634920636</v>
      </c>
      <c r="P23" s="11">
        <v>414</v>
      </c>
      <c r="Q23" s="11">
        <f t="shared" si="15"/>
        <v>-120.84454365079364</v>
      </c>
      <c r="R23" s="7">
        <v>13730</v>
      </c>
      <c r="S23" s="11">
        <f t="shared" si="16"/>
        <v>125.40301588316422</v>
      </c>
      <c r="T23" s="13">
        <f t="shared" si="17"/>
        <v>4.5229424617625638</v>
      </c>
      <c r="U23" s="7">
        <v>20450</v>
      </c>
      <c r="V23" s="11">
        <f t="shared" si="18"/>
        <v>186.78016568177046</v>
      </c>
      <c r="W23" s="11">
        <f t="shared" si="19"/>
        <v>1.4894391842680264</v>
      </c>
      <c r="X23" s="11">
        <v>305.63142857140002</v>
      </c>
      <c r="Y23" s="11">
        <f t="shared" si="20"/>
        <v>221.09500805152979</v>
      </c>
      <c r="Z23" s="11">
        <f t="shared" si="21"/>
        <v>67.573583160794243</v>
      </c>
      <c r="AA23" s="7">
        <v>0</v>
      </c>
      <c r="AB23" s="15">
        <f>IFERROR(AA23/1970,0)</f>
        <v>0</v>
      </c>
      <c r="AC23" s="11">
        <v>0</v>
      </c>
      <c r="AD23" s="15">
        <f>IFERROR(AC23/65,0)</f>
        <v>0</v>
      </c>
      <c r="AE23" s="11">
        <v>23</v>
      </c>
      <c r="AF23" s="11">
        <v>25</v>
      </c>
      <c r="AG23" s="7">
        <f t="shared" si="22"/>
        <v>-17825.510000000002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31</v>
      </c>
      <c r="C24" s="7"/>
      <c r="D24" s="7">
        <v>7</v>
      </c>
      <c r="E24" s="7">
        <v>21875</v>
      </c>
      <c r="F24" s="7">
        <v>21526</v>
      </c>
      <c r="G24" s="7">
        <v>11</v>
      </c>
      <c r="H24" s="9">
        <f t="shared" si="12"/>
        <v>5.1100994146613399E-4</v>
      </c>
      <c r="I24" s="9">
        <f>IFERROR((21875-F24)/21875,0)</f>
        <v>1.5954285714285716E-2</v>
      </c>
      <c r="J24" s="7">
        <v>141840</v>
      </c>
      <c r="K24" s="11">
        <f t="shared" si="13"/>
        <v>94.132013113709661</v>
      </c>
      <c r="L24" s="11">
        <f>K24-93.8103</f>
        <v>0.32171311370966293</v>
      </c>
      <c r="M24" s="11">
        <v>95</v>
      </c>
      <c r="N24" s="11">
        <f t="shared" si="14"/>
        <v>-0.86798688629033904</v>
      </c>
      <c r="O24" s="11">
        <f>IFERROR(1726170/21875,0)</f>
        <v>78.910628571428575</v>
      </c>
      <c r="P24" s="11">
        <v>78</v>
      </c>
      <c r="Q24" s="11">
        <f t="shared" si="15"/>
        <v>0.91062857142857467</v>
      </c>
      <c r="R24" s="7">
        <v>19250</v>
      </c>
      <c r="S24" s="11">
        <f t="shared" si="16"/>
        <v>127.75248536653349</v>
      </c>
      <c r="T24" s="13">
        <f t="shared" si="17"/>
        <v>7.3683116883116879</v>
      </c>
      <c r="U24" s="7">
        <v>33365</v>
      </c>
      <c r="V24" s="11">
        <f t="shared" si="18"/>
        <v>221.42658048074753</v>
      </c>
      <c r="W24" s="11">
        <f t="shared" si="19"/>
        <v>1.7332467532467533</v>
      </c>
      <c r="X24" s="11">
        <v>305.10000000000002</v>
      </c>
      <c r="Y24" s="11">
        <f t="shared" si="20"/>
        <v>135.71630005640159</v>
      </c>
      <c r="Z24" s="11">
        <f t="shared" si="21"/>
        <v>41.407043147208135</v>
      </c>
      <c r="AA24" s="7">
        <v>2071</v>
      </c>
      <c r="AB24" s="15">
        <f>IFERROR(AA24/1900,0)</f>
        <v>1.0900000000000001</v>
      </c>
      <c r="AC24" s="11">
        <v>61.11</v>
      </c>
      <c r="AD24" s="15">
        <f>IFERROR(AC24/61.1,0)</f>
        <v>1.0001636661211128</v>
      </c>
      <c r="AE24" s="11">
        <v>20</v>
      </c>
      <c r="AF24" s="11">
        <v>27</v>
      </c>
      <c r="AG24" s="7">
        <f t="shared" si="22"/>
        <v>-1307.9000000000085</v>
      </c>
      <c r="AH24" s="7">
        <v>0</v>
      </c>
      <c r="AI24" s="7">
        <v>0</v>
      </c>
      <c r="AJ24" s="11">
        <v>5</v>
      </c>
      <c r="AK24" s="11">
        <v>6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0</v>
      </c>
      <c r="AQ24" s="7"/>
      <c r="AR24" s="7"/>
      <c r="AS24" s="7">
        <v>15</v>
      </c>
      <c r="AT24" s="7"/>
    </row>
    <row r="25" spans="1:46" x14ac:dyDescent="0.3">
      <c r="A25" s="5" t="s">
        <v>67</v>
      </c>
      <c r="B25" s="5">
        <v>90</v>
      </c>
      <c r="C25" s="7">
        <v>23</v>
      </c>
      <c r="D25" s="7">
        <v>7</v>
      </c>
      <c r="E25" s="7">
        <v>51833</v>
      </c>
      <c r="F25" s="7">
        <v>42367</v>
      </c>
      <c r="G25" s="7">
        <v>120</v>
      </c>
      <c r="H25" s="9">
        <f t="shared" si="12"/>
        <v>2.8323931361673E-3</v>
      </c>
      <c r="I25" s="9">
        <f>IFERROR((51833-F25)/51833,0)</f>
        <v>0.18262496864931607</v>
      </c>
      <c r="J25" s="7">
        <v>216140</v>
      </c>
      <c r="K25" s="11">
        <f t="shared" si="13"/>
        <v>72.880172910857183</v>
      </c>
      <c r="L25" s="11">
        <f>K25-73.916</f>
        <v>-1.0358270891428134</v>
      </c>
      <c r="M25" s="11">
        <v>78</v>
      </c>
      <c r="N25" s="11">
        <f t="shared" si="14"/>
        <v>-5.1198270891428166</v>
      </c>
      <c r="O25" s="11">
        <f>IFERROR(18333098/51833,0)</f>
        <v>353.69548357224164</v>
      </c>
      <c r="P25" s="11">
        <v>0</v>
      </c>
      <c r="Q25" s="11">
        <f t="shared" si="15"/>
        <v>353.69548357224164</v>
      </c>
      <c r="R25" s="7">
        <v>35290</v>
      </c>
      <c r="S25" s="11">
        <f t="shared" si="16"/>
        <v>118.99423068493336</v>
      </c>
      <c r="T25" s="13">
        <f t="shared" si="17"/>
        <v>6.1246812128081611</v>
      </c>
      <c r="U25" s="7">
        <v>56792</v>
      </c>
      <c r="V25" s="11">
        <f t="shared" si="18"/>
        <v>191.49675117763488</v>
      </c>
      <c r="W25" s="11">
        <f t="shared" si="19"/>
        <v>1.6092944176820627</v>
      </c>
      <c r="X25" s="11">
        <v>292.18571428569999</v>
      </c>
      <c r="Y25" s="11">
        <f t="shared" si="20"/>
        <v>163.27380401591557</v>
      </c>
      <c r="Z25" s="11">
        <f t="shared" si="21"/>
        <v>47.706273050533682</v>
      </c>
      <c r="AA25" s="7">
        <v>0</v>
      </c>
      <c r="AB25" s="15">
        <f>IFERROR(AA25/1970,0)</f>
        <v>0</v>
      </c>
      <c r="AC25" s="11">
        <v>0</v>
      </c>
      <c r="AD25" s="15">
        <f>IFERROR(AC25/65,0)</f>
        <v>0</v>
      </c>
      <c r="AE25" s="11">
        <v>22</v>
      </c>
      <c r="AF25" s="11">
        <v>26</v>
      </c>
      <c r="AG25" s="7">
        <f t="shared" si="22"/>
        <v>-15183.81999999996</v>
      </c>
      <c r="AH25" s="7">
        <v>10</v>
      </c>
      <c r="AI25" s="7">
        <v>20</v>
      </c>
      <c r="AJ25" s="11">
        <v>36</v>
      </c>
      <c r="AK25" s="11">
        <v>39</v>
      </c>
      <c r="AL25" s="11">
        <v>0</v>
      </c>
      <c r="AM25" s="11">
        <v>0</v>
      </c>
      <c r="AN25" s="11">
        <v>0</v>
      </c>
      <c r="AO25" s="13">
        <f>IFERROR(600/F25,0)</f>
        <v>1.41619656808365E-2</v>
      </c>
      <c r="AP25" s="11">
        <v>0</v>
      </c>
      <c r="AQ25" s="7"/>
      <c r="AR25" s="7"/>
      <c r="AS25" s="7">
        <v>16</v>
      </c>
      <c r="AT25" s="7"/>
    </row>
    <row r="26" spans="1:46" x14ac:dyDescent="0.3">
      <c r="A26" s="5" t="s">
        <v>81</v>
      </c>
      <c r="B26" s="5">
        <v>89</v>
      </c>
      <c r="C26" s="7">
        <v>23</v>
      </c>
      <c r="D26" s="7">
        <v>7</v>
      </c>
      <c r="E26" s="7">
        <v>21623</v>
      </c>
      <c r="F26" s="7">
        <v>18379</v>
      </c>
      <c r="G26" s="7">
        <v>24</v>
      </c>
      <c r="H26" s="9">
        <f t="shared" si="12"/>
        <v>1.305838184884923E-3</v>
      </c>
      <c r="I26" s="9">
        <f>IFERROR((21623-F26)/21623,0)</f>
        <v>0.15002543587846276</v>
      </c>
      <c r="J26" s="7">
        <v>98460</v>
      </c>
      <c r="K26" s="11">
        <f t="shared" si="13"/>
        <v>76.53144504986281</v>
      </c>
      <c r="L26" s="11">
        <f>K26-75.8315</f>
        <v>0.69994504986280504</v>
      </c>
      <c r="M26" s="11">
        <v>82</v>
      </c>
      <c r="N26" s="11">
        <f t="shared" si="14"/>
        <v>-5.4685549501371895</v>
      </c>
      <c r="O26" s="11">
        <f>IFERROR(7596485/21623,0)</f>
        <v>351.3150349165241</v>
      </c>
      <c r="P26" s="11">
        <v>0</v>
      </c>
      <c r="Q26" s="11">
        <f t="shared" si="15"/>
        <v>351.3150349165241</v>
      </c>
      <c r="R26" s="7">
        <v>15065</v>
      </c>
      <c r="S26" s="11">
        <f t="shared" si="16"/>
        <v>117.09793009102005</v>
      </c>
      <c r="T26" s="13">
        <f t="shared" si="17"/>
        <v>6.5356787255227351</v>
      </c>
      <c r="U26" s="7">
        <v>28396</v>
      </c>
      <c r="V26" s="11">
        <f t="shared" si="18"/>
        <v>220.71774463090637</v>
      </c>
      <c r="W26" s="11">
        <f t="shared" si="19"/>
        <v>1.8848987719880512</v>
      </c>
      <c r="X26" s="11">
        <v>281.76857142860001</v>
      </c>
      <c r="Y26" s="11">
        <f t="shared" si="20"/>
        <v>153.00629697339022</v>
      </c>
      <c r="Z26" s="11">
        <f t="shared" si="21"/>
        <v>43.112365717772285</v>
      </c>
      <c r="AA26" s="7">
        <v>2013</v>
      </c>
      <c r="AB26" s="15">
        <f>IFERROR(AA26/1970,0)</f>
        <v>1.0218274111675127</v>
      </c>
      <c r="AC26" s="11">
        <v>65.31</v>
      </c>
      <c r="AD26" s="15">
        <f>IFERROR(AC26/65,0)</f>
        <v>1.0047692307692309</v>
      </c>
      <c r="AE26" s="11">
        <v>22</v>
      </c>
      <c r="AF26" s="11">
        <v>26</v>
      </c>
      <c r="AG26" s="7">
        <f t="shared" si="22"/>
        <v>-7035.4599999999982</v>
      </c>
      <c r="AH26" s="7">
        <v>0</v>
      </c>
      <c r="AI26" s="7">
        <v>0</v>
      </c>
      <c r="AJ26" s="11">
        <v>5</v>
      </c>
      <c r="AK26" s="11">
        <v>5</v>
      </c>
      <c r="AL26" s="11">
        <v>0</v>
      </c>
      <c r="AM26" s="11">
        <v>0</v>
      </c>
      <c r="AN26" s="11">
        <v>0</v>
      </c>
      <c r="AO26" s="13">
        <f>IFERROR(350/F26,0)</f>
        <v>1.9043473529571794E-2</v>
      </c>
      <c r="AP26" s="11">
        <v>0.8</v>
      </c>
      <c r="AQ26" s="7"/>
      <c r="AR26" s="7"/>
      <c r="AS26" s="7">
        <v>16</v>
      </c>
      <c r="AT26" s="7"/>
    </row>
    <row r="27" spans="1:46" x14ac:dyDescent="0.3">
      <c r="A27" s="5" t="s">
        <v>68</v>
      </c>
      <c r="B27" s="5">
        <v>21</v>
      </c>
      <c r="C27" s="7"/>
      <c r="D27" s="7">
        <v>7</v>
      </c>
      <c r="E27" s="7">
        <v>21339</v>
      </c>
      <c r="F27" s="7">
        <v>21234</v>
      </c>
      <c r="G27" s="7">
        <v>14</v>
      </c>
      <c r="H27" s="9">
        <f t="shared" si="12"/>
        <v>6.5931995855703117E-4</v>
      </c>
      <c r="I27" s="9">
        <f>IFERROR((21339-F27)/21339,0)</f>
        <v>4.9205679741318713E-3</v>
      </c>
      <c r="J27" s="7">
        <v>109620</v>
      </c>
      <c r="K27" s="11">
        <f t="shared" si="13"/>
        <v>73.749646792879346</v>
      </c>
      <c r="L27" s="11">
        <f>K27-59.2857</f>
        <v>14.463946792879348</v>
      </c>
      <c r="M27" s="11">
        <v>80.5</v>
      </c>
      <c r="N27" s="11">
        <f t="shared" si="14"/>
        <v>-6.7503532071206536</v>
      </c>
      <c r="O27" s="11">
        <f>IFERROR(250590/21339,0)</f>
        <v>11.743286939406721</v>
      </c>
      <c r="P27" s="11">
        <v>13</v>
      </c>
      <c r="Q27" s="11">
        <f t="shared" si="15"/>
        <v>-1.2567130605932793</v>
      </c>
      <c r="R27" s="7">
        <v>16960</v>
      </c>
      <c r="S27" s="11">
        <f t="shared" si="16"/>
        <v>114.10271935844131</v>
      </c>
      <c r="T27" s="13">
        <f t="shared" si="17"/>
        <v>6.4634433962264151</v>
      </c>
      <c r="U27" s="7">
        <v>31845</v>
      </c>
      <c r="V27" s="11">
        <f t="shared" si="18"/>
        <v>214.24534775763937</v>
      </c>
      <c r="W27" s="11">
        <f t="shared" si="19"/>
        <v>1.8776533018867927</v>
      </c>
      <c r="X27" s="11">
        <v>294.39</v>
      </c>
      <c r="Y27" s="11">
        <f t="shared" si="20"/>
        <v>154.71629264732712</v>
      </c>
      <c r="Z27" s="11">
        <f t="shared" si="21"/>
        <v>45.546929392446636</v>
      </c>
      <c r="AA27" s="7">
        <v>0</v>
      </c>
      <c r="AB27" s="15">
        <f>IFERROR(AA27/1720,0)</f>
        <v>0</v>
      </c>
      <c r="AC27" s="11">
        <v>52.51</v>
      </c>
      <c r="AD27" s="15">
        <f>IFERROR(AC27/52.55,0)</f>
        <v>0.99923882017126553</v>
      </c>
      <c r="AE27" s="11">
        <v>21</v>
      </c>
      <c r="AF27" s="11">
        <v>26</v>
      </c>
      <c r="AG27" s="7">
        <f t="shared" si="22"/>
        <v>-10033.589999999997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14</v>
      </c>
      <c r="AT27" s="7"/>
    </row>
    <row r="28" spans="1:46" x14ac:dyDescent="0.3">
      <c r="A28" s="5" t="s">
        <v>70</v>
      </c>
      <c r="B28" s="5">
        <v>79</v>
      </c>
      <c r="C28" s="7">
        <v>7</v>
      </c>
      <c r="D28" s="7">
        <v>7</v>
      </c>
      <c r="E28" s="7">
        <v>47224</v>
      </c>
      <c r="F28" s="7">
        <v>38288</v>
      </c>
      <c r="G28" s="7">
        <v>118</v>
      </c>
      <c r="H28" s="9">
        <f t="shared" si="12"/>
        <v>3.0819055578771419E-3</v>
      </c>
      <c r="I28" s="9">
        <f>IFERROR((47224-F28)/47224,0)</f>
        <v>0.18922581738099273</v>
      </c>
      <c r="J28" s="7">
        <v>175720</v>
      </c>
      <c r="K28" s="11">
        <f t="shared" si="13"/>
        <v>65.563249955226553</v>
      </c>
      <c r="L28" s="11">
        <f>K28-60.2373</f>
        <v>5.3259499552265552</v>
      </c>
      <c r="M28" s="11">
        <v>57</v>
      </c>
      <c r="N28" s="11">
        <f t="shared" si="14"/>
        <v>8.5632499552265529</v>
      </c>
      <c r="O28" s="11">
        <f>IFERROR(13991630/47224,0)</f>
        <v>296.28218702354735</v>
      </c>
      <c r="P28" s="11">
        <v>0</v>
      </c>
      <c r="Q28" s="11">
        <f t="shared" si="15"/>
        <v>296.28218702354735</v>
      </c>
      <c r="R28" s="7">
        <v>30360</v>
      </c>
      <c r="S28" s="11">
        <f t="shared" si="16"/>
        <v>113.27681929437047</v>
      </c>
      <c r="T28" s="13">
        <f t="shared" si="17"/>
        <v>5.7878787878787881</v>
      </c>
      <c r="U28" s="7">
        <v>61200</v>
      </c>
      <c r="V28" s="11">
        <f t="shared" si="18"/>
        <v>228.34457644319741</v>
      </c>
      <c r="W28" s="11">
        <f t="shared" si="19"/>
        <v>2.0158102766798423</v>
      </c>
      <c r="X28" s="11">
        <v>290.20571428570003</v>
      </c>
      <c r="Y28" s="11">
        <f t="shared" si="20"/>
        <v>172.77486910994762</v>
      </c>
      <c r="Z28" s="11">
        <f t="shared" si="21"/>
        <v>50.140254300670676</v>
      </c>
      <c r="AA28" s="7">
        <v>1625</v>
      </c>
      <c r="AB28" s="15">
        <f>IFERROR(AA28/1580,0)</f>
        <v>1.0284810126582278</v>
      </c>
      <c r="AC28" s="11">
        <v>0</v>
      </c>
      <c r="AD28" s="15">
        <f>IFERROR(AC28/63.5,0)</f>
        <v>0</v>
      </c>
      <c r="AE28" s="11">
        <v>16</v>
      </c>
      <c r="AF28" s="11">
        <v>32</v>
      </c>
      <c r="AG28" s="7">
        <f t="shared" si="22"/>
        <v>22950.879999999997</v>
      </c>
      <c r="AH28" s="7">
        <v>19</v>
      </c>
      <c r="AI28" s="7">
        <v>27.368421052599999</v>
      </c>
      <c r="AJ28" s="11">
        <v>10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110</v>
      </c>
      <c r="C29" s="7">
        <v>37</v>
      </c>
      <c r="D29" s="7">
        <v>7</v>
      </c>
      <c r="E29" s="7">
        <v>33376</v>
      </c>
      <c r="F29" s="7">
        <v>29949</v>
      </c>
      <c r="G29" s="7">
        <v>97</v>
      </c>
      <c r="H29" s="9">
        <f t="shared" si="12"/>
        <v>3.2388393602457511E-3</v>
      </c>
      <c r="I29" s="9">
        <f>IFERROR((33376-F29)/33376,0)</f>
        <v>0.10267857142857142</v>
      </c>
      <c r="J29" s="7">
        <v>144200</v>
      </c>
      <c r="K29" s="11">
        <f t="shared" si="13"/>
        <v>68.783598784600485</v>
      </c>
      <c r="L29" s="11">
        <f>K29-69.0898</f>
        <v>-0.30620121539951128</v>
      </c>
      <c r="M29" s="11">
        <v>69</v>
      </c>
      <c r="N29" s="11">
        <f t="shared" si="14"/>
        <v>-0.21640121539951451</v>
      </c>
      <c r="O29" s="11">
        <f>IFERROR(14043833/33376,0)</f>
        <v>420.77639621284754</v>
      </c>
      <c r="P29" s="11">
        <v>0</v>
      </c>
      <c r="Q29" s="11">
        <f t="shared" si="15"/>
        <v>420.77639621284754</v>
      </c>
      <c r="R29" s="7">
        <v>24030</v>
      </c>
      <c r="S29" s="11">
        <f t="shared" si="16"/>
        <v>114.62343126171633</v>
      </c>
      <c r="T29" s="13">
        <f t="shared" si="17"/>
        <v>6.0008322929671243</v>
      </c>
      <c r="U29" s="7">
        <v>40131</v>
      </c>
      <c r="V29" s="11">
        <f t="shared" si="18"/>
        <v>191.42542321947312</v>
      </c>
      <c r="W29" s="11">
        <f t="shared" si="19"/>
        <v>1.6700374531835209</v>
      </c>
      <c r="X29" s="11">
        <v>294.18</v>
      </c>
      <c r="Y29" s="11">
        <f t="shared" si="20"/>
        <v>166.64355062413313</v>
      </c>
      <c r="Z29" s="11">
        <f t="shared" si="21"/>
        <v>49.02319972260748</v>
      </c>
      <c r="AA29" s="7">
        <v>1656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17</v>
      </c>
      <c r="AF29" s="11">
        <v>32</v>
      </c>
      <c r="AG29" s="7">
        <f t="shared" si="22"/>
        <v>-453.67000000000422</v>
      </c>
      <c r="AH29" s="7">
        <v>43</v>
      </c>
      <c r="AI29" s="7">
        <v>20</v>
      </c>
      <c r="AJ29" s="11">
        <v>14</v>
      </c>
      <c r="AK29" s="11">
        <v>0</v>
      </c>
      <c r="AL29" s="11">
        <v>0</v>
      </c>
      <c r="AM29" s="11">
        <v>0</v>
      </c>
      <c r="AN29" s="11">
        <v>0</v>
      </c>
      <c r="AO29" s="13">
        <f>IFERROR(100/F29,0)</f>
        <v>3.3390096497378876E-3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109</v>
      </c>
      <c r="C30" s="7">
        <v>37</v>
      </c>
      <c r="D30" s="7">
        <v>7</v>
      </c>
      <c r="E30" s="7">
        <v>12390</v>
      </c>
      <c r="F30" s="7">
        <v>10189</v>
      </c>
      <c r="G30" s="7">
        <v>23</v>
      </c>
      <c r="H30" s="9">
        <f t="shared" si="12"/>
        <v>2.257336343115124E-3</v>
      </c>
      <c r="I30" s="9">
        <f>IFERROR((12390-F30)/12390,0)</f>
        <v>0.17764326069410816</v>
      </c>
      <c r="J30" s="7">
        <v>57140</v>
      </c>
      <c r="K30" s="11">
        <f t="shared" si="13"/>
        <v>80.114409096644849</v>
      </c>
      <c r="L30" s="11">
        <f>K30-78.3112</f>
        <v>1.8032090966448493</v>
      </c>
      <c r="M30" s="11">
        <v>69</v>
      </c>
      <c r="N30" s="11">
        <f t="shared" si="14"/>
        <v>11.114409096644849</v>
      </c>
      <c r="O30" s="11">
        <f>IFERROR(5725808/12390,0)</f>
        <v>462.13139628732847</v>
      </c>
      <c r="P30" s="11">
        <v>0</v>
      </c>
      <c r="Q30" s="11">
        <f t="shared" si="15"/>
        <v>462.13139628732847</v>
      </c>
      <c r="R30" s="7">
        <v>10060</v>
      </c>
      <c r="S30" s="11">
        <f t="shared" si="16"/>
        <v>141.04846963812514</v>
      </c>
      <c r="T30" s="13">
        <f t="shared" si="17"/>
        <v>5.679920477137177</v>
      </c>
      <c r="U30" s="7">
        <v>20065</v>
      </c>
      <c r="V30" s="11">
        <f t="shared" si="18"/>
        <v>281.3257995317079</v>
      </c>
      <c r="W30" s="11">
        <f t="shared" si="19"/>
        <v>1.9945328031809149</v>
      </c>
      <c r="X30" s="11">
        <v>276.56857142860002</v>
      </c>
      <c r="Y30" s="11">
        <f t="shared" si="20"/>
        <v>176.05880294014699</v>
      </c>
      <c r="Z30" s="11">
        <f t="shared" si="21"/>
        <v>48.692331616585854</v>
      </c>
      <c r="AA30" s="7">
        <v>1988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17</v>
      </c>
      <c r="AF30" s="11">
        <v>32</v>
      </c>
      <c r="AG30" s="7">
        <f t="shared" si="22"/>
        <v>7927.1300000000056</v>
      </c>
      <c r="AH30" s="7">
        <v>0</v>
      </c>
      <c r="AI30" s="7">
        <v>0</v>
      </c>
      <c r="AJ30" s="11">
        <v>8</v>
      </c>
      <c r="AK30" s="11">
        <v>0</v>
      </c>
      <c r="AL30" s="11">
        <v>0</v>
      </c>
      <c r="AM30" s="11">
        <v>0</v>
      </c>
      <c r="AN30" s="11">
        <v>0</v>
      </c>
      <c r="AO30" s="13">
        <f>IFERROR(350/F30,0)</f>
        <v>3.4350770438708413E-2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591557</v>
      </c>
      <c r="F31" s="17">
        <f>SUM(F14:F30)</f>
        <v>531830</v>
      </c>
      <c r="G31" s="17">
        <f>SUM(G14:G30)</f>
        <v>970</v>
      </c>
      <c r="H31" s="18">
        <f t="shared" si="12"/>
        <v>1.8238910930184458E-3</v>
      </c>
      <c r="I31" s="18"/>
      <c r="J31" s="17">
        <f>SUM(J14:J30)</f>
        <v>2942470</v>
      </c>
      <c r="K31" s="19">
        <f t="shared" si="13"/>
        <v>79.038951759557975</v>
      </c>
      <c r="L31" s="19"/>
      <c r="M31" s="19">
        <f>IFERROR(SUMPRODUCT($F14:$F30,M14:M30)/$F31, 0)</f>
        <v>81.07281603143862</v>
      </c>
      <c r="N31" s="19">
        <f t="shared" si="14"/>
        <v>-2.0338642718806454</v>
      </c>
      <c r="O31" s="19">
        <f>IFERROR(SUMPRODUCT($E14:$E30,O14:O30)/$E31, 0)</f>
        <v>219.87166071908538</v>
      </c>
      <c r="P31" s="19">
        <f>IFERROR(SUMPRODUCT($E14:$E30,P14:P30)/$E31, 0)</f>
        <v>79.029190762682205</v>
      </c>
      <c r="Q31" s="19">
        <f>IFERROR(SUMPRODUCT($E14:$E30,Q14:Q30)/$E31, 0)</f>
        <v>140.84246995640319</v>
      </c>
      <c r="R31" s="17">
        <f>SUM(R14:R30)</f>
        <v>429296</v>
      </c>
      <c r="S31" s="19">
        <f>IFERROR(R31/D31/$F31*1000,0)</f>
        <v>115.31504428106726</v>
      </c>
      <c r="T31" s="20">
        <f t="shared" si="17"/>
        <v>6.8541752077820428</v>
      </c>
      <c r="U31" s="17">
        <f>SUM(U14:U30)</f>
        <v>747521</v>
      </c>
      <c r="V31" s="19">
        <f>IFERROR(U31/D31/$F31*1000,0)</f>
        <v>200.79482971196489</v>
      </c>
      <c r="W31" s="19">
        <f t="shared" si="19"/>
        <v>1.7412717565502591</v>
      </c>
      <c r="X31" s="19">
        <f>IFERROR(SUMPRODUCT(R14:R30,X14:X30)/R31,0)</f>
        <v>297.63938548893503</v>
      </c>
      <c r="Y31" s="19">
        <f>IFERROR(($F31*S31)/($F31*K31)*100,0)</f>
        <v>145.89647473041356</v>
      </c>
      <c r="Z31" s="19">
        <f t="shared" si="21"/>
        <v>43.424537083762232</v>
      </c>
      <c r="AA31" s="17"/>
      <c r="AB31" s="21">
        <f>IFERROR(SUMPRODUCT($F14:$F30,AB14:AB30)/$F31,0)</f>
        <v>0.67448849452125015</v>
      </c>
      <c r="AC31" s="19"/>
      <c r="AD31" s="21">
        <f>AVERAGE(AD14:AD30)</f>
        <v>0.40767291611218481</v>
      </c>
      <c r="AE31" s="19"/>
      <c r="AF31" s="19"/>
      <c r="AG31" s="17">
        <f>SUM(AG14:AG30)</f>
        <v>-75716.902500000011</v>
      </c>
      <c r="AH31" s="17">
        <f>SUM(AH14:AH30)</f>
        <v>174</v>
      </c>
      <c r="AI31" s="17">
        <f>IFERROR(SUMPRODUCT(AH14:AH30,AI14:AI30)/AH31, 0)</f>
        <v>16.666666666655171</v>
      </c>
      <c r="AJ31" s="19">
        <f>AVERAGE(AJ14:AJ30)</f>
        <v>9.235294117647058</v>
      </c>
      <c r="AK31" s="19">
        <f>AVERAGE(AK14:AK30)</f>
        <v>7.4117647058823533</v>
      </c>
      <c r="AL31" s="19">
        <f>AVERAGE(AL14:AL30)</f>
        <v>2.9411764705882355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637762</v>
      </c>
      <c r="F33" s="23">
        <f>F12+F31</f>
        <v>572133</v>
      </c>
      <c r="G33" s="23">
        <f>G12+G31</f>
        <v>1147</v>
      </c>
      <c r="H33" s="24">
        <f>IFERROR(G33/F33,0)</f>
        <v>2.0047786091695464E-3</v>
      </c>
      <c r="I33" s="23"/>
      <c r="J33" s="23">
        <f>J12+J31</f>
        <v>3128500</v>
      </c>
      <c r="K33" s="25">
        <f>IFERROR(J33/D33/F33*100,0)</f>
        <v>78.116202251674252</v>
      </c>
      <c r="L33" s="23"/>
      <c r="M33" s="25">
        <f>IFERROR($F$12/$F33*M$12,0)+IFERROR($F$31/$F33*M$31,0)</f>
        <v>80.698286499817357</v>
      </c>
      <c r="N33" s="25">
        <f>K33-M33</f>
        <v>-2.5820842481431043</v>
      </c>
      <c r="O33" s="23">
        <f>IFERROR($E$12/$E33*O$12,0)+IFERROR($E$31/$E33*O$31,0)</f>
        <v>220.30891774674564</v>
      </c>
      <c r="P33" s="23">
        <f>IFERROR($E$12/$E33*P$12,0)+IFERROR($E$31/$E33*P$31,0)</f>
        <v>89.484169643221151</v>
      </c>
      <c r="Q33" s="23">
        <f>IFERROR($E$12/$E33*Q$12,0)+IFERROR($E$31/$E33*Q$31,0)</f>
        <v>130.82474810352451</v>
      </c>
      <c r="R33" s="23">
        <f>R12+R31</f>
        <v>463392</v>
      </c>
      <c r="S33" s="25">
        <f>IFERROR(R33/D33/$F33*1000,0)</f>
        <v>115.70536421226733</v>
      </c>
      <c r="T33" s="26">
        <f>IFERROR(J33/R33,0)</f>
        <v>6.7513034320834198</v>
      </c>
      <c r="U33" s="23">
        <f>U12+U31</f>
        <v>762641</v>
      </c>
      <c r="V33" s="25">
        <f>IFERROR(U33/D33/$F33*1000,0)</f>
        <v>190.42550296122457</v>
      </c>
      <c r="W33" s="25">
        <f>IFERROR(V33/S33,0)</f>
        <v>1.6457793833298806</v>
      </c>
      <c r="X33" s="25">
        <f>IFERROR($F$12/$F33*X$12,0)+IFERROR($F$31/$F33*X$31,0)</f>
        <v>302.54877338172884</v>
      </c>
      <c r="Y33" s="25">
        <f>IFERROR(($F33*S33)/($F33*K33)*100,0)</f>
        <v>148.11954610835863</v>
      </c>
      <c r="Z33" s="25">
        <f>IFERROR(Y33*X33/1000,0)</f>
        <v>44.813386988942327</v>
      </c>
      <c r="AA33" s="23"/>
      <c r="AB33" s="27"/>
      <c r="AC33" s="23"/>
      <c r="AD33" s="27"/>
      <c r="AE33" s="23"/>
      <c r="AF33" s="23"/>
      <c r="AG33" s="23">
        <f>AG12+AG31</f>
        <v>-103410.6925</v>
      </c>
      <c r="AH33" s="23">
        <f>AH12+AH31</f>
        <v>174</v>
      </c>
      <c r="AI33" s="23">
        <f>IFERROR(AH$12/AH33*AI$12,0)+IFERROR(AH$31/AH33*AI$31,0)</f>
        <v>16.666666666655171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61</v>
      </c>
      <c r="T36" s="32" t="s">
        <v>70</v>
      </c>
      <c r="U36" s="32" t="s">
        <v>71</v>
      </c>
      <c r="V36" s="32" t="s">
        <v>72</v>
      </c>
      <c r="W36" s="32" t="s">
        <v>62</v>
      </c>
      <c r="X36" s="32" t="s">
        <v>66</v>
      </c>
      <c r="Y36" s="32" t="s">
        <v>67</v>
      </c>
      <c r="Z36" s="32" t="s">
        <v>81</v>
      </c>
      <c r="AA36" s="32" t="s">
        <v>63</v>
      </c>
      <c r="AB36" s="32" t="s">
        <v>68</v>
      </c>
      <c r="AC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>
        <v>2.5000000000000001E-3</v>
      </c>
      <c r="T37" s="8">
        <v>5.3E-3</v>
      </c>
      <c r="U37" s="8">
        <v>6.3E-3</v>
      </c>
      <c r="V37" s="8">
        <v>2.7000000000000001E-3</v>
      </c>
      <c r="W37" s="8">
        <v>1.5E-3</v>
      </c>
      <c r="X37" s="8">
        <v>1.4E-3</v>
      </c>
      <c r="Y37" s="8">
        <v>2.8E-3</v>
      </c>
      <c r="Z37" s="8">
        <v>1.6999999999999999E-3</v>
      </c>
      <c r="AA37" s="8"/>
      <c r="AB37" s="8"/>
      <c r="AC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>
        <v>2.5000000000000001E-3</v>
      </c>
      <c r="T38" s="9">
        <v>5.7999999999999996E-3</v>
      </c>
      <c r="U38" s="9">
        <v>3.5999999999999999E-3</v>
      </c>
      <c r="V38" s="9">
        <v>2.3E-3</v>
      </c>
      <c r="W38" s="9">
        <v>1.5E-3</v>
      </c>
      <c r="X38" s="9">
        <v>1E-3</v>
      </c>
      <c r="Y38" s="9">
        <v>3.0000000000000001E-3</v>
      </c>
      <c r="Z38" s="9">
        <v>1.8E-3</v>
      </c>
      <c r="AA38" s="9"/>
      <c r="AB38" s="9"/>
      <c r="AC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>
        <v>2.5000000000000001E-3</v>
      </c>
      <c r="T39" s="9">
        <v>5.4999999999999997E-3</v>
      </c>
      <c r="U39" s="9">
        <v>3.5000000000000001E-3</v>
      </c>
      <c r="V39" s="9">
        <v>2.5000000000000001E-3</v>
      </c>
      <c r="W39" s="9">
        <v>1.6999999999999999E-3</v>
      </c>
      <c r="X39" s="9">
        <v>6.9999999999999999E-4</v>
      </c>
      <c r="Y39" s="9">
        <v>2.8E-3</v>
      </c>
      <c r="Z39" s="9">
        <v>1.4E-3</v>
      </c>
      <c r="AA39" s="9"/>
      <c r="AB39" s="9"/>
      <c r="AC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>
        <v>2.5999999999999999E-3</v>
      </c>
      <c r="T40" s="9">
        <v>3.2000000000000002E-3</v>
      </c>
      <c r="U40" s="9">
        <v>3.7000000000000002E-3</v>
      </c>
      <c r="V40" s="9">
        <v>2.5000000000000001E-3</v>
      </c>
      <c r="W40" s="9">
        <v>1.6000000000000001E-3</v>
      </c>
      <c r="X40" s="9">
        <v>8.9999999999999998E-4</v>
      </c>
      <c r="Y40" s="9">
        <v>3.5000000000000001E-3</v>
      </c>
      <c r="Z40" s="9">
        <v>1.6000000000000001E-3</v>
      </c>
      <c r="AA40" s="9"/>
      <c r="AB40" s="9"/>
      <c r="AC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>
        <v>2.3E-3</v>
      </c>
      <c r="T41" s="9">
        <v>2.2000000000000001E-3</v>
      </c>
      <c r="U41" s="9">
        <v>4.4000000000000003E-3</v>
      </c>
      <c r="V41" s="9">
        <v>2.3E-3</v>
      </c>
      <c r="W41" s="9">
        <v>1.6000000000000001E-3</v>
      </c>
      <c r="X41" s="9">
        <v>8.9999999999999998E-4</v>
      </c>
      <c r="Y41" s="9">
        <v>3.0999999999999999E-3</v>
      </c>
      <c r="Z41" s="9">
        <v>1.5E-3</v>
      </c>
      <c r="AA41" s="9"/>
      <c r="AB41" s="9"/>
      <c r="AC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>
        <v>1.6999999999999999E-3</v>
      </c>
      <c r="T42" s="9">
        <v>3.0000000000000001E-3</v>
      </c>
      <c r="U42" s="9">
        <v>3.5999999999999999E-3</v>
      </c>
      <c r="V42" s="9">
        <v>1.8E-3</v>
      </c>
      <c r="W42" s="9">
        <v>8.9999999999999998E-4</v>
      </c>
      <c r="X42" s="9">
        <v>5.9999999999999995E-4</v>
      </c>
      <c r="Y42" s="9">
        <v>1.6999999999999999E-3</v>
      </c>
      <c r="Z42" s="9">
        <v>1E-3</v>
      </c>
      <c r="AA42" s="9">
        <v>0</v>
      </c>
      <c r="AB42" s="9">
        <v>0</v>
      </c>
      <c r="AC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>
        <v>1.9E-3</v>
      </c>
      <c r="T43" s="9">
        <v>4.3E-3</v>
      </c>
      <c r="U43" s="9">
        <v>4.1999999999999997E-3</v>
      </c>
      <c r="V43" s="9">
        <v>4.4000000000000003E-3</v>
      </c>
      <c r="W43" s="9">
        <v>1.1000000000000001E-3</v>
      </c>
      <c r="X43" s="9">
        <v>5.0000000000000001E-4</v>
      </c>
      <c r="Y43" s="9">
        <v>2.0999999999999999E-3</v>
      </c>
      <c r="Z43" s="9">
        <v>1.1999999999999999E-3</v>
      </c>
      <c r="AA43" s="9">
        <v>8.9999999999999998E-4</v>
      </c>
      <c r="AB43" s="9">
        <v>8.0000000000000004E-4</v>
      </c>
      <c r="AC43" s="9">
        <v>6.9999999999999999E-4</v>
      </c>
    </row>
    <row r="44" spans="1:46" ht="15" thickBot="1" x14ac:dyDescent="0.35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>
        <v>1.9E-3</v>
      </c>
      <c r="T44" s="9">
        <v>3.0999999999999999E-3</v>
      </c>
      <c r="U44" s="9">
        <v>3.2000000000000002E-3</v>
      </c>
      <c r="V44" s="9">
        <v>2.3E-3</v>
      </c>
      <c r="W44" s="9">
        <v>1.1000000000000001E-3</v>
      </c>
      <c r="X44" s="9">
        <v>5.0000000000000001E-4</v>
      </c>
      <c r="Y44" s="9">
        <v>2.8E-3</v>
      </c>
      <c r="Z44" s="9">
        <v>1.2999999999999999E-3</v>
      </c>
      <c r="AA44" s="9">
        <v>1.1999999999999999E-3</v>
      </c>
      <c r="AB44" s="9">
        <v>6.9999999999999999E-4</v>
      </c>
      <c r="AC44" s="9">
        <v>5.9999999999999995E-4</v>
      </c>
    </row>
    <row r="45" spans="1:46" ht="15" thickBot="1" x14ac:dyDescent="0.35">
      <c r="B45" s="22" t="s">
        <v>82</v>
      </c>
      <c r="C45" s="22"/>
      <c r="D45" s="24">
        <f t="shared" ref="D45:AC45" si="23">AVERAGE(D37:D44)</f>
        <v>2.5000000000000005E-3</v>
      </c>
      <c r="E45" s="24">
        <f t="shared" si="23"/>
        <v>4.637500000000001E-3</v>
      </c>
      <c r="F45" s="24">
        <f t="shared" si="23"/>
        <v>2.3124999999999999E-3</v>
      </c>
      <c r="G45" s="24">
        <f t="shared" si="23"/>
        <v>6.1875000000000003E-3</v>
      </c>
      <c r="H45" s="24">
        <f t="shared" si="23"/>
        <v>4.8624999999999996E-3</v>
      </c>
      <c r="I45" s="24">
        <f t="shared" si="23"/>
        <v>4.0249999999999999E-3</v>
      </c>
      <c r="J45" s="24">
        <f t="shared" si="23"/>
        <v>3.075E-3</v>
      </c>
      <c r="K45" s="24">
        <f t="shared" si="23"/>
        <v>3.7624999999999998E-3</v>
      </c>
      <c r="L45" s="24">
        <f t="shared" si="23"/>
        <v>2.3625000000000005E-3</v>
      </c>
      <c r="M45" s="24">
        <f t="shared" si="23"/>
        <v>3.4124999999999997E-3</v>
      </c>
      <c r="N45" s="24">
        <f t="shared" si="23"/>
        <v>2.3249999999999998E-3</v>
      </c>
      <c r="O45" s="24">
        <f t="shared" si="23"/>
        <v>6.8000000000000005E-3</v>
      </c>
      <c r="P45" s="24">
        <f t="shared" si="23"/>
        <v>2.5624999999999997E-3</v>
      </c>
      <c r="Q45" s="24">
        <f t="shared" si="23"/>
        <v>3.7749999999999997E-3</v>
      </c>
      <c r="R45" s="24">
        <f t="shared" si="23"/>
        <v>1.5999999999999999E-3</v>
      </c>
      <c r="S45" s="24">
        <f t="shared" si="23"/>
        <v>2.2374999999999999E-3</v>
      </c>
      <c r="T45" s="24">
        <f t="shared" si="23"/>
        <v>4.0499999999999998E-3</v>
      </c>
      <c r="U45" s="24">
        <f t="shared" si="23"/>
        <v>4.0624999999999993E-3</v>
      </c>
      <c r="V45" s="24">
        <f t="shared" si="23"/>
        <v>2.5999999999999999E-3</v>
      </c>
      <c r="W45" s="24">
        <f t="shared" si="23"/>
        <v>1.3750000000000001E-3</v>
      </c>
      <c r="X45" s="24">
        <f t="shared" si="23"/>
        <v>8.1250000000000007E-4</v>
      </c>
      <c r="Y45" s="24">
        <f t="shared" si="23"/>
        <v>2.725E-3</v>
      </c>
      <c r="Z45" s="24">
        <f t="shared" si="23"/>
        <v>1.4375E-3</v>
      </c>
      <c r="AA45" s="24">
        <f t="shared" si="23"/>
        <v>6.9999999999999999E-4</v>
      </c>
      <c r="AB45" s="24">
        <f t="shared" si="23"/>
        <v>5.0000000000000001E-4</v>
      </c>
      <c r="AC45" s="24">
        <f t="shared" si="23"/>
        <v>8.6249999999999988E-4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46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5.44140625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45717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111</v>
      </c>
      <c r="C6" s="7">
        <v>41</v>
      </c>
      <c r="D6" s="7">
        <v>7</v>
      </c>
      <c r="E6" s="7">
        <v>1197</v>
      </c>
      <c r="F6" s="7">
        <v>1087</v>
      </c>
      <c r="G6" s="7">
        <v>10</v>
      </c>
      <c r="H6" s="9">
        <f t="shared" ref="H6:H12" si="0">IFERROR(G6/F6,0)</f>
        <v>9.1996320147194107E-3</v>
      </c>
      <c r="I6" s="9">
        <f>IFERROR((1197-F6)/1197,0)</f>
        <v>9.1896407685881365E-2</v>
      </c>
      <c r="J6" s="7">
        <v>2010</v>
      </c>
      <c r="K6" s="11">
        <f t="shared" ref="K6:K12" si="1">IFERROR(J6/D6/F6*100,0)</f>
        <v>26.416086213694314</v>
      </c>
      <c r="L6" s="11">
        <f>K6-58.6014</f>
        <v>-32.185313786305684</v>
      </c>
      <c r="M6" s="11">
        <v>66</v>
      </c>
      <c r="N6" s="11">
        <f t="shared" ref="N6:N12" si="2">K6-M6</f>
        <v>-39.583913786305686</v>
      </c>
      <c r="O6" s="11">
        <f>IFERROR(100040/1197,0)</f>
        <v>83.575605680868833</v>
      </c>
      <c r="P6" s="11">
        <v>0</v>
      </c>
      <c r="Q6" s="11">
        <f t="shared" ref="Q6:Q11" si="3">IFERROR(O6-P6,0)</f>
        <v>83.575605680868833</v>
      </c>
      <c r="R6" s="7">
        <v>197</v>
      </c>
      <c r="S6" s="11">
        <f t="shared" ref="S6:S11" si="4">IFERROR(R6/D6/F6*1000,0)</f>
        <v>25.890392955710343</v>
      </c>
      <c r="T6" s="13">
        <f t="shared" ref="T6:T12" si="5">IFERROR(J6/R6,0)</f>
        <v>10.203045685279188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98.009950248756212</v>
      </c>
      <c r="Z6" s="11">
        <f t="shared" ref="Z6:Z12" si="9">IFERROR(Y6*X6/1000,0)</f>
        <v>29.097194029850744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36</v>
      </c>
      <c r="AG6" s="7">
        <f t="shared" ref="AG6:AG11" si="10">IF(M6=0,0,IFERROR(N6/100*7*F6,0))</f>
        <v>-3011.9399999999996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71</v>
      </c>
      <c r="C7" s="7">
        <v>1</v>
      </c>
      <c r="D7" s="7">
        <v>7</v>
      </c>
      <c r="E7" s="7">
        <v>14440</v>
      </c>
      <c r="F7" s="7">
        <v>11902</v>
      </c>
      <c r="G7" s="7">
        <v>206</v>
      </c>
      <c r="H7" s="9">
        <f t="shared" si="0"/>
        <v>1.7308015459586625E-2</v>
      </c>
      <c r="I7" s="9">
        <f>IFERROR((14440-F7)/14440,0)</f>
        <v>0.17576177285318559</v>
      </c>
      <c r="J7" s="7">
        <v>29910</v>
      </c>
      <c r="K7" s="11">
        <f t="shared" si="1"/>
        <v>35.900328876299305</v>
      </c>
      <c r="L7" s="11">
        <f>K7-69.8358</f>
        <v>-33.935471123700701</v>
      </c>
      <c r="M7" s="11">
        <v>28</v>
      </c>
      <c r="N7" s="11">
        <f t="shared" si="2"/>
        <v>7.9003288762993051</v>
      </c>
      <c r="O7" s="11">
        <f>IFERROR(4093120/14440,0)</f>
        <v>283.45706371191136</v>
      </c>
      <c r="P7" s="11">
        <v>0</v>
      </c>
      <c r="Q7" s="11">
        <f t="shared" si="3"/>
        <v>283.45706371191136</v>
      </c>
      <c r="R7" s="7">
        <v>198</v>
      </c>
      <c r="S7" s="11">
        <f t="shared" si="4"/>
        <v>2.3765513599155002</v>
      </c>
      <c r="T7" s="13">
        <f t="shared" si="5"/>
        <v>151.06060606060606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6.6198595787362073</v>
      </c>
      <c r="Z7" s="11">
        <f t="shared" si="9"/>
        <v>2.4702006018054159</v>
      </c>
      <c r="AA7" s="7">
        <v>1603</v>
      </c>
      <c r="AB7" s="15">
        <f>IFERROR(AA7/1970,0)</f>
        <v>0.81370558375634516</v>
      </c>
      <c r="AC7" s="11">
        <v>0</v>
      </c>
      <c r="AD7" s="15">
        <f>IFERROR(AC7/64.3,0)</f>
        <v>0</v>
      </c>
      <c r="AE7" s="11">
        <v>12</v>
      </c>
      <c r="AF7" s="11">
        <v>36</v>
      </c>
      <c r="AG7" s="7">
        <f t="shared" si="10"/>
        <v>6582.0800000000036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71</v>
      </c>
      <c r="C8" s="7">
        <v>1</v>
      </c>
      <c r="D8" s="7">
        <v>7</v>
      </c>
      <c r="E8" s="7">
        <v>16063</v>
      </c>
      <c r="F8" s="7">
        <v>13696</v>
      </c>
      <c r="G8" s="7">
        <v>78</v>
      </c>
      <c r="H8" s="9">
        <f t="shared" si="0"/>
        <v>5.695093457943925E-3</v>
      </c>
      <c r="I8" s="9">
        <f>IFERROR((16063-F8)/16063,0)</f>
        <v>0.14735728070721535</v>
      </c>
      <c r="J8" s="7">
        <v>30210</v>
      </c>
      <c r="K8" s="11">
        <f t="shared" si="1"/>
        <v>31.510764352469955</v>
      </c>
      <c r="L8" s="11">
        <f>K8-64.0026</f>
        <v>-32.491835647530046</v>
      </c>
      <c r="M8" s="11">
        <v>26</v>
      </c>
      <c r="N8" s="11">
        <f t="shared" si="2"/>
        <v>5.5107643524699554</v>
      </c>
      <c r="O8" s="11">
        <f>IFERROR(4243650/16063,0)</f>
        <v>264.18788520201707</v>
      </c>
      <c r="P8" s="11">
        <v>0</v>
      </c>
      <c r="Q8" s="11">
        <f t="shared" si="3"/>
        <v>264.18788520201707</v>
      </c>
      <c r="R8" s="7">
        <v>50</v>
      </c>
      <c r="S8" s="11">
        <f t="shared" si="4"/>
        <v>0.52152870493991998</v>
      </c>
      <c r="T8" s="13">
        <f t="shared" si="5"/>
        <v>604.20000000000005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1.6550810989738503</v>
      </c>
      <c r="Z8" s="11">
        <f t="shared" si="9"/>
        <v>0.61238000662032455</v>
      </c>
      <c r="AA8" s="7">
        <v>1395</v>
      </c>
      <c r="AB8" s="15">
        <f>IFERROR(AA8/1580,0)</f>
        <v>0.88291139240506333</v>
      </c>
      <c r="AC8" s="11">
        <v>0</v>
      </c>
      <c r="AD8" s="15">
        <f>IFERROR(AC8/63.3,0)</f>
        <v>0</v>
      </c>
      <c r="AE8" s="11">
        <v>12</v>
      </c>
      <c r="AF8" s="11">
        <v>36</v>
      </c>
      <c r="AG8" s="7">
        <f t="shared" si="10"/>
        <v>5283.2799999999952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32</v>
      </c>
      <c r="C9" s="7"/>
      <c r="D9" s="7">
        <v>7</v>
      </c>
      <c r="E9" s="7">
        <v>4686</v>
      </c>
      <c r="F9" s="7">
        <v>4309</v>
      </c>
      <c r="G9" s="7">
        <v>22</v>
      </c>
      <c r="H9" s="9">
        <f t="shared" si="0"/>
        <v>5.1055929449988395E-3</v>
      </c>
      <c r="I9" s="9">
        <f>IFERROR((4686-F9)/4686,0)</f>
        <v>8.0452411438326932E-2</v>
      </c>
      <c r="J9" s="7">
        <v>30150</v>
      </c>
      <c r="K9" s="11">
        <f t="shared" si="1"/>
        <v>99.956900838775979</v>
      </c>
      <c r="L9" s="11">
        <f>K9-98.8554</f>
        <v>1.1015008387759764</v>
      </c>
      <c r="M9" s="11">
        <v>94.5</v>
      </c>
      <c r="N9" s="11">
        <f t="shared" si="2"/>
        <v>5.4569008387759794</v>
      </c>
      <c r="O9" s="11">
        <f>IFERROR(342690/4686,0)</f>
        <v>73.130601792573628</v>
      </c>
      <c r="P9" s="11">
        <v>85</v>
      </c>
      <c r="Q9" s="11">
        <f t="shared" si="3"/>
        <v>-11.869398207426372</v>
      </c>
      <c r="R9" s="7">
        <v>4643</v>
      </c>
      <c r="S9" s="11">
        <f t="shared" si="4"/>
        <v>153.93031197162088</v>
      </c>
      <c r="T9" s="13">
        <f t="shared" si="5"/>
        <v>6.4936463493430967</v>
      </c>
      <c r="U9" s="7">
        <v>5040</v>
      </c>
      <c r="V9" s="11">
        <f t="shared" si="6"/>
        <v>167.09213274541656</v>
      </c>
      <c r="W9" s="11">
        <f t="shared" si="7"/>
        <v>1.0855050613827264</v>
      </c>
      <c r="X9" s="11">
        <v>362.76</v>
      </c>
      <c r="Y9" s="11">
        <f t="shared" si="8"/>
        <v>153.99668325041463</v>
      </c>
      <c r="Z9" s="11">
        <f t="shared" si="9"/>
        <v>55.863836815920408</v>
      </c>
      <c r="AA9" s="7">
        <v>1895</v>
      </c>
      <c r="AB9" s="15">
        <f>IFERROR(AA9/1910,0)</f>
        <v>0.99214659685863871</v>
      </c>
      <c r="AC9" s="11">
        <v>0</v>
      </c>
      <c r="AD9" s="15">
        <f>IFERROR(AC9/61.3,0)</f>
        <v>0</v>
      </c>
      <c r="AE9" s="11">
        <v>0</v>
      </c>
      <c r="AF9" s="11">
        <v>33</v>
      </c>
      <c r="AG9" s="7">
        <f t="shared" si="10"/>
        <v>1645.9649999999986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71</v>
      </c>
      <c r="C10" s="7">
        <v>3</v>
      </c>
      <c r="D10" s="7">
        <v>7</v>
      </c>
      <c r="E10" s="7">
        <v>5000</v>
      </c>
      <c r="F10" s="7">
        <v>4286</v>
      </c>
      <c r="G10" s="7">
        <v>19</v>
      </c>
      <c r="H10" s="9">
        <f t="shared" si="0"/>
        <v>4.4330377974801678E-3</v>
      </c>
      <c r="I10" s="9">
        <f>IFERROR((5000-F10)/5000,0)</f>
        <v>0.14280000000000001</v>
      </c>
      <c r="J10" s="7">
        <v>0</v>
      </c>
      <c r="K10" s="11">
        <f t="shared" si="1"/>
        <v>0</v>
      </c>
      <c r="L10" s="11">
        <f>K10-0</f>
        <v>0</v>
      </c>
      <c r="M10" s="11">
        <v>0</v>
      </c>
      <c r="N10" s="11">
        <f t="shared" si="2"/>
        <v>0</v>
      </c>
      <c r="O10" s="11">
        <f>IFERROR(1413400/5000,0)</f>
        <v>282.68</v>
      </c>
      <c r="P10" s="11">
        <v>0</v>
      </c>
      <c r="Q10" s="11">
        <f t="shared" si="3"/>
        <v>282.68</v>
      </c>
      <c r="R10" s="7">
        <v>3130</v>
      </c>
      <c r="S10" s="11">
        <f t="shared" si="4"/>
        <v>104.32637824145058</v>
      </c>
      <c r="T10" s="13">
        <f t="shared" si="5"/>
        <v>0</v>
      </c>
      <c r="U10" s="7">
        <v>5040</v>
      </c>
      <c r="V10" s="11">
        <f t="shared" si="6"/>
        <v>167.9888007466169</v>
      </c>
      <c r="W10" s="11">
        <f t="shared" si="7"/>
        <v>1.6102236421725238</v>
      </c>
      <c r="X10" s="11">
        <v>374.81</v>
      </c>
      <c r="Y10" s="11">
        <f t="shared" si="8"/>
        <v>0</v>
      </c>
      <c r="Z10" s="11">
        <f t="shared" si="9"/>
        <v>0</v>
      </c>
      <c r="AA10" s="7">
        <v>0</v>
      </c>
      <c r="AB10" s="15">
        <f>IFERROR(AA10/1970,0)</f>
        <v>0</v>
      </c>
      <c r="AC10" s="11">
        <v>0</v>
      </c>
      <c r="AD10" s="15">
        <f>IFERROR(AC10/64.3,0)</f>
        <v>0</v>
      </c>
      <c r="AE10" s="11">
        <v>18</v>
      </c>
      <c r="AF10" s="11">
        <v>33</v>
      </c>
      <c r="AG10" s="7">
        <f t="shared" si="10"/>
        <v>0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32</v>
      </c>
      <c r="C11" s="7"/>
      <c r="D11" s="7">
        <v>7</v>
      </c>
      <c r="E11" s="7">
        <v>4819</v>
      </c>
      <c r="F11" s="7">
        <v>4670</v>
      </c>
      <c r="G11" s="7">
        <v>18</v>
      </c>
      <c r="H11" s="9">
        <f t="shared" si="0"/>
        <v>3.854389721627409E-3</v>
      </c>
      <c r="I11" s="9">
        <f>IFERROR((4819-F11)/4819,0)</f>
        <v>3.0919277858476861E-2</v>
      </c>
      <c r="J11" s="7">
        <v>30480</v>
      </c>
      <c r="K11" s="11">
        <f t="shared" si="1"/>
        <v>93.239522789844003</v>
      </c>
      <c r="L11" s="11">
        <f>K11-93.43</f>
        <v>-0.19047721015600416</v>
      </c>
      <c r="M11" s="11">
        <v>94.5</v>
      </c>
      <c r="N11" s="11">
        <f t="shared" si="2"/>
        <v>-1.2604772101559973</v>
      </c>
      <c r="O11" s="11">
        <f>IFERROR(367896/4819,0)</f>
        <v>76.342809711558417</v>
      </c>
      <c r="P11" s="11">
        <v>85</v>
      </c>
      <c r="Q11" s="11">
        <f t="shared" si="3"/>
        <v>-8.6571902884415834</v>
      </c>
      <c r="R11" s="7">
        <v>4615</v>
      </c>
      <c r="S11" s="11">
        <f t="shared" si="4"/>
        <v>141.17467115325789</v>
      </c>
      <c r="T11" s="13">
        <f t="shared" si="5"/>
        <v>6.6045503791982663</v>
      </c>
      <c r="U11" s="7">
        <v>5040</v>
      </c>
      <c r="V11" s="11">
        <f t="shared" si="6"/>
        <v>154.17558886509636</v>
      </c>
      <c r="W11" s="11">
        <f t="shared" si="7"/>
        <v>1.0920910075839652</v>
      </c>
      <c r="X11" s="11">
        <v>362.76</v>
      </c>
      <c r="Y11" s="11">
        <f t="shared" si="8"/>
        <v>151.41076115485563</v>
      </c>
      <c r="Z11" s="11">
        <f t="shared" si="9"/>
        <v>54.925767716535425</v>
      </c>
      <c r="AA11" s="7">
        <v>1900</v>
      </c>
      <c r="AB11" s="15">
        <f>IFERROR(AA11/1910,0)</f>
        <v>0.99476439790575921</v>
      </c>
      <c r="AC11" s="11">
        <v>0</v>
      </c>
      <c r="AD11" s="15">
        <f>IFERROR(AC11/61.3,0)</f>
        <v>0</v>
      </c>
      <c r="AE11" s="11">
        <v>19</v>
      </c>
      <c r="AF11" s="11">
        <v>33</v>
      </c>
      <c r="AG11" s="7">
        <f t="shared" si="10"/>
        <v>-412.04999999999558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39950</v>
      </c>
      <c r="G12" s="17">
        <f>SUM(G6:G11)</f>
        <v>353</v>
      </c>
      <c r="H12" s="18">
        <f t="shared" si="0"/>
        <v>8.8360450563204004E-3</v>
      </c>
      <c r="I12" s="18"/>
      <c r="J12" s="17">
        <f>SUM(J6:J11)</f>
        <v>122760</v>
      </c>
      <c r="K12" s="19">
        <f t="shared" si="1"/>
        <v>43.897729304487754</v>
      </c>
      <c r="L12" s="19"/>
      <c r="M12" s="19">
        <f>IFERROR(SUMPRODUCT($F6:$F11,M6:M11)/$F12, 0)</f>
        <v>40.290600750938673</v>
      </c>
      <c r="N12" s="19">
        <f t="shared" si="2"/>
        <v>3.6071285535490816</v>
      </c>
      <c r="O12" s="19">
        <f>IFERROR(SUMPRODUCT($E6:$E11,O6:O11)/$E12, 0)</f>
        <v>228.5639216535007</v>
      </c>
      <c r="P12" s="19">
        <f>IFERROR(SUMPRODUCT($E6:$E11,P6:P11)/$E12, 0)</f>
        <v>17.485661724921545</v>
      </c>
      <c r="Q12" s="19">
        <f>IFERROR(SUMPRODUCT($E6:$E11,Q6:Q11)/$E12, 0)</f>
        <v>211.07825992857917</v>
      </c>
      <c r="R12" s="17">
        <f>SUM(R6:R11)</f>
        <v>12833</v>
      </c>
      <c r="S12" s="19">
        <f>IFERROR(R12/D12/$F12*1000,0)</f>
        <v>45.88950473806544</v>
      </c>
      <c r="T12" s="20">
        <f t="shared" si="5"/>
        <v>9.5659627522792796</v>
      </c>
      <c r="U12" s="17">
        <f>SUM(U6:U11)</f>
        <v>15120</v>
      </c>
      <c r="V12" s="19">
        <f>IFERROR(U12/D12/$F12*1000,0)</f>
        <v>54.06758448060075</v>
      </c>
      <c r="W12" s="19">
        <f t="shared" si="7"/>
        <v>1.1782124211018468</v>
      </c>
      <c r="X12" s="19">
        <f>IFERROR(SUMPRODUCT(R6:R11,X6:X11)/R12,0)</f>
        <v>364.87621288864642</v>
      </c>
      <c r="Y12" s="19">
        <f>IFERROR(($F12*S12)/($F12*K12)*100,0)</f>
        <v>104.53730856956665</v>
      </c>
      <c r="Z12" s="19">
        <f t="shared" si="9"/>
        <v>38.143177256435322</v>
      </c>
      <c r="AA12" s="17"/>
      <c r="AB12" s="21">
        <f>IFERROR(SUMPRODUCT($F6:$F11,AB6:AB11)/$F12,0)</f>
        <v>0.76840519930742268</v>
      </c>
      <c r="AC12" s="19"/>
      <c r="AD12" s="21">
        <f>AVERAGE(AD6:AD11)</f>
        <v>0</v>
      </c>
      <c r="AE12" s="19"/>
      <c r="AF12" s="19"/>
      <c r="AG12" s="17">
        <f>SUM(AG6:AG11)</f>
        <v>10087.335000000001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71</v>
      </c>
      <c r="C14" s="6">
        <v>8</v>
      </c>
      <c r="D14" s="6">
        <v>7</v>
      </c>
      <c r="E14" s="6">
        <v>21388</v>
      </c>
      <c r="F14" s="6">
        <v>16994</v>
      </c>
      <c r="G14" s="6">
        <v>36</v>
      </c>
      <c r="H14" s="8">
        <f t="shared" ref="H14:H31" si="12">IFERROR(G14/F14,0)</f>
        <v>2.1183947275509002E-3</v>
      </c>
      <c r="I14" s="8">
        <f>IFERROR((21388-F14)/21388,0)</f>
        <v>0.20544230409575462</v>
      </c>
      <c r="J14" s="6">
        <v>60630</v>
      </c>
      <c r="K14" s="10">
        <f t="shared" ref="K14:K31" si="13">IFERROR(J14/D14/F14*100,0)</f>
        <v>50.96756838548059</v>
      </c>
      <c r="L14" s="10">
        <f>K14-53.3261</f>
        <v>-2.3585316145194071</v>
      </c>
      <c r="M14" s="10">
        <v>81</v>
      </c>
      <c r="N14" s="10">
        <f t="shared" ref="N14:N31" si="14">K14-M14</f>
        <v>-30.03243161451941</v>
      </c>
      <c r="O14" s="10">
        <f>IFERROR(4341030/21388,0)</f>
        <v>202.96568169066765</v>
      </c>
      <c r="P14" s="10">
        <v>0</v>
      </c>
      <c r="Q14" s="10">
        <f t="shared" ref="Q14:Q30" si="15">IFERROR(O14-P14,0)</f>
        <v>202.96568169066765</v>
      </c>
      <c r="R14" s="6">
        <v>9990</v>
      </c>
      <c r="S14" s="10">
        <f t="shared" ref="S14:S30" si="16">IFERROR(R14/D14/F14*1000,0)</f>
        <v>83.979219556482121</v>
      </c>
      <c r="T14" s="12">
        <f t="shared" ref="T14:T31" si="17">IFERROR(J14/R14,0)</f>
        <v>6.0690690690690694</v>
      </c>
      <c r="U14" s="6">
        <v>21810</v>
      </c>
      <c r="V14" s="10">
        <f t="shared" ref="V14:V30" si="18">IFERROR(U14/D14/F14*1000,0)</f>
        <v>183.34201987256009</v>
      </c>
      <c r="W14" s="10">
        <f t="shared" ref="W14:W31" si="19">IFERROR(V14/S14,0)</f>
        <v>2.1831831831831834</v>
      </c>
      <c r="X14" s="10">
        <v>302.5933333333</v>
      </c>
      <c r="Y14" s="10">
        <f t="shared" ref="Y14:Y30" si="20">IFERROR((F14*S14)/(F14*K14)*100,0)</f>
        <v>164.76991588322613</v>
      </c>
      <c r="Z14" s="10">
        <f t="shared" ref="Z14:Z31" si="21">IFERROR(Y14*X14/1000,0)</f>
        <v>49.85827808015285</v>
      </c>
      <c r="AA14" s="6">
        <v>0</v>
      </c>
      <c r="AB14" s="14">
        <f>IFERROR(AA14/1580,0)</f>
        <v>0</v>
      </c>
      <c r="AC14" s="10">
        <v>0</v>
      </c>
      <c r="AD14" s="14">
        <f>IFERROR(AC14/63.3,0)</f>
        <v>0</v>
      </c>
      <c r="AE14" s="10">
        <v>22</v>
      </c>
      <c r="AF14" s="10">
        <v>26</v>
      </c>
      <c r="AG14" s="6">
        <f t="shared" ref="AG14:AG30" si="22">IF(M14=0,0,IFERROR(N14/100*7*F14,0))</f>
        <v>-35725.979999999996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31</v>
      </c>
      <c r="C15" s="7"/>
      <c r="D15" s="7">
        <v>7</v>
      </c>
      <c r="E15" s="7">
        <v>10225</v>
      </c>
      <c r="F15" s="7">
        <v>9442</v>
      </c>
      <c r="G15" s="7">
        <v>47</v>
      </c>
      <c r="H15" s="9">
        <f t="shared" si="12"/>
        <v>4.977758949375132E-3</v>
      </c>
      <c r="I15" s="9">
        <f>IFERROR((10225-F15)/10225,0)</f>
        <v>7.6577017114914422E-2</v>
      </c>
      <c r="J15" s="7">
        <v>55200</v>
      </c>
      <c r="K15" s="11">
        <f t="shared" si="13"/>
        <v>83.517414591339602</v>
      </c>
      <c r="L15" s="11">
        <f>K15-83.2242</f>
        <v>0.29321459133960559</v>
      </c>
      <c r="M15" s="11">
        <v>95</v>
      </c>
      <c r="N15" s="11">
        <f t="shared" si="14"/>
        <v>-11.482585408660398</v>
      </c>
      <c r="O15" s="11">
        <f>IFERROR(681230/10225,0)</f>
        <v>66.623960880195597</v>
      </c>
      <c r="P15" s="11">
        <v>78</v>
      </c>
      <c r="Q15" s="11">
        <f t="shared" si="15"/>
        <v>-11.376039119804403</v>
      </c>
      <c r="R15" s="7">
        <v>12230</v>
      </c>
      <c r="S15" s="11">
        <f t="shared" si="16"/>
        <v>185.03948921233396</v>
      </c>
      <c r="T15" s="13">
        <f t="shared" si="17"/>
        <v>4.5134914145543741</v>
      </c>
      <c r="U15" s="7">
        <v>13030</v>
      </c>
      <c r="V15" s="11">
        <f t="shared" si="18"/>
        <v>197.14346234151358</v>
      </c>
      <c r="W15" s="11">
        <f t="shared" si="19"/>
        <v>1.0654129190515125</v>
      </c>
      <c r="X15" s="11">
        <v>261.48</v>
      </c>
      <c r="Y15" s="11">
        <f t="shared" si="20"/>
        <v>221.55797101449278</v>
      </c>
      <c r="Z15" s="11">
        <f t="shared" si="21"/>
        <v>57.932978260869575</v>
      </c>
      <c r="AA15" s="7">
        <v>0</v>
      </c>
      <c r="AB15" s="15">
        <f>IFERROR(AA15/1900,0)</f>
        <v>0</v>
      </c>
      <c r="AC15" s="11">
        <v>0</v>
      </c>
      <c r="AD15" s="15">
        <f>IFERROR(AC15/61.1,0)</f>
        <v>0</v>
      </c>
      <c r="AE15" s="11">
        <v>15</v>
      </c>
      <c r="AF15" s="11">
        <v>32</v>
      </c>
      <c r="AG15" s="7">
        <f t="shared" si="22"/>
        <v>-7589.3000000000038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60</v>
      </c>
      <c r="C16" s="7"/>
      <c r="D16" s="7">
        <v>7</v>
      </c>
      <c r="E16" s="7">
        <v>56050</v>
      </c>
      <c r="F16" s="7">
        <v>51269</v>
      </c>
      <c r="G16" s="7">
        <v>140</v>
      </c>
      <c r="H16" s="9">
        <f t="shared" si="12"/>
        <v>2.7306949618677951E-3</v>
      </c>
      <c r="I16" s="9">
        <f>IFERROR((56050-F16)/56050,0)</f>
        <v>8.5298840321141836E-2</v>
      </c>
      <c r="J16" s="7">
        <v>337190</v>
      </c>
      <c r="K16" s="11">
        <f t="shared" si="13"/>
        <v>93.955411652265497</v>
      </c>
      <c r="L16" s="11">
        <f>K16-95.2196</f>
        <v>-1.2641883477345033</v>
      </c>
      <c r="M16" s="11">
        <v>91.4</v>
      </c>
      <c r="N16" s="11">
        <f t="shared" si="14"/>
        <v>2.5554116522654908</v>
      </c>
      <c r="O16" s="11">
        <f>IFERROR(14175781/56050,0)</f>
        <v>252.91313113291704</v>
      </c>
      <c r="P16" s="11">
        <v>257</v>
      </c>
      <c r="Q16" s="11">
        <f t="shared" si="15"/>
        <v>-4.0868688670829556</v>
      </c>
      <c r="R16" s="7">
        <v>43510</v>
      </c>
      <c r="S16" s="11">
        <f t="shared" si="16"/>
        <v>121.23728346006915</v>
      </c>
      <c r="T16" s="13">
        <f t="shared" si="17"/>
        <v>7.7497127097219032</v>
      </c>
      <c r="U16" s="7">
        <v>63700</v>
      </c>
      <c r="V16" s="11">
        <f t="shared" si="18"/>
        <v>177.49517252140672</v>
      </c>
      <c r="W16" s="11">
        <f t="shared" si="19"/>
        <v>1.4640312571822571</v>
      </c>
      <c r="X16" s="11">
        <v>300.56857142860002</v>
      </c>
      <c r="Y16" s="11">
        <f t="shared" si="20"/>
        <v>129.03704143064741</v>
      </c>
      <c r="Z16" s="11">
        <f t="shared" si="21"/>
        <v>38.784479204182766</v>
      </c>
      <c r="AA16" s="7">
        <v>1759</v>
      </c>
      <c r="AB16" s="15">
        <f>IFERROR(AA16/1725,0)</f>
        <v>1.0197101449275363</v>
      </c>
      <c r="AC16" s="11">
        <v>0</v>
      </c>
      <c r="AD16" s="15">
        <f>IFERROR(AC16/63.2,0)</f>
        <v>0</v>
      </c>
      <c r="AE16" s="11">
        <v>21</v>
      </c>
      <c r="AF16" s="11">
        <v>26</v>
      </c>
      <c r="AG16" s="7">
        <f t="shared" si="22"/>
        <v>9170.9379999999619</v>
      </c>
      <c r="AH16" s="7">
        <v>46</v>
      </c>
      <c r="AI16" s="7">
        <v>3.9130434783000001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IFERROR(1120/F16,0)</f>
        <v>2.1845559694942361E-2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134</v>
      </c>
      <c r="C17" s="7">
        <v>18</v>
      </c>
      <c r="D17" s="7">
        <v>7</v>
      </c>
      <c r="E17" s="7">
        <v>17433</v>
      </c>
      <c r="F17" s="7">
        <v>16020</v>
      </c>
      <c r="G17" s="7">
        <v>78</v>
      </c>
      <c r="H17" s="9">
        <f t="shared" si="12"/>
        <v>4.8689138576779025E-3</v>
      </c>
      <c r="I17" s="9">
        <f>IFERROR((17433-F17)/17433,0)</f>
        <v>8.1053175012906556E-2</v>
      </c>
      <c r="J17" s="7">
        <v>69230</v>
      </c>
      <c r="K17" s="11">
        <f t="shared" si="13"/>
        <v>61.73533083645443</v>
      </c>
      <c r="L17" s="11">
        <f>K17-62.1018</f>
        <v>-0.3664691635455668</v>
      </c>
      <c r="M17" s="11">
        <v>78</v>
      </c>
      <c r="N17" s="11">
        <f t="shared" si="14"/>
        <v>-16.26466916354557</v>
      </c>
      <c r="O17" s="11">
        <f>IFERROR(1299570/17433,0)</f>
        <v>74.546549647220786</v>
      </c>
      <c r="P17" s="11">
        <v>0</v>
      </c>
      <c r="Q17" s="11">
        <f t="shared" si="15"/>
        <v>74.546549647220786</v>
      </c>
      <c r="R17" s="7">
        <v>14410</v>
      </c>
      <c r="S17" s="11">
        <f t="shared" si="16"/>
        <v>128.50008917424645</v>
      </c>
      <c r="T17" s="13">
        <f t="shared" si="17"/>
        <v>4.8043025676613462</v>
      </c>
      <c r="U17" s="7">
        <v>27820</v>
      </c>
      <c r="V17" s="11">
        <f t="shared" si="18"/>
        <v>248.08275370073122</v>
      </c>
      <c r="W17" s="11">
        <f t="shared" si="19"/>
        <v>1.9306037473976407</v>
      </c>
      <c r="X17" s="11">
        <v>285.50285714289998</v>
      </c>
      <c r="Y17" s="11">
        <f t="shared" si="20"/>
        <v>208.14675718619094</v>
      </c>
      <c r="Z17" s="11">
        <f t="shared" si="21"/>
        <v>59.426493881686959</v>
      </c>
      <c r="AA17" s="7">
        <v>2496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18</v>
      </c>
      <c r="AF17" s="11">
        <v>31</v>
      </c>
      <c r="AG17" s="7">
        <f t="shared" si="22"/>
        <v>-18239.200000000004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53</v>
      </c>
      <c r="C18" s="7"/>
      <c r="D18" s="7">
        <v>7</v>
      </c>
      <c r="E18" s="7">
        <v>51536</v>
      </c>
      <c r="F18" s="7">
        <v>48890</v>
      </c>
      <c r="G18" s="7">
        <v>96</v>
      </c>
      <c r="H18" s="9">
        <f t="shared" si="12"/>
        <v>1.963591736551442E-3</v>
      </c>
      <c r="I18" s="9">
        <f>IFERROR((51536-F18)/51536,0)</f>
        <v>5.1342750698540829E-2</v>
      </c>
      <c r="J18" s="7">
        <v>319080</v>
      </c>
      <c r="K18" s="11">
        <f t="shared" si="13"/>
        <v>93.235543348040792</v>
      </c>
      <c r="L18" s="11">
        <f>K18-93.012</f>
        <v>0.22354334804079201</v>
      </c>
      <c r="M18" s="11">
        <v>93.2</v>
      </c>
      <c r="N18" s="11">
        <f t="shared" si="14"/>
        <v>3.5543348040789624E-2</v>
      </c>
      <c r="O18" s="11">
        <f>IFERROR(10593872/51536,0)</f>
        <v>205.56255821173548</v>
      </c>
      <c r="P18" s="11">
        <v>214</v>
      </c>
      <c r="Q18" s="11">
        <f t="shared" si="15"/>
        <v>-8.4374417882645218</v>
      </c>
      <c r="R18" s="7">
        <v>39680</v>
      </c>
      <c r="S18" s="11">
        <f t="shared" si="16"/>
        <v>115.94541682494228</v>
      </c>
      <c r="T18" s="13">
        <f t="shared" si="17"/>
        <v>8.04133064516129</v>
      </c>
      <c r="U18" s="7">
        <v>69087</v>
      </c>
      <c r="V18" s="11">
        <f t="shared" si="18"/>
        <v>201.87300937965696</v>
      </c>
      <c r="W18" s="11">
        <f t="shared" si="19"/>
        <v>1.7411038306451614</v>
      </c>
      <c r="X18" s="11">
        <v>282.39857142860001</v>
      </c>
      <c r="Y18" s="11">
        <f t="shared" si="20"/>
        <v>124.35752789269148</v>
      </c>
      <c r="Z18" s="11">
        <f t="shared" si="21"/>
        <v>35.118388223288356</v>
      </c>
      <c r="AA18" s="7">
        <v>1642</v>
      </c>
      <c r="AB18" s="15">
        <f>IFERROR(AA18/1675,0)</f>
        <v>0.98029850746268654</v>
      </c>
      <c r="AC18" s="11">
        <v>61.8</v>
      </c>
      <c r="AD18" s="15">
        <f>IFERROR(AC18/62.85,0)</f>
        <v>0.98329355608591884</v>
      </c>
      <c r="AE18" s="11">
        <v>22</v>
      </c>
      <c r="AF18" s="11">
        <v>28</v>
      </c>
      <c r="AG18" s="7">
        <f t="shared" si="22"/>
        <v>121.63999999999433</v>
      </c>
      <c r="AH18" s="7">
        <v>19</v>
      </c>
      <c r="AI18" s="7">
        <v>18.947368421099998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IFERROR(150/F18,0)</f>
        <v>3.0681120883616284E-3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101</v>
      </c>
      <c r="C19" s="7">
        <v>31</v>
      </c>
      <c r="D19" s="7">
        <v>7</v>
      </c>
      <c r="E19" s="7">
        <v>51311</v>
      </c>
      <c r="F19" s="7">
        <v>39732</v>
      </c>
      <c r="G19" s="7">
        <v>98</v>
      </c>
      <c r="H19" s="9">
        <f t="shared" si="12"/>
        <v>2.4665257223396757E-3</v>
      </c>
      <c r="I19" s="9">
        <f>IFERROR((51311-F19)/51311,0)</f>
        <v>0.22566311317261406</v>
      </c>
      <c r="J19" s="7">
        <v>237400</v>
      </c>
      <c r="K19" s="11">
        <f t="shared" si="13"/>
        <v>85.357610274553807</v>
      </c>
      <c r="L19" s="11">
        <f>K19-85.4058</f>
        <v>-4.818972544619271E-2</v>
      </c>
      <c r="M19" s="11">
        <v>74</v>
      </c>
      <c r="N19" s="11">
        <f t="shared" si="14"/>
        <v>11.357610274553807</v>
      </c>
      <c r="O19" s="11">
        <f>IFERROR(22232449/51311,0)</f>
        <v>433.28816433123501</v>
      </c>
      <c r="P19" s="11">
        <v>0</v>
      </c>
      <c r="Q19" s="11">
        <f t="shared" si="15"/>
        <v>433.28816433123501</v>
      </c>
      <c r="R19" s="7">
        <v>33186</v>
      </c>
      <c r="S19" s="11">
        <f t="shared" si="16"/>
        <v>119.3208784570911</v>
      </c>
      <c r="T19" s="13">
        <f t="shared" si="17"/>
        <v>7.1536189959621526</v>
      </c>
      <c r="U19" s="7">
        <v>54760</v>
      </c>
      <c r="V19" s="11">
        <f t="shared" si="18"/>
        <v>196.89059556169192</v>
      </c>
      <c r="W19" s="11">
        <f t="shared" si="19"/>
        <v>1.6500934128849514</v>
      </c>
      <c r="X19" s="11">
        <v>305.52571428570002</v>
      </c>
      <c r="Y19" s="11">
        <f t="shared" si="20"/>
        <v>139.78938500421231</v>
      </c>
      <c r="Z19" s="11">
        <f t="shared" si="21"/>
        <v>42.70925170297069</v>
      </c>
      <c r="AA19" s="7">
        <v>0</v>
      </c>
      <c r="AB19" s="15">
        <f>IFERROR(AA19/0,0)</f>
        <v>0</v>
      </c>
      <c r="AC19" s="11">
        <v>0</v>
      </c>
      <c r="AD19" s="15">
        <f>IFERROR(AC19/0,0)</f>
        <v>0</v>
      </c>
      <c r="AE19" s="11">
        <v>22</v>
      </c>
      <c r="AF19" s="11">
        <v>27</v>
      </c>
      <c r="AG19" s="7">
        <f t="shared" si="22"/>
        <v>31588.240000000027</v>
      </c>
      <c r="AH19" s="7">
        <v>23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 t="shared" ref="AO19:AO24" si="23">IFERROR(0/F19,0)</f>
        <v>0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32</v>
      </c>
      <c r="C20" s="7"/>
      <c r="D20" s="7">
        <v>7</v>
      </c>
      <c r="E20" s="7">
        <v>52424</v>
      </c>
      <c r="F20" s="7">
        <v>51309</v>
      </c>
      <c r="G20" s="7">
        <v>89</v>
      </c>
      <c r="H20" s="9">
        <f t="shared" si="12"/>
        <v>1.7345884737570408E-3</v>
      </c>
      <c r="I20" s="9">
        <f>IFERROR((52424-F20)/52424,0)</f>
        <v>2.126888448039066E-2</v>
      </c>
      <c r="J20" s="7">
        <v>334640</v>
      </c>
      <c r="K20" s="11">
        <f t="shared" si="13"/>
        <v>93.172180876092469</v>
      </c>
      <c r="L20" s="11">
        <f>K20-92.3938</f>
        <v>0.77838087609246998</v>
      </c>
      <c r="M20" s="11">
        <v>95.8</v>
      </c>
      <c r="N20" s="11">
        <f t="shared" si="14"/>
        <v>-2.6278191239075284</v>
      </c>
      <c r="O20" s="11">
        <f>IFERROR(3854980/52424,0)</f>
        <v>73.534640622615598</v>
      </c>
      <c r="P20" s="11">
        <v>79</v>
      </c>
      <c r="Q20" s="11">
        <f t="shared" si="15"/>
        <v>-5.4653593773844023</v>
      </c>
      <c r="R20" s="7">
        <v>40544</v>
      </c>
      <c r="S20" s="11">
        <f t="shared" si="16"/>
        <v>112.88467910113235</v>
      </c>
      <c r="T20" s="13">
        <f t="shared" si="17"/>
        <v>8.2537490134175222</v>
      </c>
      <c r="U20" s="7">
        <v>67198</v>
      </c>
      <c r="V20" s="11">
        <f t="shared" si="18"/>
        <v>187.09610956585175</v>
      </c>
      <c r="W20" s="11">
        <f t="shared" si="19"/>
        <v>1.6574092344119973</v>
      </c>
      <c r="X20" s="11">
        <v>303.14571428570002</v>
      </c>
      <c r="Y20" s="11">
        <f t="shared" si="20"/>
        <v>121.157064307913</v>
      </c>
      <c r="Z20" s="11">
        <f t="shared" si="21"/>
        <v>36.728244800380779</v>
      </c>
      <c r="AA20" s="7">
        <v>1708</v>
      </c>
      <c r="AB20" s="15">
        <f>IFERROR(AA20/1675,0)</f>
        <v>1.0197014925373133</v>
      </c>
      <c r="AC20" s="11">
        <v>59.51</v>
      </c>
      <c r="AD20" s="15">
        <f>IFERROR(AC20/59.9,0)</f>
        <v>0.99348914858096826</v>
      </c>
      <c r="AE20" s="11">
        <v>21</v>
      </c>
      <c r="AF20" s="11">
        <v>28</v>
      </c>
      <c r="AG20" s="7">
        <f t="shared" si="22"/>
        <v>-9438.153999999995</v>
      </c>
      <c r="AH20" s="7">
        <v>13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 t="shared" si="23"/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63</v>
      </c>
      <c r="B21" s="5">
        <v>22</v>
      </c>
      <c r="C21" s="7"/>
      <c r="D21" s="7">
        <v>7</v>
      </c>
      <c r="E21" s="7">
        <v>50525</v>
      </c>
      <c r="F21" s="7">
        <v>50213</v>
      </c>
      <c r="G21" s="7">
        <v>114</v>
      </c>
      <c r="H21" s="9">
        <f t="shared" si="12"/>
        <v>2.2703284010116903E-3</v>
      </c>
      <c r="I21" s="9">
        <f>IFERROR((50525-F21)/50525,0)</f>
        <v>6.1751608114794659E-3</v>
      </c>
      <c r="J21" s="7">
        <v>243700</v>
      </c>
      <c r="K21" s="11">
        <f t="shared" si="13"/>
        <v>69.33321194568282</v>
      </c>
      <c r="L21" s="11">
        <f>K21-54.3134</f>
        <v>15.019811945682818</v>
      </c>
      <c r="M21" s="11">
        <v>82</v>
      </c>
      <c r="N21" s="11">
        <f t="shared" si="14"/>
        <v>-12.66678805431718</v>
      </c>
      <c r="O21" s="11">
        <f>IFERROR(506140/50525,0)</f>
        <v>10.017615042058386</v>
      </c>
      <c r="P21" s="11">
        <v>15</v>
      </c>
      <c r="Q21" s="11">
        <f t="shared" si="15"/>
        <v>-4.9823849579416137</v>
      </c>
      <c r="R21" s="7">
        <v>32666</v>
      </c>
      <c r="S21" s="11">
        <f t="shared" si="16"/>
        <v>92.935523242415869</v>
      </c>
      <c r="T21" s="13">
        <f t="shared" si="17"/>
        <v>7.4603563338027303</v>
      </c>
      <c r="U21" s="7">
        <v>67824</v>
      </c>
      <c r="V21" s="11">
        <f t="shared" si="18"/>
        <v>192.96084394764017</v>
      </c>
      <c r="W21" s="11">
        <f t="shared" si="19"/>
        <v>2.0762872711687992</v>
      </c>
      <c r="X21" s="11">
        <v>312.46571428570002</v>
      </c>
      <c r="Y21" s="11">
        <f t="shared" si="20"/>
        <v>134.04185473943372</v>
      </c>
      <c r="Z21" s="11">
        <f t="shared" si="21"/>
        <v>41.883483885337199</v>
      </c>
      <c r="AA21" s="7">
        <v>1529</v>
      </c>
      <c r="AB21" s="15">
        <f>IFERROR(AA21/1450,0)</f>
        <v>1.0544827586206897</v>
      </c>
      <c r="AC21" s="11">
        <v>47.51</v>
      </c>
      <c r="AD21" s="15">
        <f>IFERROR(AC21/49.8,0)</f>
        <v>0.95401606425702812</v>
      </c>
      <c r="AE21" s="11">
        <v>22</v>
      </c>
      <c r="AF21" s="11">
        <v>27</v>
      </c>
      <c r="AG21" s="7">
        <f t="shared" si="22"/>
        <v>-44522.619999999995</v>
      </c>
      <c r="AH21" s="7">
        <v>3</v>
      </c>
      <c r="AI21" s="7">
        <v>53.333333333299997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 t="shared" si="23"/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64</v>
      </c>
      <c r="B22" s="5">
        <v>41</v>
      </c>
      <c r="C22" s="7"/>
      <c r="D22" s="7">
        <v>7</v>
      </c>
      <c r="E22" s="7">
        <v>50845</v>
      </c>
      <c r="F22" s="7">
        <v>49632</v>
      </c>
      <c r="G22" s="7">
        <v>58</v>
      </c>
      <c r="H22" s="9">
        <f t="shared" si="12"/>
        <v>1.1686009026434557E-3</v>
      </c>
      <c r="I22" s="9">
        <f>IFERROR((50845-F22)/50845,0)</f>
        <v>2.3856819746287738E-2</v>
      </c>
      <c r="J22" s="7">
        <v>329980</v>
      </c>
      <c r="K22" s="11">
        <f t="shared" si="13"/>
        <v>94.979045776918113</v>
      </c>
      <c r="L22" s="11">
        <f>K22-93.4192</f>
        <v>1.5598457769181096</v>
      </c>
      <c r="M22" s="11">
        <v>95.25</v>
      </c>
      <c r="N22" s="11">
        <f t="shared" si="14"/>
        <v>-0.27095422308188688</v>
      </c>
      <c r="O22" s="11">
        <f>IFERROR(6790990/50845,0)</f>
        <v>133.56259219195596</v>
      </c>
      <c r="P22" s="11">
        <v>138</v>
      </c>
      <c r="Q22" s="11">
        <f t="shared" si="15"/>
        <v>-4.4374078080440427</v>
      </c>
      <c r="R22" s="7">
        <v>39235</v>
      </c>
      <c r="S22" s="11">
        <f t="shared" si="16"/>
        <v>112.93117343649259</v>
      </c>
      <c r="T22" s="13">
        <f t="shared" si="17"/>
        <v>8.4103479036574491</v>
      </c>
      <c r="U22" s="7">
        <v>70800</v>
      </c>
      <c r="V22" s="11">
        <f t="shared" si="18"/>
        <v>203.78557612600164</v>
      </c>
      <c r="W22" s="11">
        <f t="shared" si="19"/>
        <v>1.8045112781954886</v>
      </c>
      <c r="X22" s="11">
        <v>275.33857142860001</v>
      </c>
      <c r="Y22" s="11">
        <f t="shared" si="20"/>
        <v>118.90114552397115</v>
      </c>
      <c r="Z22" s="11">
        <f t="shared" si="21"/>
        <v>32.738071549794292</v>
      </c>
      <c r="AA22" s="7">
        <v>1736</v>
      </c>
      <c r="AB22" s="15">
        <f>IFERROR(AA22/1705,0)</f>
        <v>1.0181818181818181</v>
      </c>
      <c r="AC22" s="11">
        <v>61.71</v>
      </c>
      <c r="AD22" s="15">
        <f>IFERROR(AC22/61.95,0)</f>
        <v>0.99612590799031475</v>
      </c>
      <c r="AE22" s="11">
        <v>19</v>
      </c>
      <c r="AF22" s="11">
        <v>28</v>
      </c>
      <c r="AG22" s="7">
        <f t="shared" si="22"/>
        <v>-941.36000000001468</v>
      </c>
      <c r="AH22" s="7">
        <v>14</v>
      </c>
      <c r="AI22" s="7">
        <v>20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 t="shared" si="23"/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65</v>
      </c>
      <c r="B23" s="5">
        <v>91</v>
      </c>
      <c r="C23" s="7"/>
      <c r="D23" s="7">
        <v>7</v>
      </c>
      <c r="E23" s="7">
        <v>20160</v>
      </c>
      <c r="F23" s="7">
        <v>15560</v>
      </c>
      <c r="G23" s="7">
        <v>81</v>
      </c>
      <c r="H23" s="9">
        <f t="shared" si="12"/>
        <v>5.2056555269922875E-3</v>
      </c>
      <c r="I23" s="9">
        <f>IFERROR((20160-F23)/20160,0)</f>
        <v>0.22817460317460317</v>
      </c>
      <c r="J23" s="7">
        <v>59880</v>
      </c>
      <c r="K23" s="11">
        <f t="shared" si="13"/>
        <v>54.976129269188391</v>
      </c>
      <c r="L23" s="11">
        <f>K23-56.7191</f>
        <v>-1.7429707308116065</v>
      </c>
      <c r="M23" s="11">
        <v>72</v>
      </c>
      <c r="N23" s="11">
        <f t="shared" si="14"/>
        <v>-17.023870730811609</v>
      </c>
      <c r="O23" s="11">
        <f>IFERROR(5969894/20160,0)</f>
        <v>296.12569444444443</v>
      </c>
      <c r="P23" s="11">
        <v>469</v>
      </c>
      <c r="Q23" s="11">
        <f t="shared" si="15"/>
        <v>-172.87430555555557</v>
      </c>
      <c r="R23" s="7">
        <v>16567</v>
      </c>
      <c r="S23" s="11">
        <f t="shared" si="16"/>
        <v>152.10246052148366</v>
      </c>
      <c r="T23" s="13">
        <f t="shared" si="17"/>
        <v>3.6144141968974468</v>
      </c>
      <c r="U23" s="7">
        <v>20500</v>
      </c>
      <c r="V23" s="11">
        <f t="shared" si="18"/>
        <v>188.21153139919207</v>
      </c>
      <c r="W23" s="11">
        <f t="shared" si="19"/>
        <v>1.2373996499064406</v>
      </c>
      <c r="X23" s="11">
        <v>303.52714285709999</v>
      </c>
      <c r="Y23" s="11">
        <f t="shared" si="20"/>
        <v>276.67000668002675</v>
      </c>
      <c r="Z23" s="11">
        <f t="shared" si="21"/>
        <v>83.976856641843284</v>
      </c>
      <c r="AA23" s="7">
        <v>0</v>
      </c>
      <c r="AB23" s="15">
        <f>IFERROR(AA23/1980,0)</f>
        <v>0</v>
      </c>
      <c r="AC23" s="11">
        <v>0</v>
      </c>
      <c r="AD23" s="15">
        <f>IFERROR(AC23/65.1,0)</f>
        <v>0</v>
      </c>
      <c r="AE23" s="11">
        <v>0</v>
      </c>
      <c r="AF23" s="11">
        <v>25</v>
      </c>
      <c r="AG23" s="7">
        <f t="shared" si="22"/>
        <v>-18542.400000000005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 t="shared" si="23"/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32</v>
      </c>
      <c r="C24" s="7"/>
      <c r="D24" s="7">
        <v>7</v>
      </c>
      <c r="E24" s="7">
        <v>21875</v>
      </c>
      <c r="F24" s="7">
        <v>21505</v>
      </c>
      <c r="G24" s="7">
        <v>21</v>
      </c>
      <c r="H24" s="9">
        <f t="shared" si="12"/>
        <v>9.7651708904905837E-4</v>
      </c>
      <c r="I24" s="9">
        <f>IFERROR((21875-F24)/21875,0)</f>
        <v>1.6914285714285715E-2</v>
      </c>
      <c r="J24" s="7">
        <v>150660</v>
      </c>
      <c r="K24" s="11">
        <f t="shared" si="13"/>
        <v>100.08303716743615</v>
      </c>
      <c r="L24" s="11">
        <f>K24-94.132</f>
        <v>5.9510371674361409</v>
      </c>
      <c r="M24" s="11">
        <v>94.5</v>
      </c>
      <c r="N24" s="11">
        <f t="shared" si="14"/>
        <v>5.5830371674361459</v>
      </c>
      <c r="O24" s="11">
        <f>IFERROR(1876830/21875,0)</f>
        <v>85.797942857142857</v>
      </c>
      <c r="P24" s="11">
        <v>85</v>
      </c>
      <c r="Q24" s="11">
        <f t="shared" si="15"/>
        <v>0.79794285714285706</v>
      </c>
      <c r="R24" s="7">
        <v>19940</v>
      </c>
      <c r="S24" s="11">
        <f t="shared" si="16"/>
        <v>132.46088949413758</v>
      </c>
      <c r="T24" s="13">
        <f t="shared" si="17"/>
        <v>7.5556670010030089</v>
      </c>
      <c r="U24" s="7">
        <v>33598</v>
      </c>
      <c r="V24" s="11">
        <f t="shared" si="18"/>
        <v>223.19062012156641</v>
      </c>
      <c r="W24" s="11">
        <f t="shared" si="19"/>
        <v>1.6849548645937813</v>
      </c>
      <c r="X24" s="11">
        <v>300.08428571429999</v>
      </c>
      <c r="Y24" s="11">
        <f t="shared" si="20"/>
        <v>132.35098898181337</v>
      </c>
      <c r="Z24" s="11">
        <f t="shared" si="21"/>
        <v>39.716451992188652</v>
      </c>
      <c r="AA24" s="7">
        <v>2069</v>
      </c>
      <c r="AB24" s="15">
        <f>IFERROR(AA24/1910,0)</f>
        <v>1.0832460732984293</v>
      </c>
      <c r="AC24" s="11">
        <v>61.31</v>
      </c>
      <c r="AD24" s="15">
        <f>IFERROR(AC24/61.3,0)</f>
        <v>1.000163132137031</v>
      </c>
      <c r="AE24" s="11">
        <v>21</v>
      </c>
      <c r="AF24" s="11">
        <v>29</v>
      </c>
      <c r="AG24" s="7">
        <f t="shared" si="22"/>
        <v>8404.4250000000029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 t="shared" si="23"/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67</v>
      </c>
      <c r="B25" s="5">
        <v>91</v>
      </c>
      <c r="C25" s="7">
        <v>24</v>
      </c>
      <c r="D25" s="7">
        <v>7</v>
      </c>
      <c r="E25" s="7">
        <v>51833</v>
      </c>
      <c r="F25" s="7">
        <v>42216</v>
      </c>
      <c r="G25" s="7">
        <v>151</v>
      </c>
      <c r="H25" s="9">
        <f t="shared" si="12"/>
        <v>3.5768429031646769E-3</v>
      </c>
      <c r="I25" s="9">
        <f>IFERROR((51833-F25)/51833,0)</f>
        <v>0.18553817066347694</v>
      </c>
      <c r="J25" s="7">
        <v>207730</v>
      </c>
      <c r="K25" s="11">
        <f t="shared" si="13"/>
        <v>70.294945721324339</v>
      </c>
      <c r="L25" s="11">
        <f>K25-72.8802</f>
        <v>-2.5852542786756629</v>
      </c>
      <c r="M25" s="11">
        <v>77</v>
      </c>
      <c r="N25" s="11">
        <f t="shared" si="14"/>
        <v>-6.7050542786756608</v>
      </c>
      <c r="O25" s="11">
        <f>IFERROR(18540828/51833,0)</f>
        <v>357.7031620782127</v>
      </c>
      <c r="P25" s="11">
        <v>0</v>
      </c>
      <c r="Q25" s="11">
        <f t="shared" si="15"/>
        <v>357.7031620782127</v>
      </c>
      <c r="R25" s="7">
        <v>34852</v>
      </c>
      <c r="S25" s="11">
        <f t="shared" si="16"/>
        <v>117.93768104171744</v>
      </c>
      <c r="T25" s="13">
        <f t="shared" si="17"/>
        <v>5.9603466085160104</v>
      </c>
      <c r="U25" s="7">
        <v>52762</v>
      </c>
      <c r="V25" s="11">
        <f t="shared" si="18"/>
        <v>178.54435691274807</v>
      </c>
      <c r="W25" s="11">
        <f t="shared" si="19"/>
        <v>1.5138872948467808</v>
      </c>
      <c r="X25" s="11">
        <v>281.72714285709998</v>
      </c>
      <c r="Y25" s="11">
        <f t="shared" si="20"/>
        <v>167.77547778366153</v>
      </c>
      <c r="Z25" s="11">
        <f t="shared" si="21"/>
        <v>47.26690599747581</v>
      </c>
      <c r="AA25" s="7">
        <v>1767</v>
      </c>
      <c r="AB25" s="15">
        <f>IFERROR(AA25/1980,0)</f>
        <v>0.89242424242424245</v>
      </c>
      <c r="AC25" s="11">
        <v>0</v>
      </c>
      <c r="AD25" s="15">
        <f>IFERROR(AC25/65.1,0)</f>
        <v>0</v>
      </c>
      <c r="AE25" s="11">
        <v>22</v>
      </c>
      <c r="AF25" s="11">
        <v>27</v>
      </c>
      <c r="AG25" s="7">
        <f t="shared" si="22"/>
        <v>-19814.24000000002</v>
      </c>
      <c r="AH25" s="7">
        <v>17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IFERROR(700/F25,0)</f>
        <v>1.6581390941823006E-2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81</v>
      </c>
      <c r="B26" s="5">
        <v>89</v>
      </c>
      <c r="C26" s="7">
        <v>23</v>
      </c>
      <c r="D26" s="7">
        <v>7</v>
      </c>
      <c r="E26" s="7">
        <v>21623</v>
      </c>
      <c r="F26" s="7">
        <v>18349</v>
      </c>
      <c r="G26" s="7">
        <v>30</v>
      </c>
      <c r="H26" s="9">
        <f t="shared" si="12"/>
        <v>1.6349664831870946E-3</v>
      </c>
      <c r="I26" s="9">
        <f>IFERROR((21623-F26)/21623,0)</f>
        <v>0.15141284743097627</v>
      </c>
      <c r="J26" s="7">
        <v>97740</v>
      </c>
      <c r="K26" s="11">
        <f t="shared" si="13"/>
        <v>76.096011460336484</v>
      </c>
      <c r="L26" s="11">
        <f>K26-76.5314</f>
        <v>-0.43538853966352065</v>
      </c>
      <c r="M26" s="11">
        <v>82</v>
      </c>
      <c r="N26" s="11">
        <f t="shared" si="14"/>
        <v>-5.9039885396635157</v>
      </c>
      <c r="O26" s="11">
        <f>IFERROR(7694225/21623,0)</f>
        <v>355.83522175461314</v>
      </c>
      <c r="P26" s="11">
        <v>0</v>
      </c>
      <c r="Q26" s="11">
        <f t="shared" si="15"/>
        <v>355.83522175461314</v>
      </c>
      <c r="R26" s="7">
        <v>14590</v>
      </c>
      <c r="S26" s="11">
        <f t="shared" si="16"/>
        <v>113.59124280809387</v>
      </c>
      <c r="T26" s="13">
        <f t="shared" si="17"/>
        <v>6.6991089787525704</v>
      </c>
      <c r="U26" s="7">
        <v>26405</v>
      </c>
      <c r="V26" s="11">
        <f t="shared" si="18"/>
        <v>205.57757137407256</v>
      </c>
      <c r="W26" s="11">
        <f t="shared" si="19"/>
        <v>1.8098012337217273</v>
      </c>
      <c r="X26" s="11">
        <v>271.71428571429999</v>
      </c>
      <c r="Y26" s="11">
        <f t="shared" si="20"/>
        <v>149.27358297524046</v>
      </c>
      <c r="Z26" s="11">
        <f t="shared" si="21"/>
        <v>40.559764974131753</v>
      </c>
      <c r="AA26" s="7">
        <v>2029</v>
      </c>
      <c r="AB26" s="15">
        <f>IFERROR(AA26/1970,0)</f>
        <v>1.0299492385786801</v>
      </c>
      <c r="AC26" s="11">
        <v>65.41</v>
      </c>
      <c r="AD26" s="15">
        <f>IFERROR(AC26/65,0)</f>
        <v>1.0063076923076923</v>
      </c>
      <c r="AE26" s="11">
        <v>22</v>
      </c>
      <c r="AF26" s="11">
        <v>27</v>
      </c>
      <c r="AG26" s="7">
        <f t="shared" si="22"/>
        <v>-7583.2600000000084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68</v>
      </c>
      <c r="B27" s="5">
        <v>22</v>
      </c>
      <c r="C27" s="7"/>
      <c r="D27" s="7">
        <v>7</v>
      </c>
      <c r="E27" s="7">
        <v>21339</v>
      </c>
      <c r="F27" s="7">
        <v>21208</v>
      </c>
      <c r="G27" s="7">
        <v>26</v>
      </c>
      <c r="H27" s="9">
        <f t="shared" si="12"/>
        <v>1.2259524707657489E-3</v>
      </c>
      <c r="I27" s="9">
        <f>IFERROR((21339-F27)/21339,0)</f>
        <v>6.1389943296311913E-3</v>
      </c>
      <c r="J27" s="7">
        <v>118980</v>
      </c>
      <c r="K27" s="11">
        <f t="shared" si="13"/>
        <v>80.144958775664179</v>
      </c>
      <c r="L27" s="11">
        <f>K27-73.7496</f>
        <v>6.3953587756641781</v>
      </c>
      <c r="M27" s="11">
        <v>89.5</v>
      </c>
      <c r="N27" s="11">
        <f t="shared" si="14"/>
        <v>-9.355041224335821</v>
      </c>
      <c r="O27" s="11">
        <f>IFERROR(369570/21339,0)</f>
        <v>17.31899339238015</v>
      </c>
      <c r="P27" s="11">
        <v>19</v>
      </c>
      <c r="Q27" s="11">
        <f t="shared" si="15"/>
        <v>-1.6810066076198495</v>
      </c>
      <c r="R27" s="7">
        <v>16480</v>
      </c>
      <c r="S27" s="11">
        <f t="shared" si="16"/>
        <v>111.00932262757989</v>
      </c>
      <c r="T27" s="13">
        <f t="shared" si="17"/>
        <v>7.2196601941747574</v>
      </c>
      <c r="U27" s="7">
        <v>33957</v>
      </c>
      <c r="V27" s="11">
        <f t="shared" si="18"/>
        <v>228.7344398340249</v>
      </c>
      <c r="W27" s="11">
        <f t="shared" si="19"/>
        <v>2.0604975728155339</v>
      </c>
      <c r="X27" s="11">
        <v>291.05714285710002</v>
      </c>
      <c r="Y27" s="11">
        <f t="shared" si="20"/>
        <v>138.51067406286771</v>
      </c>
      <c r="Z27" s="11">
        <f t="shared" si="21"/>
        <v>40.314521047949306</v>
      </c>
      <c r="AA27" s="7">
        <v>1781</v>
      </c>
      <c r="AB27" s="15">
        <f>IFERROR(AA27/1770,0)</f>
        <v>1.0062146892655368</v>
      </c>
      <c r="AC27" s="11">
        <v>54.22</v>
      </c>
      <c r="AD27" s="15">
        <f>IFERROR(AC27/54.2,0)</f>
        <v>1.0003690036900368</v>
      </c>
      <c r="AE27" s="11">
        <v>22</v>
      </c>
      <c r="AF27" s="11">
        <v>27</v>
      </c>
      <c r="AG27" s="7">
        <f t="shared" si="22"/>
        <v>-13888.119999999984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80</v>
      </c>
      <c r="C28" s="7">
        <v>8</v>
      </c>
      <c r="D28" s="7">
        <v>7</v>
      </c>
      <c r="E28" s="7">
        <v>47224</v>
      </c>
      <c r="F28" s="7">
        <v>38170</v>
      </c>
      <c r="G28" s="7">
        <v>118</v>
      </c>
      <c r="H28" s="9">
        <f t="shared" si="12"/>
        <v>3.091433062614619E-3</v>
      </c>
      <c r="I28" s="9">
        <f>IFERROR((47224-F28)/47224,0)</f>
        <v>0.19172454684058954</v>
      </c>
      <c r="J28" s="7">
        <v>184240</v>
      </c>
      <c r="K28" s="11">
        <f t="shared" si="13"/>
        <v>68.95467644747184</v>
      </c>
      <c r="L28" s="11">
        <f>K28-65.5632</f>
        <v>3.3914764474718453</v>
      </c>
      <c r="M28" s="11">
        <v>75</v>
      </c>
      <c r="N28" s="11">
        <f t="shared" si="14"/>
        <v>-6.0453235525281599</v>
      </c>
      <c r="O28" s="11">
        <f>IFERROR(14175870/47224,0)</f>
        <v>300.18359308826018</v>
      </c>
      <c r="P28" s="11">
        <v>0</v>
      </c>
      <c r="Q28" s="11">
        <f t="shared" si="15"/>
        <v>300.18359308826018</v>
      </c>
      <c r="R28" s="7">
        <v>29330</v>
      </c>
      <c r="S28" s="11">
        <f t="shared" si="16"/>
        <v>109.77207230809536</v>
      </c>
      <c r="T28" s="13">
        <f t="shared" si="17"/>
        <v>6.2816229116945106</v>
      </c>
      <c r="U28" s="7">
        <v>58900</v>
      </c>
      <c r="V28" s="11">
        <f t="shared" si="18"/>
        <v>220.4423818256671</v>
      </c>
      <c r="W28" s="11">
        <f t="shared" si="19"/>
        <v>2.0081827480395495</v>
      </c>
      <c r="X28" s="11">
        <v>285.72714285709998</v>
      </c>
      <c r="Y28" s="11">
        <f t="shared" si="20"/>
        <v>159.19452887537994</v>
      </c>
      <c r="Z28" s="11">
        <f t="shared" si="21"/>
        <v>45.486197894044409</v>
      </c>
      <c r="AA28" s="7">
        <v>1616</v>
      </c>
      <c r="AB28" s="15">
        <f>IFERROR(AA28/1580,0)</f>
        <v>1.0227848101265822</v>
      </c>
      <c r="AC28" s="11">
        <v>0</v>
      </c>
      <c r="AD28" s="15">
        <f>IFERROR(AC28/63.5,0)</f>
        <v>0</v>
      </c>
      <c r="AE28" s="11">
        <v>16</v>
      </c>
      <c r="AF28" s="11">
        <v>33</v>
      </c>
      <c r="AG28" s="7">
        <f t="shared" si="22"/>
        <v>-16152.499999999991</v>
      </c>
      <c r="AH28" s="7">
        <v>17</v>
      </c>
      <c r="AI28" s="7">
        <v>9.4117647058999996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110</v>
      </c>
      <c r="C29" s="7">
        <v>38</v>
      </c>
      <c r="D29" s="7">
        <v>7</v>
      </c>
      <c r="E29" s="7">
        <v>33376</v>
      </c>
      <c r="F29" s="7">
        <v>29813</v>
      </c>
      <c r="G29" s="7">
        <v>136</v>
      </c>
      <c r="H29" s="9">
        <f t="shared" si="12"/>
        <v>4.5617683560862715E-3</v>
      </c>
      <c r="I29" s="9">
        <f>IFERROR((33376-F29)/33376,0)</f>
        <v>0.10675335570469799</v>
      </c>
      <c r="J29" s="7">
        <v>151530</v>
      </c>
      <c r="K29" s="11">
        <f t="shared" si="13"/>
        <v>72.609743592200914</v>
      </c>
      <c r="L29" s="11">
        <f>K29-68.7836</f>
        <v>3.8261435922009071</v>
      </c>
      <c r="M29" s="11">
        <v>68</v>
      </c>
      <c r="N29" s="11">
        <f t="shared" si="14"/>
        <v>4.609743592200914</v>
      </c>
      <c r="O29" s="11">
        <f>IFERROR(14195363/33376,0)</f>
        <v>425.31648489932888</v>
      </c>
      <c r="P29" s="11">
        <v>0</v>
      </c>
      <c r="Q29" s="11">
        <f t="shared" si="15"/>
        <v>425.31648489932888</v>
      </c>
      <c r="R29" s="7">
        <v>24190</v>
      </c>
      <c r="S29" s="11">
        <f t="shared" si="16"/>
        <v>115.9130005606375</v>
      </c>
      <c r="T29" s="13">
        <f t="shared" si="17"/>
        <v>6.2641587432823478</v>
      </c>
      <c r="U29" s="7">
        <v>39464</v>
      </c>
      <c r="V29" s="11">
        <f t="shared" si="18"/>
        <v>189.10254874431575</v>
      </c>
      <c r="W29" s="11">
        <f t="shared" si="19"/>
        <v>1.631417941298057</v>
      </c>
      <c r="X29" s="11">
        <v>285.10000000000002</v>
      </c>
      <c r="Y29" s="11">
        <f t="shared" si="20"/>
        <v>159.63835544116677</v>
      </c>
      <c r="Z29" s="11">
        <f t="shared" si="21"/>
        <v>45.512895136276647</v>
      </c>
      <c r="AA29" s="7">
        <v>1659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17</v>
      </c>
      <c r="AF29" s="11">
        <v>33</v>
      </c>
      <c r="AG29" s="7">
        <f t="shared" si="22"/>
        <v>9620.1200000000099</v>
      </c>
      <c r="AH29" s="7">
        <v>47</v>
      </c>
      <c r="AI29" s="7">
        <v>17.4468085106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IFERROR(700/F29,0)</f>
        <v>2.34796900680911E-2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110</v>
      </c>
      <c r="C30" s="7">
        <v>38</v>
      </c>
      <c r="D30" s="7">
        <v>7</v>
      </c>
      <c r="E30" s="7">
        <v>12390</v>
      </c>
      <c r="F30" s="7">
        <v>10161</v>
      </c>
      <c r="G30" s="7">
        <v>28</v>
      </c>
      <c r="H30" s="9">
        <f t="shared" si="12"/>
        <v>2.7556342879637829E-3</v>
      </c>
      <c r="I30" s="9">
        <f>IFERROR((12390-F30)/12390,0)</f>
        <v>0.17990314769975788</v>
      </c>
      <c r="J30" s="7">
        <v>57280</v>
      </c>
      <c r="K30" s="11">
        <f t="shared" si="13"/>
        <v>80.532006129880358</v>
      </c>
      <c r="L30" s="11">
        <f>K30-80.1144</f>
        <v>0.41760612988035462</v>
      </c>
      <c r="M30" s="11">
        <v>68</v>
      </c>
      <c r="N30" s="11">
        <f t="shared" si="14"/>
        <v>12.532006129880358</v>
      </c>
      <c r="O30" s="11">
        <f>IFERROR(5783088/12390,0)</f>
        <v>466.75447941888621</v>
      </c>
      <c r="P30" s="11">
        <v>0</v>
      </c>
      <c r="Q30" s="11">
        <f t="shared" si="15"/>
        <v>466.75447941888621</v>
      </c>
      <c r="R30" s="7">
        <v>9410</v>
      </c>
      <c r="S30" s="11">
        <f t="shared" si="16"/>
        <v>132.29856453948571</v>
      </c>
      <c r="T30" s="13">
        <f t="shared" si="17"/>
        <v>6.0871413390010627</v>
      </c>
      <c r="U30" s="7">
        <v>19731</v>
      </c>
      <c r="V30" s="11">
        <f t="shared" si="18"/>
        <v>277.40520477455823</v>
      </c>
      <c r="W30" s="11">
        <f t="shared" si="19"/>
        <v>2.0968119022316687</v>
      </c>
      <c r="X30" s="11">
        <v>273.88857142860002</v>
      </c>
      <c r="Y30" s="11">
        <f t="shared" si="20"/>
        <v>164.28072625698326</v>
      </c>
      <c r="Z30" s="11">
        <f t="shared" si="21"/>
        <v>44.994613427778042</v>
      </c>
      <c r="AA30" s="7">
        <v>1991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17</v>
      </c>
      <c r="AF30" s="11">
        <v>33</v>
      </c>
      <c r="AG30" s="7">
        <f t="shared" si="22"/>
        <v>8913.6400000000012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IFERROR(350/F30,0)</f>
        <v>3.4445428599547287E-2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591557</v>
      </c>
      <c r="F31" s="17">
        <f>SUM(F14:F30)</f>
        <v>530483</v>
      </c>
      <c r="G31" s="17">
        <f>SUM(G14:G30)</f>
        <v>1347</v>
      </c>
      <c r="H31" s="18">
        <f t="shared" si="12"/>
        <v>2.5391954124825864E-3</v>
      </c>
      <c r="I31" s="18"/>
      <c r="J31" s="17">
        <f>SUM(J14:J30)</f>
        <v>3015090</v>
      </c>
      <c r="K31" s="19">
        <f t="shared" si="13"/>
        <v>81.19527729581209</v>
      </c>
      <c r="L31" s="19"/>
      <c r="M31" s="19">
        <f>IFERROR(SUMPRODUCT($F14:$F30,M14:M30)/$F31, 0)</f>
        <v>84.551198247634701</v>
      </c>
      <c r="N31" s="19">
        <f t="shared" si="14"/>
        <v>-3.3559209518226112</v>
      </c>
      <c r="O31" s="19">
        <f>IFERROR(SUMPRODUCT($E14:$E30,O14:O30)/$E31, 0)</f>
        <v>224.96853219554498</v>
      </c>
      <c r="P31" s="19">
        <f>IFERROR(SUMPRODUCT($E14:$E30,P14:P30)/$E31, 0)</f>
        <v>84.297778574169527</v>
      </c>
      <c r="Q31" s="19">
        <f>IFERROR(SUMPRODUCT($E14:$E30,Q14:Q30)/$E31, 0)</f>
        <v>140.67075362137547</v>
      </c>
      <c r="R31" s="17">
        <f>SUM(R14:R30)</f>
        <v>430810</v>
      </c>
      <c r="S31" s="19">
        <f>IFERROR(R31/D31/$F31*1000,0)</f>
        <v>116.01556640700214</v>
      </c>
      <c r="T31" s="20">
        <f t="shared" si="17"/>
        <v>6.9986536988463595</v>
      </c>
      <c r="U31" s="17">
        <f>SUM(U14:U30)</f>
        <v>741346</v>
      </c>
      <c r="V31" s="19">
        <f>IFERROR(U31/D31/$F31*1000,0)</f>
        <v>199.64178197712542</v>
      </c>
      <c r="W31" s="19">
        <f t="shared" si="19"/>
        <v>1.7208189224948351</v>
      </c>
      <c r="X31" s="19">
        <f>IFERROR(SUMPRODUCT(R14:R30,X14:X30)/R31,0)</f>
        <v>291.32143592634213</v>
      </c>
      <c r="Y31" s="19">
        <f>IFERROR(($F31*S31)/($F31*K31)*100,0)</f>
        <v>142.88462367624183</v>
      </c>
      <c r="Z31" s="19">
        <f t="shared" si="21"/>
        <v>41.625353741157795</v>
      </c>
      <c r="AA31" s="17"/>
      <c r="AB31" s="21">
        <f>IFERROR(SUMPRODUCT($F14:$F30,AB14:AB30)/$F31,0)</f>
        <v>0.74697425671506557</v>
      </c>
      <c r="AC31" s="19"/>
      <c r="AD31" s="21">
        <f>AVERAGE(AD14:AD30)</f>
        <v>0.40786850029699945</v>
      </c>
      <c r="AE31" s="19"/>
      <c r="AF31" s="19"/>
      <c r="AG31" s="17">
        <f>SUM(AG14:AG30)</f>
        <v>-124618.13100000001</v>
      </c>
      <c r="AH31" s="17">
        <f>SUM(AH14:AH30)</f>
        <v>199</v>
      </c>
      <c r="AI31" s="17">
        <f>IFERROR(SUMPRODUCT(AH14:AH30,AI14:AI30)/AH31, 0)</f>
        <v>15.175879396990453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6.9999999999999991</v>
      </c>
      <c r="E33" s="23">
        <f>E12+E31</f>
        <v>637762</v>
      </c>
      <c r="F33" s="23">
        <f>F12+F31</f>
        <v>570433</v>
      </c>
      <c r="G33" s="23">
        <f>G12+G31</f>
        <v>1700</v>
      </c>
      <c r="H33" s="24">
        <f>IFERROR(G33/F33,0)</f>
        <v>2.9801922399300181E-3</v>
      </c>
      <c r="I33" s="23"/>
      <c r="J33" s="23">
        <f>J12+J31</f>
        <v>3137850</v>
      </c>
      <c r="K33" s="25">
        <f>IFERROR(J33/D33/F33*100,0)</f>
        <v>78.583161513146294</v>
      </c>
      <c r="L33" s="23"/>
      <c r="M33" s="25">
        <f>IFERROR($F$12/$F33*M$12,0)+IFERROR($F$31/$F33*M$31,0)</f>
        <v>81.451428651568193</v>
      </c>
      <c r="N33" s="25">
        <f>K33-M33</f>
        <v>-2.8682671384218992</v>
      </c>
      <c r="O33" s="23">
        <f>IFERROR($E$12/$E33*O$12,0)+IFERROR($E$31/$E33*O$31,0)</f>
        <v>225.22901333099185</v>
      </c>
      <c r="P33" s="23">
        <f>IFERROR($E$12/$E33*P$12,0)+IFERROR($E$31/$E33*P$31,0)</f>
        <v>79.457330477513565</v>
      </c>
      <c r="Q33" s="23">
        <f>IFERROR($E$12/$E33*Q$12,0)+IFERROR($E$31/$E33*Q$31,0)</f>
        <v>145.77168285347827</v>
      </c>
      <c r="R33" s="23">
        <f>R12+R31</f>
        <v>443643</v>
      </c>
      <c r="S33" s="25">
        <f>IFERROR(R33/D33/$F33*1000,0)</f>
        <v>111.1043215041406</v>
      </c>
      <c r="T33" s="26">
        <f>IFERROR(J33/R33,0)</f>
        <v>7.072916737106187</v>
      </c>
      <c r="U33" s="23">
        <f>U12+U31</f>
        <v>756466</v>
      </c>
      <c r="V33" s="25">
        <f>IFERROR(U33/D33/$F33*1000,0)</f>
        <v>189.44656327486567</v>
      </c>
      <c r="W33" s="25">
        <f>IFERROR(V33/S33,0)</f>
        <v>1.7051232635249516</v>
      </c>
      <c r="X33" s="25">
        <f>IFERROR($F$12/$F33*X$12,0)+IFERROR($F$31/$F33*X$31,0)</f>
        <v>296.47280925089393</v>
      </c>
      <c r="Y33" s="25">
        <f>IFERROR(($F33*S33)/($F33*K33)*100,0)</f>
        <v>141.38438739901522</v>
      </c>
      <c r="Z33" s="25">
        <f>IFERROR(Y33*X33/1000,0)</f>
        <v>41.916626516402737</v>
      </c>
      <c r="AA33" s="23"/>
      <c r="AB33" s="27"/>
      <c r="AC33" s="23"/>
      <c r="AD33" s="27"/>
      <c r="AE33" s="23"/>
      <c r="AF33" s="23"/>
      <c r="AG33" s="23">
        <f>AG12+AG31</f>
        <v>-114530.796</v>
      </c>
      <c r="AH33" s="23">
        <f>AH12+AH31</f>
        <v>199</v>
      </c>
      <c r="AI33" s="23">
        <f>IFERROR(AH$12/AH33*AI$12,0)+IFERROR(AH$31/AH33*AI$31,0)</f>
        <v>15.175879396990453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61</v>
      </c>
      <c r="T36" s="32" t="s">
        <v>70</v>
      </c>
      <c r="U36" s="32" t="s">
        <v>71</v>
      </c>
      <c r="V36" s="32" t="s">
        <v>72</v>
      </c>
      <c r="W36" s="32" t="s">
        <v>62</v>
      </c>
      <c r="X36" s="32" t="s">
        <v>66</v>
      </c>
      <c r="Y36" s="32" t="s">
        <v>67</v>
      </c>
      <c r="Z36" s="32" t="s">
        <v>81</v>
      </c>
      <c r="AA36" s="32" t="s">
        <v>63</v>
      </c>
      <c r="AB36" s="32" t="s">
        <v>68</v>
      </c>
      <c r="AC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>
        <v>2.5000000000000001E-3</v>
      </c>
      <c r="T37" s="8">
        <v>5.3E-3</v>
      </c>
      <c r="U37" s="8">
        <v>6.3E-3</v>
      </c>
      <c r="V37" s="8">
        <v>2.7000000000000001E-3</v>
      </c>
      <c r="W37" s="8">
        <v>1.5E-3</v>
      </c>
      <c r="X37" s="8">
        <v>1.4E-3</v>
      </c>
      <c r="Y37" s="8">
        <v>2.8E-3</v>
      </c>
      <c r="Z37" s="8">
        <v>1.6999999999999999E-3</v>
      </c>
      <c r="AA37" s="8"/>
      <c r="AB37" s="8"/>
      <c r="AC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>
        <v>2.5000000000000001E-3</v>
      </c>
      <c r="T38" s="9">
        <v>5.7999999999999996E-3</v>
      </c>
      <c r="U38" s="9">
        <v>3.5999999999999999E-3</v>
      </c>
      <c r="V38" s="9">
        <v>2.3E-3</v>
      </c>
      <c r="W38" s="9">
        <v>1.5E-3</v>
      </c>
      <c r="X38" s="9">
        <v>1E-3</v>
      </c>
      <c r="Y38" s="9">
        <v>3.0000000000000001E-3</v>
      </c>
      <c r="Z38" s="9">
        <v>1.8E-3</v>
      </c>
      <c r="AA38" s="9"/>
      <c r="AB38" s="9"/>
      <c r="AC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>
        <v>2.5000000000000001E-3</v>
      </c>
      <c r="T39" s="9">
        <v>5.4999999999999997E-3</v>
      </c>
      <c r="U39" s="9">
        <v>3.5000000000000001E-3</v>
      </c>
      <c r="V39" s="9">
        <v>2.5000000000000001E-3</v>
      </c>
      <c r="W39" s="9">
        <v>1.6999999999999999E-3</v>
      </c>
      <c r="X39" s="9">
        <v>6.9999999999999999E-4</v>
      </c>
      <c r="Y39" s="9">
        <v>2.8E-3</v>
      </c>
      <c r="Z39" s="9">
        <v>1.4E-3</v>
      </c>
      <c r="AA39" s="9"/>
      <c r="AB39" s="9"/>
      <c r="AC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>
        <v>2.5999999999999999E-3</v>
      </c>
      <c r="T40" s="9">
        <v>3.2000000000000002E-3</v>
      </c>
      <c r="U40" s="9">
        <v>3.7000000000000002E-3</v>
      </c>
      <c r="V40" s="9">
        <v>2.5000000000000001E-3</v>
      </c>
      <c r="W40" s="9">
        <v>1.6000000000000001E-3</v>
      </c>
      <c r="X40" s="9">
        <v>8.9999999999999998E-4</v>
      </c>
      <c r="Y40" s="9">
        <v>3.5000000000000001E-3</v>
      </c>
      <c r="Z40" s="9">
        <v>1.6000000000000001E-3</v>
      </c>
      <c r="AA40" s="9"/>
      <c r="AB40" s="9"/>
      <c r="AC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>
        <v>2.3E-3</v>
      </c>
      <c r="T41" s="9">
        <v>2.2000000000000001E-3</v>
      </c>
      <c r="U41" s="9">
        <v>4.4000000000000003E-3</v>
      </c>
      <c r="V41" s="9">
        <v>2.3E-3</v>
      </c>
      <c r="W41" s="9">
        <v>1.6000000000000001E-3</v>
      </c>
      <c r="X41" s="9">
        <v>8.9999999999999998E-4</v>
      </c>
      <c r="Y41" s="9">
        <v>3.0999999999999999E-3</v>
      </c>
      <c r="Z41" s="9">
        <v>1.5E-3</v>
      </c>
      <c r="AA41" s="9"/>
      <c r="AB41" s="9"/>
      <c r="AC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>
        <v>1.6999999999999999E-3</v>
      </c>
      <c r="T42" s="9">
        <v>3.0000000000000001E-3</v>
      </c>
      <c r="U42" s="9">
        <v>3.5999999999999999E-3</v>
      </c>
      <c r="V42" s="9">
        <v>1.8E-3</v>
      </c>
      <c r="W42" s="9">
        <v>8.9999999999999998E-4</v>
      </c>
      <c r="X42" s="9">
        <v>5.9999999999999995E-4</v>
      </c>
      <c r="Y42" s="9">
        <v>1.6999999999999999E-3</v>
      </c>
      <c r="Z42" s="9">
        <v>1E-3</v>
      </c>
      <c r="AA42" s="9">
        <v>0</v>
      </c>
      <c r="AB42" s="9">
        <v>0</v>
      </c>
      <c r="AC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>
        <v>1.9E-3</v>
      </c>
      <c r="T43" s="9">
        <v>4.3E-3</v>
      </c>
      <c r="U43" s="9">
        <v>4.1999999999999997E-3</v>
      </c>
      <c r="V43" s="9">
        <v>4.4000000000000003E-3</v>
      </c>
      <c r="W43" s="9">
        <v>1.1000000000000001E-3</v>
      </c>
      <c r="X43" s="9">
        <v>5.0000000000000001E-4</v>
      </c>
      <c r="Y43" s="9">
        <v>2.0999999999999999E-3</v>
      </c>
      <c r="Z43" s="9">
        <v>1.1999999999999999E-3</v>
      </c>
      <c r="AA43" s="9">
        <v>8.9999999999999998E-4</v>
      </c>
      <c r="AB43" s="9">
        <v>8.0000000000000004E-4</v>
      </c>
      <c r="AC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>
        <v>1.9E-3</v>
      </c>
      <c r="T44" s="9">
        <v>3.0999999999999999E-3</v>
      </c>
      <c r="U44" s="9">
        <v>3.2000000000000002E-3</v>
      </c>
      <c r="V44" s="9">
        <v>2.3E-3</v>
      </c>
      <c r="W44" s="9">
        <v>1.1000000000000001E-3</v>
      </c>
      <c r="X44" s="9">
        <v>5.0000000000000001E-4</v>
      </c>
      <c r="Y44" s="9">
        <v>2.8E-3</v>
      </c>
      <c r="Z44" s="9">
        <v>1.2999999999999999E-3</v>
      </c>
      <c r="AA44" s="9">
        <v>1.1999999999999999E-3</v>
      </c>
      <c r="AB44" s="9">
        <v>6.9999999999999999E-4</v>
      </c>
      <c r="AC44" s="9">
        <v>5.9999999999999995E-4</v>
      </c>
    </row>
    <row r="45" spans="1:46" ht="15" thickBot="1" x14ac:dyDescent="0.35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>
        <v>2.5000000000000001E-3</v>
      </c>
      <c r="T45" s="9">
        <v>3.0999999999999999E-3</v>
      </c>
      <c r="U45" s="9">
        <v>4.5999999999999999E-3</v>
      </c>
      <c r="V45" s="9">
        <v>2.8E-3</v>
      </c>
      <c r="W45" s="9">
        <v>1.6999999999999999E-3</v>
      </c>
      <c r="X45" s="9">
        <v>1E-3</v>
      </c>
      <c r="Y45" s="9">
        <v>3.5999999999999999E-3</v>
      </c>
      <c r="Z45" s="9">
        <v>1.6000000000000001E-3</v>
      </c>
      <c r="AA45" s="9">
        <v>2.3E-3</v>
      </c>
      <c r="AB45" s="9">
        <v>1.1999999999999999E-3</v>
      </c>
      <c r="AC45" s="9">
        <v>1.1999999999999999E-3</v>
      </c>
    </row>
    <row r="46" spans="1:46" ht="15" thickBot="1" x14ac:dyDescent="0.35">
      <c r="B46" s="22" t="s">
        <v>82</v>
      </c>
      <c r="C46" s="22"/>
      <c r="D46" s="24">
        <f t="shared" ref="D46:AC46" si="24">AVERAGE(D37:D45)</f>
        <v>2.5555555555555557E-3</v>
      </c>
      <c r="E46" s="24">
        <f t="shared" si="24"/>
        <v>5.1000000000000012E-3</v>
      </c>
      <c r="F46" s="24">
        <f t="shared" si="24"/>
        <v>2.3333333333333331E-3</v>
      </c>
      <c r="G46" s="24">
        <f t="shared" si="24"/>
        <v>7.4222222222222224E-3</v>
      </c>
      <c r="H46" s="24">
        <f t="shared" si="24"/>
        <v>4.9555555555555559E-3</v>
      </c>
      <c r="I46" s="24">
        <f t="shared" si="24"/>
        <v>4.5999999999999999E-3</v>
      </c>
      <c r="J46" s="24">
        <f t="shared" si="24"/>
        <v>3.3E-3</v>
      </c>
      <c r="K46" s="24">
        <f t="shared" si="24"/>
        <v>3.8333333333333327E-3</v>
      </c>
      <c r="L46" s="24">
        <f t="shared" si="24"/>
        <v>2.5333333333333336E-3</v>
      </c>
      <c r="M46" s="24">
        <f t="shared" si="24"/>
        <v>3.2666666666666664E-3</v>
      </c>
      <c r="N46" s="24">
        <f t="shared" si="24"/>
        <v>2.6444444444444441E-3</v>
      </c>
      <c r="O46" s="24">
        <f t="shared" si="24"/>
        <v>6.6E-3</v>
      </c>
      <c r="P46" s="24">
        <f t="shared" si="24"/>
        <v>2.5777777777777778E-3</v>
      </c>
      <c r="Q46" s="24">
        <f t="shared" si="24"/>
        <v>3.8999999999999998E-3</v>
      </c>
      <c r="R46" s="24">
        <f t="shared" si="24"/>
        <v>1.6444444444444443E-3</v>
      </c>
      <c r="S46" s="24">
        <f t="shared" si="24"/>
        <v>2.2666666666666664E-3</v>
      </c>
      <c r="T46" s="24">
        <f t="shared" si="24"/>
        <v>3.944444444444444E-3</v>
      </c>
      <c r="U46" s="24">
        <f t="shared" si="24"/>
        <v>4.1222222222222216E-3</v>
      </c>
      <c r="V46" s="24">
        <f t="shared" si="24"/>
        <v>2.622222222222222E-3</v>
      </c>
      <c r="W46" s="24">
        <f t="shared" si="24"/>
        <v>1.4111111111111112E-3</v>
      </c>
      <c r="X46" s="24">
        <f t="shared" si="24"/>
        <v>8.3333333333333339E-4</v>
      </c>
      <c r="Y46" s="24">
        <f t="shared" si="24"/>
        <v>2.8222222222222221E-3</v>
      </c>
      <c r="Z46" s="24">
        <f t="shared" si="24"/>
        <v>1.4555555555555556E-3</v>
      </c>
      <c r="AA46" s="24">
        <f t="shared" si="24"/>
        <v>1.0999999999999998E-3</v>
      </c>
      <c r="AB46" s="24">
        <f t="shared" si="24"/>
        <v>6.7500000000000004E-4</v>
      </c>
      <c r="AC46" s="24">
        <f t="shared" si="24"/>
        <v>8.9999999999999998E-4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47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112</v>
      </c>
      <c r="C6" s="7">
        <v>2</v>
      </c>
      <c r="D6" s="7">
        <v>7</v>
      </c>
      <c r="E6" s="7">
        <v>1197</v>
      </c>
      <c r="F6" s="7">
        <v>1075</v>
      </c>
      <c r="G6" s="7">
        <v>12</v>
      </c>
      <c r="H6" s="9">
        <f t="shared" ref="H6:H12" si="0">IFERROR(G6/F6,0)</f>
        <v>1.1162790697674419E-2</v>
      </c>
      <c r="I6" s="9">
        <f>IFERROR((1197-F6)/1197,0)</f>
        <v>0.10192147034252297</v>
      </c>
      <c r="J6" s="7">
        <v>0</v>
      </c>
      <c r="K6" s="11">
        <f t="shared" ref="K6:K12" si="1">IFERROR(J6/D6/F6*100,0)</f>
        <v>0</v>
      </c>
      <c r="L6" s="11">
        <f>K6-26.4161</f>
        <v>-26.4161</v>
      </c>
      <c r="M6" s="11">
        <v>0</v>
      </c>
      <c r="N6" s="11">
        <f t="shared" ref="N6:N12" si="2">K6-M6</f>
        <v>0</v>
      </c>
      <c r="O6" s="11">
        <f>IFERROR(100040/1197,0)</f>
        <v>83.575605680868833</v>
      </c>
      <c r="P6" s="11">
        <v>0</v>
      </c>
      <c r="Q6" s="11">
        <f t="shared" ref="Q6:Q11" si="3">IFERROR(O6-P6,0)</f>
        <v>83.575605680868833</v>
      </c>
      <c r="R6" s="7">
        <v>195</v>
      </c>
      <c r="S6" s="11">
        <f t="shared" ref="S6:S11" si="4">IFERROR(R6/D6/F6*1000,0)</f>
        <v>25.913621262458474</v>
      </c>
      <c r="T6" s="13">
        <f t="shared" ref="T6:T12" si="5">IFERROR(J6/R6,0)</f>
        <v>0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197.92</v>
      </c>
      <c r="Y6" s="11">
        <f t="shared" ref="Y6:Y11" si="8">IFERROR((F6*S6)/(F6*K6)*100,0)</f>
        <v>0</v>
      </c>
      <c r="Z6" s="11">
        <f t="shared" ref="Z6:Z12" si="9">IFERROR(Y6*X6/1000,0)</f>
        <v>0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32</v>
      </c>
      <c r="AG6" s="7">
        <f t="shared" ref="AG6:AG11" si="10">IF(M6=0,0,IFERROR(N6/100*7*F6,0))</f>
        <v>0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72</v>
      </c>
      <c r="C7" s="7">
        <v>2</v>
      </c>
      <c r="D7" s="7">
        <v>7</v>
      </c>
      <c r="E7" s="7">
        <v>14440</v>
      </c>
      <c r="F7" s="7">
        <v>11729</v>
      </c>
      <c r="G7" s="7">
        <v>173</v>
      </c>
      <c r="H7" s="9">
        <f t="shared" si="0"/>
        <v>1.4749765538409072E-2</v>
      </c>
      <c r="I7" s="9">
        <f>IFERROR((14440-F7)/14440,0)</f>
        <v>0.18774238227146814</v>
      </c>
      <c r="J7" s="7">
        <v>0</v>
      </c>
      <c r="K7" s="11">
        <f t="shared" si="1"/>
        <v>0</v>
      </c>
      <c r="L7" s="11">
        <f>K7-35.9003</f>
        <v>-35.900300000000001</v>
      </c>
      <c r="M7" s="11">
        <v>0</v>
      </c>
      <c r="N7" s="11">
        <f t="shared" si="2"/>
        <v>0</v>
      </c>
      <c r="O7" s="11">
        <f>IFERROR(4093120/14440,0)</f>
        <v>283.45706371191136</v>
      </c>
      <c r="P7" s="11">
        <v>0</v>
      </c>
      <c r="Q7" s="11">
        <f t="shared" si="3"/>
        <v>283.45706371191136</v>
      </c>
      <c r="R7" s="7">
        <v>2390</v>
      </c>
      <c r="S7" s="11">
        <f t="shared" si="4"/>
        <v>29.109776743846144</v>
      </c>
      <c r="T7" s="13">
        <f t="shared" si="5"/>
        <v>0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0</v>
      </c>
      <c r="Z7" s="11">
        <f t="shared" si="9"/>
        <v>0</v>
      </c>
      <c r="AA7" s="7">
        <v>0</v>
      </c>
      <c r="AB7" s="15">
        <f>IFERROR(AA7/1970,0)</f>
        <v>0</v>
      </c>
      <c r="AC7" s="11">
        <v>0</v>
      </c>
      <c r="AD7" s="15">
        <f>IFERROR(AC7/64.3,0)</f>
        <v>0</v>
      </c>
      <c r="AE7" s="11">
        <v>0</v>
      </c>
      <c r="AF7" s="11">
        <v>32</v>
      </c>
      <c r="AG7" s="7">
        <f t="shared" si="10"/>
        <v>0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72</v>
      </c>
      <c r="C8" s="7">
        <v>2</v>
      </c>
      <c r="D8" s="7">
        <v>7</v>
      </c>
      <c r="E8" s="7">
        <v>16063</v>
      </c>
      <c r="F8" s="7">
        <v>13599</v>
      </c>
      <c r="G8" s="7">
        <v>97</v>
      </c>
      <c r="H8" s="9">
        <f t="shared" si="0"/>
        <v>7.1328774174571662E-3</v>
      </c>
      <c r="I8" s="9">
        <f>IFERROR((16063-F8)/16063,0)</f>
        <v>0.1533960032372533</v>
      </c>
      <c r="J8" s="7">
        <v>0</v>
      </c>
      <c r="K8" s="11">
        <f t="shared" si="1"/>
        <v>0</v>
      </c>
      <c r="L8" s="11">
        <f>K8-31.5108</f>
        <v>-31.5108</v>
      </c>
      <c r="M8" s="11">
        <v>0</v>
      </c>
      <c r="N8" s="11">
        <f t="shared" si="2"/>
        <v>0</v>
      </c>
      <c r="O8" s="11">
        <f>IFERROR(4243650/16063,0)</f>
        <v>264.18788520201707</v>
      </c>
      <c r="P8" s="11">
        <v>0</v>
      </c>
      <c r="Q8" s="11">
        <f t="shared" si="3"/>
        <v>264.18788520201707</v>
      </c>
      <c r="R8" s="7">
        <v>4517</v>
      </c>
      <c r="S8" s="11">
        <f t="shared" si="4"/>
        <v>47.4509680333638</v>
      </c>
      <c r="T8" s="13">
        <f t="shared" si="5"/>
        <v>0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0</v>
      </c>
      <c r="Z8" s="11">
        <f t="shared" si="9"/>
        <v>0</v>
      </c>
      <c r="AA8" s="7">
        <v>0</v>
      </c>
      <c r="AB8" s="15">
        <f>IFERROR(AA8/1580,0)</f>
        <v>0</v>
      </c>
      <c r="AC8" s="11">
        <v>0</v>
      </c>
      <c r="AD8" s="15">
        <f>IFERROR(AC8/63.4,0)</f>
        <v>0</v>
      </c>
      <c r="AE8" s="11">
        <v>12</v>
      </c>
      <c r="AF8" s="11">
        <v>32</v>
      </c>
      <c r="AG8" s="7">
        <f t="shared" si="10"/>
        <v>0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33</v>
      </c>
      <c r="C9" s="7"/>
      <c r="D9" s="7">
        <v>7</v>
      </c>
      <c r="E9" s="7">
        <v>4686</v>
      </c>
      <c r="F9" s="7">
        <v>4297</v>
      </c>
      <c r="G9" s="7">
        <v>12</v>
      </c>
      <c r="H9" s="9">
        <f t="shared" si="0"/>
        <v>2.7926460321154294E-3</v>
      </c>
      <c r="I9" s="9">
        <f>IFERROR((4686-F9)/4686,0)</f>
        <v>8.3013230900554846E-2</v>
      </c>
      <c r="J9" s="7">
        <v>29520</v>
      </c>
      <c r="K9" s="11">
        <f t="shared" si="1"/>
        <v>98.141560557199369</v>
      </c>
      <c r="L9" s="11">
        <f>K9-99.9569</f>
        <v>-1.8153394428006351</v>
      </c>
      <c r="M9" s="11">
        <v>94.5</v>
      </c>
      <c r="N9" s="11">
        <f t="shared" si="2"/>
        <v>3.6415605571993694</v>
      </c>
      <c r="O9" s="11">
        <f>IFERROR(372210/4686,0)</f>
        <v>79.430217669654283</v>
      </c>
      <c r="P9" s="11">
        <v>91</v>
      </c>
      <c r="Q9" s="11">
        <f t="shared" si="3"/>
        <v>-11.569782330345717</v>
      </c>
      <c r="R9" s="7">
        <v>4478</v>
      </c>
      <c r="S9" s="11">
        <f t="shared" si="4"/>
        <v>148.87463014062965</v>
      </c>
      <c r="T9" s="13">
        <f t="shared" si="5"/>
        <v>6.5922286735149624</v>
      </c>
      <c r="U9" s="7">
        <v>5040</v>
      </c>
      <c r="V9" s="11">
        <f t="shared" si="6"/>
        <v>167.55876192692577</v>
      </c>
      <c r="W9" s="11">
        <f t="shared" si="7"/>
        <v>1.1255024564537743</v>
      </c>
      <c r="X9" s="11">
        <v>362.76</v>
      </c>
      <c r="Y9" s="11">
        <f t="shared" si="8"/>
        <v>151.69376693766935</v>
      </c>
      <c r="Z9" s="11">
        <f t="shared" si="9"/>
        <v>55.028430894308933</v>
      </c>
      <c r="AA9" s="7">
        <v>1915</v>
      </c>
      <c r="AB9" s="15">
        <f>IFERROR(AA9/1910,0)</f>
        <v>1.0026178010471205</v>
      </c>
      <c r="AC9" s="11">
        <v>0</v>
      </c>
      <c r="AD9" s="15">
        <f>IFERROR(AC9/61.5,0)</f>
        <v>0</v>
      </c>
      <c r="AE9" s="11">
        <v>16</v>
      </c>
      <c r="AF9" s="11">
        <v>30</v>
      </c>
      <c r="AG9" s="7">
        <f t="shared" si="10"/>
        <v>1095.3449999999982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72</v>
      </c>
      <c r="C10" s="7">
        <v>4</v>
      </c>
      <c r="D10" s="7">
        <v>7</v>
      </c>
      <c r="E10" s="7">
        <v>5000</v>
      </c>
      <c r="F10" s="7">
        <v>4277</v>
      </c>
      <c r="G10" s="7">
        <v>9</v>
      </c>
      <c r="H10" s="9">
        <f t="shared" si="0"/>
        <v>2.1042787000233811E-3</v>
      </c>
      <c r="I10" s="9">
        <f>IFERROR((5000-F10)/5000,0)</f>
        <v>0.14460000000000001</v>
      </c>
      <c r="J10" s="7">
        <v>0</v>
      </c>
      <c r="K10" s="11">
        <f t="shared" si="1"/>
        <v>0</v>
      </c>
      <c r="L10" s="11">
        <f>K10-0</f>
        <v>0</v>
      </c>
      <c r="M10" s="11">
        <v>0</v>
      </c>
      <c r="N10" s="11">
        <f t="shared" si="2"/>
        <v>0</v>
      </c>
      <c r="O10" s="11">
        <f>IFERROR(1413400/5000,0)</f>
        <v>282.68</v>
      </c>
      <c r="P10" s="11">
        <v>0</v>
      </c>
      <c r="Q10" s="11">
        <f t="shared" si="3"/>
        <v>282.68</v>
      </c>
      <c r="R10" s="7">
        <v>4801</v>
      </c>
      <c r="S10" s="11">
        <f t="shared" si="4"/>
        <v>160.35939744146432</v>
      </c>
      <c r="T10" s="13">
        <f t="shared" si="5"/>
        <v>0</v>
      </c>
      <c r="U10" s="7">
        <v>5040</v>
      </c>
      <c r="V10" s="11">
        <f t="shared" si="6"/>
        <v>168.34229600187047</v>
      </c>
      <c r="W10" s="11">
        <f t="shared" si="7"/>
        <v>1.0497812955634243</v>
      </c>
      <c r="X10" s="11">
        <v>321.26571428570003</v>
      </c>
      <c r="Y10" s="11">
        <f t="shared" si="8"/>
        <v>0</v>
      </c>
      <c r="Z10" s="11">
        <f t="shared" si="9"/>
        <v>0</v>
      </c>
      <c r="AA10" s="7">
        <v>2000</v>
      </c>
      <c r="AB10" s="15">
        <f>IFERROR(AA10/1970,0)</f>
        <v>1.015228426395939</v>
      </c>
      <c r="AC10" s="11">
        <v>0</v>
      </c>
      <c r="AD10" s="15">
        <f>IFERROR(AC10/64.3,0)</f>
        <v>0</v>
      </c>
      <c r="AE10" s="11">
        <v>17</v>
      </c>
      <c r="AF10" s="11">
        <v>31</v>
      </c>
      <c r="AG10" s="7">
        <f t="shared" si="10"/>
        <v>0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33</v>
      </c>
      <c r="C11" s="7"/>
      <c r="D11" s="7">
        <v>7</v>
      </c>
      <c r="E11" s="7">
        <v>4819</v>
      </c>
      <c r="F11" s="7">
        <v>4656</v>
      </c>
      <c r="G11" s="7">
        <v>14</v>
      </c>
      <c r="H11" s="9">
        <f t="shared" si="0"/>
        <v>3.0068728522336771E-3</v>
      </c>
      <c r="I11" s="9">
        <f>IFERROR((4819-F11)/4819,0)</f>
        <v>3.382444490558207E-2</v>
      </c>
      <c r="J11" s="7">
        <v>31140</v>
      </c>
      <c r="K11" s="11">
        <f t="shared" si="1"/>
        <v>95.544918998527237</v>
      </c>
      <c r="L11" s="11">
        <f>K11-93.2395</f>
        <v>2.3054189985272302</v>
      </c>
      <c r="M11" s="11">
        <v>94.5</v>
      </c>
      <c r="N11" s="11">
        <f t="shared" si="2"/>
        <v>1.0449189985272369</v>
      </c>
      <c r="O11" s="11">
        <f>IFERROR(399036/4819,0)</f>
        <v>82.804731272048144</v>
      </c>
      <c r="P11" s="11">
        <v>91</v>
      </c>
      <c r="Q11" s="11">
        <f t="shared" si="3"/>
        <v>-8.1952687279518557</v>
      </c>
      <c r="R11" s="7">
        <v>5374</v>
      </c>
      <c r="S11" s="11">
        <f t="shared" si="4"/>
        <v>164.88708885616103</v>
      </c>
      <c r="T11" s="13">
        <f t="shared" si="5"/>
        <v>5.7945664309639007</v>
      </c>
      <c r="U11" s="7">
        <v>5040</v>
      </c>
      <c r="V11" s="11">
        <f t="shared" si="6"/>
        <v>154.63917525773198</v>
      </c>
      <c r="W11" s="11">
        <f t="shared" si="7"/>
        <v>0.93784890212132499</v>
      </c>
      <c r="X11" s="11">
        <v>362.76</v>
      </c>
      <c r="Y11" s="11">
        <f t="shared" si="8"/>
        <v>172.5754656390495</v>
      </c>
      <c r="Z11" s="11">
        <f t="shared" si="9"/>
        <v>62.603475915221594</v>
      </c>
      <c r="AA11" s="7">
        <v>1898</v>
      </c>
      <c r="AB11" s="15">
        <f>IFERROR(AA11/1910,0)</f>
        <v>0.99371727748691097</v>
      </c>
      <c r="AC11" s="11">
        <v>0</v>
      </c>
      <c r="AD11" s="15">
        <f>IFERROR(AC11/61.5,0)</f>
        <v>0</v>
      </c>
      <c r="AE11" s="11">
        <v>17</v>
      </c>
      <c r="AF11" s="11">
        <v>30</v>
      </c>
      <c r="AG11" s="7">
        <f t="shared" si="10"/>
        <v>340.55999999999705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39633</v>
      </c>
      <c r="G12" s="17">
        <f>SUM(G6:G11)</f>
        <v>317</v>
      </c>
      <c r="H12" s="18">
        <f t="shared" si="0"/>
        <v>7.9983851840637853E-3</v>
      </c>
      <c r="I12" s="18"/>
      <c r="J12" s="17">
        <f>SUM(J6:J11)</f>
        <v>60660</v>
      </c>
      <c r="K12" s="19">
        <f t="shared" si="1"/>
        <v>21.864896136336604</v>
      </c>
      <c r="L12" s="19"/>
      <c r="M12" s="19">
        <f>IFERROR(SUMPRODUCT($F6:$F11,M6:M11)/$F12, 0)</f>
        <v>21.347324199530693</v>
      </c>
      <c r="N12" s="19">
        <f t="shared" si="2"/>
        <v>0.51757193680591129</v>
      </c>
      <c r="O12" s="19">
        <f>IFERROR(SUMPRODUCT($E6:$E11,O6:O11)/$E12, 0)</f>
        <v>229.87676658370307</v>
      </c>
      <c r="P12" s="19">
        <f>IFERROR(SUMPRODUCT($E6:$E11,P6:P11)/$E12, 0)</f>
        <v>18.719943729033655</v>
      </c>
      <c r="Q12" s="19">
        <f>IFERROR(SUMPRODUCT($E6:$E11,Q6:Q11)/$E12, 0)</f>
        <v>211.1568228546694</v>
      </c>
      <c r="R12" s="17">
        <f>SUM(R6:R11)</f>
        <v>21755</v>
      </c>
      <c r="S12" s="19">
        <f>IFERROR(R12/D12/$F12*1000,0)</f>
        <v>78.415894402572164</v>
      </c>
      <c r="T12" s="20">
        <f t="shared" si="5"/>
        <v>2.7883245230981384</v>
      </c>
      <c r="U12" s="17">
        <f>SUM(U6:U11)</f>
        <v>15120</v>
      </c>
      <c r="V12" s="19">
        <f>IFERROR(U12/D12/$F12*1000,0)</f>
        <v>54.5000378472485</v>
      </c>
      <c r="W12" s="19">
        <f t="shared" si="7"/>
        <v>0.69501264077223623</v>
      </c>
      <c r="X12" s="19">
        <f>IFERROR(SUMPRODUCT(R6:R11,X6:X11)/R12,0)</f>
        <v>354.76998916504925</v>
      </c>
      <c r="Y12" s="19">
        <f>IFERROR(($F12*S12)/($F12*K12)*100,0)</f>
        <v>358.63831190240683</v>
      </c>
      <c r="Z12" s="19">
        <f t="shared" si="9"/>
        <v>127.23411002778843</v>
      </c>
      <c r="AA12" s="17"/>
      <c r="AB12" s="21">
        <f>IFERROR(SUMPRODUCT($F6:$F11,AB6:AB11)/$F12,0)</f>
        <v>0.33500184984164622</v>
      </c>
      <c r="AC12" s="19"/>
      <c r="AD12" s="21">
        <f>AVERAGE(AD6:AD11)</f>
        <v>0</v>
      </c>
      <c r="AE12" s="19"/>
      <c r="AF12" s="19"/>
      <c r="AG12" s="17">
        <f>SUM(AG6:AG11)</f>
        <v>1435.9049999999952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72</v>
      </c>
      <c r="C14" s="6">
        <v>8</v>
      </c>
      <c r="D14" s="6">
        <v>7</v>
      </c>
      <c r="E14" s="6">
        <v>21388</v>
      </c>
      <c r="F14" s="6">
        <v>16951</v>
      </c>
      <c r="G14" s="6">
        <v>43</v>
      </c>
      <c r="H14" s="8">
        <f t="shared" ref="H14:H31" si="12">IFERROR(G14/F14,0)</f>
        <v>2.5367234971388117E-3</v>
      </c>
      <c r="I14" s="8">
        <f>IFERROR((21388-F14)/21388,0)</f>
        <v>0.20745277725827566</v>
      </c>
      <c r="J14" s="6">
        <v>93240</v>
      </c>
      <c r="K14" s="10">
        <f t="shared" ref="K14:K31" si="13">IFERROR(J14/D14/F14*100,0)</f>
        <v>78.579434841602264</v>
      </c>
      <c r="L14" s="10">
        <f>K14-50.9676</f>
        <v>27.611834841602267</v>
      </c>
      <c r="M14" s="10">
        <v>81</v>
      </c>
      <c r="N14" s="10">
        <f t="shared" ref="N14:N31" si="14">K14-M14</f>
        <v>-2.4205651583977357</v>
      </c>
      <c r="O14" s="10">
        <f>IFERROR(4434270/21388,0)</f>
        <v>207.32513559005051</v>
      </c>
      <c r="P14" s="10">
        <v>0</v>
      </c>
      <c r="Q14" s="10">
        <f t="shared" ref="Q14:Q30" si="15">IFERROR(O14-P14,0)</f>
        <v>207.32513559005051</v>
      </c>
      <c r="R14" s="6">
        <v>9887</v>
      </c>
      <c r="S14" s="10">
        <f t="shared" ref="S14:S30" si="16">IFERROR(R14/D14/F14*1000,0)</f>
        <v>83.324203376117708</v>
      </c>
      <c r="T14" s="12">
        <f t="shared" ref="T14:T31" si="17">IFERROR(J14/R14,0)</f>
        <v>9.4305653888945074</v>
      </c>
      <c r="U14" s="6">
        <v>21270</v>
      </c>
      <c r="V14" s="10">
        <f t="shared" ref="V14:V30" si="18">IFERROR(U14/D14/F14*1000,0)</f>
        <v>179.25617536259975</v>
      </c>
      <c r="W14" s="10">
        <f t="shared" ref="W14:W31" si="19">IFERROR(V14/S14,0)</f>
        <v>2.1513098007484577</v>
      </c>
      <c r="X14" s="10">
        <v>259.2785714286</v>
      </c>
      <c r="Y14" s="10">
        <f t="shared" ref="Y14:Y30" si="20">IFERROR((F14*S14)/(F14*K14)*100,0)</f>
        <v>106.03818103818104</v>
      </c>
      <c r="Z14" s="10">
        <f t="shared" ref="Z14:Z31" si="21">IFERROR(Y14*X14/1000,0)</f>
        <v>27.49342809646684</v>
      </c>
      <c r="AA14" s="6">
        <v>0</v>
      </c>
      <c r="AB14" s="14">
        <f>IFERROR(AA14/1580,0)</f>
        <v>0</v>
      </c>
      <c r="AC14" s="10">
        <v>0</v>
      </c>
      <c r="AD14" s="14">
        <f>IFERROR(AC14/63.4,0)</f>
        <v>0</v>
      </c>
      <c r="AE14" s="10">
        <v>22</v>
      </c>
      <c r="AF14" s="10">
        <v>25</v>
      </c>
      <c r="AG14" s="6">
        <f t="shared" ref="AG14:AG30" si="22">IF(M14=0,0,IFERROR(N14/100*7*F14,0))</f>
        <v>-2872.1700000000014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32</v>
      </c>
      <c r="C15" s="7"/>
      <c r="D15" s="7">
        <v>7</v>
      </c>
      <c r="E15" s="7">
        <v>10225</v>
      </c>
      <c r="F15" s="7">
        <v>9389</v>
      </c>
      <c r="G15" s="7">
        <v>53</v>
      </c>
      <c r="H15" s="9">
        <f t="shared" si="12"/>
        <v>5.6449036106081584E-3</v>
      </c>
      <c r="I15" s="9">
        <f>IFERROR((10225-F15)/10225,0)</f>
        <v>8.1760391198044013E-2</v>
      </c>
      <c r="J15" s="7">
        <v>55050</v>
      </c>
      <c r="K15" s="11">
        <f t="shared" si="13"/>
        <v>83.760631742312441</v>
      </c>
      <c r="L15" s="11">
        <f>K15-83.5174</f>
        <v>0.24323174231244593</v>
      </c>
      <c r="M15" s="11">
        <v>94.5</v>
      </c>
      <c r="N15" s="11">
        <f t="shared" si="14"/>
        <v>-10.739368257687559</v>
      </c>
      <c r="O15" s="11">
        <f>IFERROR(736280/10225,0)</f>
        <v>72.007823960880202</v>
      </c>
      <c r="P15" s="11">
        <v>85</v>
      </c>
      <c r="Q15" s="11">
        <f t="shared" si="15"/>
        <v>-12.992176039119798</v>
      </c>
      <c r="R15" s="7">
        <v>8001</v>
      </c>
      <c r="S15" s="11">
        <f t="shared" si="16"/>
        <v>121.73820428160613</v>
      </c>
      <c r="T15" s="13">
        <f t="shared" si="17"/>
        <v>6.8803899512560927</v>
      </c>
      <c r="U15" s="7">
        <v>12680</v>
      </c>
      <c r="V15" s="11">
        <f t="shared" si="18"/>
        <v>192.93093741916832</v>
      </c>
      <c r="W15" s="11">
        <f t="shared" si="19"/>
        <v>1.5848018997625297</v>
      </c>
      <c r="X15" s="11">
        <v>302.77999999999997</v>
      </c>
      <c r="Y15" s="11">
        <f t="shared" si="20"/>
        <v>145.34059945504086</v>
      </c>
      <c r="Z15" s="11">
        <f t="shared" si="21"/>
        <v>44.006226702997267</v>
      </c>
      <c r="AA15" s="7">
        <v>0</v>
      </c>
      <c r="AB15" s="15">
        <f>IFERROR(AA15/1910,0)</f>
        <v>0</v>
      </c>
      <c r="AC15" s="11">
        <v>0</v>
      </c>
      <c r="AD15" s="15">
        <f>IFERROR(AC15/61.3,0)</f>
        <v>0</v>
      </c>
      <c r="AE15" s="11">
        <v>20</v>
      </c>
      <c r="AF15" s="11">
        <v>31</v>
      </c>
      <c r="AG15" s="7">
        <f t="shared" si="22"/>
        <v>-7058.2349999999951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61</v>
      </c>
      <c r="C16" s="7"/>
      <c r="D16" s="7">
        <v>7</v>
      </c>
      <c r="E16" s="7">
        <v>56050</v>
      </c>
      <c r="F16" s="7">
        <v>51119</v>
      </c>
      <c r="G16" s="7">
        <v>150</v>
      </c>
      <c r="H16" s="9">
        <f t="shared" si="12"/>
        <v>2.9343297012852363E-3</v>
      </c>
      <c r="I16" s="9">
        <f>IFERROR((56050-F16)/56050,0)</f>
        <v>8.7975022301516506E-2</v>
      </c>
      <c r="J16" s="7">
        <v>324120</v>
      </c>
      <c r="K16" s="11">
        <f t="shared" si="13"/>
        <v>90.578565979101995</v>
      </c>
      <c r="L16" s="11">
        <f>K16-93.9554</f>
        <v>-3.3768340208980021</v>
      </c>
      <c r="M16" s="11">
        <v>91.05</v>
      </c>
      <c r="N16" s="11">
        <f t="shared" si="14"/>
        <v>-0.4714340208980019</v>
      </c>
      <c r="O16" s="11">
        <f>IFERROR(14499901/56050,0)</f>
        <v>258.69582515611063</v>
      </c>
      <c r="P16" s="11">
        <v>257</v>
      </c>
      <c r="Q16" s="11">
        <f t="shared" si="15"/>
        <v>1.6958251561106295</v>
      </c>
      <c r="R16" s="7">
        <v>42750</v>
      </c>
      <c r="S16" s="11">
        <f t="shared" si="16"/>
        <v>119.46913783804176</v>
      </c>
      <c r="T16" s="13">
        <f t="shared" si="17"/>
        <v>7.5817543859649126</v>
      </c>
      <c r="U16" s="7">
        <v>62700</v>
      </c>
      <c r="V16" s="11">
        <f t="shared" si="18"/>
        <v>175.22140216246126</v>
      </c>
      <c r="W16" s="11">
        <f t="shared" si="19"/>
        <v>1.4666666666666668</v>
      </c>
      <c r="X16" s="11">
        <v>300.22571428570001</v>
      </c>
      <c r="Y16" s="11">
        <f t="shared" si="20"/>
        <v>131.89559422436133</v>
      </c>
      <c r="Z16" s="11">
        <f t="shared" si="21"/>
        <v>39.598448987145723</v>
      </c>
      <c r="AA16" s="7">
        <v>1670</v>
      </c>
      <c r="AB16" s="15">
        <f>IFERROR(AA16/1725,0)</f>
        <v>0.96811594202898554</v>
      </c>
      <c r="AC16" s="11">
        <v>63</v>
      </c>
      <c r="AD16" s="15">
        <f>IFERROR(AC16/63.7,0)</f>
        <v>0.98901098901098894</v>
      </c>
      <c r="AE16" s="11">
        <v>21</v>
      </c>
      <c r="AF16" s="11">
        <v>25</v>
      </c>
      <c r="AG16" s="7">
        <f t="shared" si="22"/>
        <v>-1686.9464999999473</v>
      </c>
      <c r="AH16" s="7">
        <v>39</v>
      </c>
      <c r="AI16" s="7">
        <v>4.6153846154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IFERROR(0/F16,0)</f>
        <v>0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135</v>
      </c>
      <c r="C17" s="7">
        <v>19</v>
      </c>
      <c r="D17" s="7">
        <v>7</v>
      </c>
      <c r="E17" s="7">
        <v>17433</v>
      </c>
      <c r="F17" s="7">
        <v>15953</v>
      </c>
      <c r="G17" s="7">
        <v>67</v>
      </c>
      <c r="H17" s="9">
        <f t="shared" si="12"/>
        <v>4.1998370212499216E-3</v>
      </c>
      <c r="I17" s="9">
        <f>IFERROR((17433-F17)/17433,0)</f>
        <v>8.4896460735386911E-2</v>
      </c>
      <c r="J17" s="7">
        <v>68224</v>
      </c>
      <c r="K17" s="11">
        <f t="shared" si="13"/>
        <v>61.093748600800566</v>
      </c>
      <c r="L17" s="11">
        <f>K17-61.7353</f>
        <v>-0.64155139919943593</v>
      </c>
      <c r="M17" s="11">
        <v>77</v>
      </c>
      <c r="N17" s="11">
        <f t="shared" si="14"/>
        <v>-15.906251399199434</v>
      </c>
      <c r="O17" s="11">
        <f>IFERROR(1367794/17433,0)</f>
        <v>78.46004703722825</v>
      </c>
      <c r="P17" s="11">
        <v>0</v>
      </c>
      <c r="Q17" s="11">
        <f t="shared" si="15"/>
        <v>78.46004703722825</v>
      </c>
      <c r="R17" s="7">
        <v>15560</v>
      </c>
      <c r="S17" s="11">
        <f t="shared" si="16"/>
        <v>139.33787644061573</v>
      </c>
      <c r="T17" s="13">
        <f t="shared" si="17"/>
        <v>4.3845758354755784</v>
      </c>
      <c r="U17" s="7">
        <v>26630</v>
      </c>
      <c r="V17" s="11">
        <f t="shared" si="18"/>
        <v>238.4683579443186</v>
      </c>
      <c r="W17" s="11">
        <f t="shared" si="19"/>
        <v>1.7114395886889462</v>
      </c>
      <c r="X17" s="11">
        <v>283.58285714290002</v>
      </c>
      <c r="Y17" s="11">
        <f t="shared" si="20"/>
        <v>228.07223264540335</v>
      </c>
      <c r="Z17" s="11">
        <f t="shared" si="21"/>
        <v>64.677375368543679</v>
      </c>
      <c r="AA17" s="7">
        <v>0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18</v>
      </c>
      <c r="AF17" s="11">
        <v>31</v>
      </c>
      <c r="AG17" s="7">
        <f t="shared" si="22"/>
        <v>-17762.669999999998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54</v>
      </c>
      <c r="C18" s="7"/>
      <c r="D18" s="7">
        <v>7</v>
      </c>
      <c r="E18" s="7">
        <v>51536</v>
      </c>
      <c r="F18" s="7">
        <v>48779</v>
      </c>
      <c r="G18" s="7">
        <v>111</v>
      </c>
      <c r="H18" s="9">
        <f t="shared" si="12"/>
        <v>2.2755694048668482E-3</v>
      </c>
      <c r="I18" s="9">
        <f>IFERROR((51536-F18)/51536,0)</f>
        <v>5.3496584911518159E-2</v>
      </c>
      <c r="J18" s="7">
        <v>321800</v>
      </c>
      <c r="K18" s="11">
        <f t="shared" si="13"/>
        <v>94.244303022670763</v>
      </c>
      <c r="L18" s="11">
        <f>K18-93.2355</f>
        <v>1.0088030226707616</v>
      </c>
      <c r="M18" s="11">
        <v>93</v>
      </c>
      <c r="N18" s="11">
        <f t="shared" si="14"/>
        <v>1.2443030226707634</v>
      </c>
      <c r="O18" s="11">
        <f>IFERROR(10915672/51536,0)</f>
        <v>211.8067370381869</v>
      </c>
      <c r="P18" s="11">
        <v>220</v>
      </c>
      <c r="Q18" s="11">
        <f t="shared" si="15"/>
        <v>-8.1932629618131045</v>
      </c>
      <c r="R18" s="7">
        <v>42420</v>
      </c>
      <c r="S18" s="11">
        <f t="shared" si="16"/>
        <v>124.23378913056848</v>
      </c>
      <c r="T18" s="13">
        <f t="shared" si="17"/>
        <v>7.5860443187175859</v>
      </c>
      <c r="U18" s="7">
        <v>67382</v>
      </c>
      <c r="V18" s="11">
        <f t="shared" si="18"/>
        <v>197.33901884007463</v>
      </c>
      <c r="W18" s="11">
        <f t="shared" si="19"/>
        <v>1.5884488448844885</v>
      </c>
      <c r="X18" s="11">
        <v>293.5</v>
      </c>
      <c r="Y18" s="11">
        <f t="shared" si="20"/>
        <v>131.82100683654443</v>
      </c>
      <c r="Z18" s="11">
        <f t="shared" si="21"/>
        <v>38.689465506525792</v>
      </c>
      <c r="AA18" s="7">
        <v>1675</v>
      </c>
      <c r="AB18" s="15">
        <f>IFERROR(AA18/1725,0)</f>
        <v>0.97101449275362317</v>
      </c>
      <c r="AC18" s="11">
        <v>62.6</v>
      </c>
      <c r="AD18" s="15">
        <f>IFERROR(AC18/62.9,0)</f>
        <v>0.99523052464228934</v>
      </c>
      <c r="AE18" s="11">
        <v>21</v>
      </c>
      <c r="AF18" s="11">
        <v>26</v>
      </c>
      <c r="AG18" s="7">
        <f t="shared" si="22"/>
        <v>4248.7100000000019</v>
      </c>
      <c r="AH18" s="7">
        <v>19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IFERROR(0/F18,0)</f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102</v>
      </c>
      <c r="C19" s="7">
        <v>32</v>
      </c>
      <c r="D19" s="7">
        <v>7</v>
      </c>
      <c r="E19" s="7">
        <v>51311</v>
      </c>
      <c r="F19" s="7">
        <v>39631</v>
      </c>
      <c r="G19" s="7">
        <v>101</v>
      </c>
      <c r="H19" s="9">
        <f t="shared" si="12"/>
        <v>2.5485100047942266E-3</v>
      </c>
      <c r="I19" s="9">
        <f>IFERROR((51311-F19)/51311,0)</f>
        <v>0.22763150201711135</v>
      </c>
      <c r="J19" s="7">
        <v>233180</v>
      </c>
      <c r="K19" s="11">
        <f t="shared" si="13"/>
        <v>84.053969295320769</v>
      </c>
      <c r="L19" s="11">
        <f>K19-85.3576</f>
        <v>-1.3036307046792359</v>
      </c>
      <c r="M19" s="11">
        <v>73</v>
      </c>
      <c r="N19" s="11">
        <f t="shared" si="14"/>
        <v>11.053969295320769</v>
      </c>
      <c r="O19" s="11">
        <f>IFERROR(22465629/51311,0)</f>
        <v>437.83260899222387</v>
      </c>
      <c r="P19" s="11">
        <v>0</v>
      </c>
      <c r="Q19" s="11">
        <f t="shared" si="15"/>
        <v>437.83260899222387</v>
      </c>
      <c r="R19" s="7">
        <v>33428</v>
      </c>
      <c r="S19" s="11">
        <f t="shared" si="16"/>
        <v>120.49730189570214</v>
      </c>
      <c r="T19" s="13">
        <f t="shared" si="17"/>
        <v>6.97558932631327</v>
      </c>
      <c r="U19" s="7">
        <v>54980</v>
      </c>
      <c r="V19" s="11">
        <f t="shared" si="18"/>
        <v>198.18540320167835</v>
      </c>
      <c r="W19" s="11">
        <f t="shared" si="19"/>
        <v>1.6447289697259784</v>
      </c>
      <c r="X19" s="11">
        <v>303.28571428570001</v>
      </c>
      <c r="Y19" s="11">
        <f t="shared" si="20"/>
        <v>143.35706321296854</v>
      </c>
      <c r="Z19" s="11">
        <f t="shared" si="21"/>
        <v>43.478149314445417</v>
      </c>
      <c r="AA19" s="7">
        <v>0</v>
      </c>
      <c r="AB19" s="15">
        <f>IFERROR(AA19/0,0)</f>
        <v>0</v>
      </c>
      <c r="AC19" s="11">
        <v>0</v>
      </c>
      <c r="AD19" s="15">
        <f>IFERROR(AC19/0,0)</f>
        <v>0</v>
      </c>
      <c r="AE19" s="11">
        <v>0</v>
      </c>
      <c r="AF19" s="11">
        <v>26</v>
      </c>
      <c r="AG19" s="7">
        <f t="shared" si="22"/>
        <v>30665.590000000018</v>
      </c>
      <c r="AH19" s="7">
        <v>22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IFERROR(200/F19,0)</f>
        <v>5.0465544649390629E-3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33</v>
      </c>
      <c r="C20" s="7"/>
      <c r="D20" s="7">
        <v>7</v>
      </c>
      <c r="E20" s="7">
        <v>52424</v>
      </c>
      <c r="F20" s="7">
        <v>51206</v>
      </c>
      <c r="G20" s="7">
        <v>103</v>
      </c>
      <c r="H20" s="9">
        <f t="shared" si="12"/>
        <v>2.0114830293325001E-3</v>
      </c>
      <c r="I20" s="9">
        <f>IFERROR((52424-F20)/52424,0)</f>
        <v>2.3233633450328094E-2</v>
      </c>
      <c r="J20" s="7">
        <v>337020</v>
      </c>
      <c r="K20" s="11">
        <f t="shared" si="13"/>
        <v>94.023579826024843</v>
      </c>
      <c r="L20" s="11">
        <f>K20-93.1722</f>
        <v>0.8513798260248393</v>
      </c>
      <c r="M20" s="11">
        <v>95.75</v>
      </c>
      <c r="N20" s="11">
        <f t="shared" si="14"/>
        <v>-1.726420173975157</v>
      </c>
      <c r="O20" s="11">
        <f>IFERROR(4192000/52424,0)</f>
        <v>79.963375553181749</v>
      </c>
      <c r="P20" s="11">
        <v>86</v>
      </c>
      <c r="Q20" s="11">
        <f t="shared" si="15"/>
        <v>-6.0366244468182515</v>
      </c>
      <c r="R20" s="7">
        <v>40119</v>
      </c>
      <c r="S20" s="11">
        <f t="shared" si="16"/>
        <v>111.92605777224767</v>
      </c>
      <c r="T20" s="13">
        <f t="shared" si="17"/>
        <v>8.4005084872504305</v>
      </c>
      <c r="U20" s="7">
        <v>54264</v>
      </c>
      <c r="V20" s="11">
        <f t="shared" si="18"/>
        <v>151.38850915908293</v>
      </c>
      <c r="W20" s="11">
        <f t="shared" si="19"/>
        <v>1.3525760861437224</v>
      </c>
      <c r="X20" s="11">
        <v>299.77</v>
      </c>
      <c r="Y20" s="11">
        <f t="shared" si="20"/>
        <v>119.04041303186756</v>
      </c>
      <c r="Z20" s="11">
        <f t="shared" si="21"/>
        <v>35.684744614562938</v>
      </c>
      <c r="AA20" s="7">
        <v>1700</v>
      </c>
      <c r="AB20" s="15">
        <f>IFERROR(AA20/1685,0)</f>
        <v>1.0089020771513353</v>
      </c>
      <c r="AC20" s="11">
        <v>60.01</v>
      </c>
      <c r="AD20" s="15">
        <f>IFERROR(AC20/60.3,0)</f>
        <v>0.99519071310116092</v>
      </c>
      <c r="AE20" s="11">
        <v>23</v>
      </c>
      <c r="AF20" s="11">
        <v>26</v>
      </c>
      <c r="AG20" s="7">
        <f t="shared" si="22"/>
        <v>-6188.215000000032</v>
      </c>
      <c r="AH20" s="7">
        <v>30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63</v>
      </c>
      <c r="B21" s="5">
        <v>23</v>
      </c>
      <c r="C21" s="7"/>
      <c r="D21" s="7">
        <v>7</v>
      </c>
      <c r="E21" s="7">
        <v>50525</v>
      </c>
      <c r="F21" s="7">
        <v>50130</v>
      </c>
      <c r="G21" s="7">
        <v>83</v>
      </c>
      <c r="H21" s="9">
        <f t="shared" si="12"/>
        <v>1.6556951924995014E-3</v>
      </c>
      <c r="I21" s="9">
        <f>IFERROR((50525-F21)/50525,0)</f>
        <v>7.8179119247897087E-3</v>
      </c>
      <c r="J21" s="7">
        <v>290780</v>
      </c>
      <c r="K21" s="11">
        <f t="shared" si="13"/>
        <v>82.864552164372625</v>
      </c>
      <c r="L21" s="11">
        <f>K21-69.3332</f>
        <v>13.53135216437262</v>
      </c>
      <c r="M21" s="11">
        <v>90</v>
      </c>
      <c r="N21" s="11">
        <f t="shared" si="14"/>
        <v>-7.1354478356273745</v>
      </c>
      <c r="O21" s="11">
        <f>IFERROR(796920/50525,0)</f>
        <v>15.772785749628897</v>
      </c>
      <c r="P21" s="11">
        <v>21</v>
      </c>
      <c r="Q21" s="11">
        <f t="shared" si="15"/>
        <v>-5.2272142503711034</v>
      </c>
      <c r="R21" s="7">
        <v>36407</v>
      </c>
      <c r="S21" s="11">
        <f t="shared" si="16"/>
        <v>103.75024935168561</v>
      </c>
      <c r="T21" s="13">
        <f t="shared" si="17"/>
        <v>7.9869255912324553</v>
      </c>
      <c r="U21" s="7">
        <v>68102</v>
      </c>
      <c r="V21" s="11">
        <f t="shared" si="18"/>
        <v>194.07255421618081</v>
      </c>
      <c r="W21" s="11">
        <f t="shared" si="19"/>
        <v>1.8705743400994317</v>
      </c>
      <c r="X21" s="11">
        <v>307.39</v>
      </c>
      <c r="Y21" s="11">
        <f t="shared" si="20"/>
        <v>125.20462205103516</v>
      </c>
      <c r="Z21" s="11">
        <f t="shared" si="21"/>
        <v>38.486648772267699</v>
      </c>
      <c r="AA21" s="7">
        <v>1539</v>
      </c>
      <c r="AB21" s="15">
        <f>IFERROR(AA21/1465,0)</f>
        <v>1.0505119453924914</v>
      </c>
      <c r="AC21" s="11">
        <v>51.03</v>
      </c>
      <c r="AD21" s="15">
        <f>IFERROR(AC21/51.3,0)</f>
        <v>0.99473684210526325</v>
      </c>
      <c r="AE21" s="11">
        <v>22</v>
      </c>
      <c r="AF21" s="11">
        <v>25</v>
      </c>
      <c r="AG21" s="7">
        <f t="shared" si="22"/>
        <v>-25039.000000000022</v>
      </c>
      <c r="AH21" s="7">
        <v>18</v>
      </c>
      <c r="AI21" s="7">
        <v>14.4444444444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64</v>
      </c>
      <c r="B22" s="5">
        <v>42</v>
      </c>
      <c r="C22" s="7"/>
      <c r="D22" s="7">
        <v>7</v>
      </c>
      <c r="E22" s="7">
        <v>50845</v>
      </c>
      <c r="F22" s="7">
        <v>49566</v>
      </c>
      <c r="G22" s="7">
        <v>66</v>
      </c>
      <c r="H22" s="9">
        <f t="shared" si="12"/>
        <v>1.3315579227696406E-3</v>
      </c>
      <c r="I22" s="9">
        <f>IFERROR((50845-F22)/50845,0)</f>
        <v>2.5154882485986824E-2</v>
      </c>
      <c r="J22" s="7">
        <v>312860</v>
      </c>
      <c r="K22" s="11">
        <f t="shared" si="13"/>
        <v>90.171257947556228</v>
      </c>
      <c r="L22" s="11">
        <f>K22-94.979</f>
        <v>-4.8077420524437713</v>
      </c>
      <c r="M22" s="11">
        <v>95.25</v>
      </c>
      <c r="N22" s="11">
        <f t="shared" si="14"/>
        <v>-5.0787420524437721</v>
      </c>
      <c r="O22" s="11">
        <f>IFERROR(7103850/50845,0)</f>
        <v>139.71580293047498</v>
      </c>
      <c r="P22" s="11">
        <v>144</v>
      </c>
      <c r="Q22" s="11">
        <f t="shared" si="15"/>
        <v>-4.2841970695250211</v>
      </c>
      <c r="R22" s="7">
        <v>40417</v>
      </c>
      <c r="S22" s="11">
        <f t="shared" si="16"/>
        <v>116.48826096229558</v>
      </c>
      <c r="T22" s="13">
        <f t="shared" si="17"/>
        <v>7.7408021377143283</v>
      </c>
      <c r="U22" s="7">
        <v>68500</v>
      </c>
      <c r="V22" s="11">
        <f t="shared" si="18"/>
        <v>197.42796041065017</v>
      </c>
      <c r="W22" s="11">
        <f t="shared" si="19"/>
        <v>1.6948313828339561</v>
      </c>
      <c r="X22" s="11">
        <v>290.2185714286</v>
      </c>
      <c r="Y22" s="11">
        <f t="shared" si="20"/>
        <v>129.18557821389757</v>
      </c>
      <c r="Z22" s="11">
        <f t="shared" si="21"/>
        <v>37.492053958415028</v>
      </c>
      <c r="AA22" s="7">
        <v>1747</v>
      </c>
      <c r="AB22" s="15">
        <f>IFERROR(AA22/1710,0)</f>
        <v>1.0216374269005848</v>
      </c>
      <c r="AC22" s="11">
        <v>61.8</v>
      </c>
      <c r="AD22" s="15">
        <f>IFERROR(AC22/62.05,0)</f>
        <v>0.99597099113618048</v>
      </c>
      <c r="AE22" s="11">
        <v>21</v>
      </c>
      <c r="AF22" s="11">
        <v>27</v>
      </c>
      <c r="AG22" s="7">
        <f t="shared" si="22"/>
        <v>-17621.30499999996</v>
      </c>
      <c r="AH22" s="7">
        <v>31</v>
      </c>
      <c r="AI22" s="7">
        <v>20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65</v>
      </c>
      <c r="B23" s="5">
        <v>92</v>
      </c>
      <c r="C23" s="7"/>
      <c r="D23" s="7">
        <v>7</v>
      </c>
      <c r="E23" s="7">
        <v>20160</v>
      </c>
      <c r="F23" s="7">
        <v>15508</v>
      </c>
      <c r="G23" s="7">
        <v>52</v>
      </c>
      <c r="H23" s="9">
        <f t="shared" si="12"/>
        <v>3.3531080732525148E-3</v>
      </c>
      <c r="I23" s="9">
        <f>IFERROR((20160-F23)/20160,0)</f>
        <v>0.23075396825396827</v>
      </c>
      <c r="J23" s="7">
        <v>86020</v>
      </c>
      <c r="K23" s="11">
        <f t="shared" si="13"/>
        <v>79.24020781900586</v>
      </c>
      <c r="L23" s="11">
        <f>K23-54.9761</f>
        <v>24.264107819005858</v>
      </c>
      <c r="M23" s="11">
        <v>72</v>
      </c>
      <c r="N23" s="11">
        <f t="shared" si="14"/>
        <v>7.2402078190058603</v>
      </c>
      <c r="O23" s="11">
        <f>IFERROR(6055914/20160,0)</f>
        <v>300.3925595238095</v>
      </c>
      <c r="P23" s="11">
        <v>424</v>
      </c>
      <c r="Q23" s="11">
        <f t="shared" si="15"/>
        <v>-123.6074404761905</v>
      </c>
      <c r="R23" s="7">
        <v>17011</v>
      </c>
      <c r="S23" s="11">
        <f t="shared" si="16"/>
        <v>156.70253141235861</v>
      </c>
      <c r="T23" s="13">
        <f t="shared" si="17"/>
        <v>5.0567279995297163</v>
      </c>
      <c r="U23" s="7">
        <v>20630</v>
      </c>
      <c r="V23" s="11">
        <f t="shared" si="18"/>
        <v>190.04016360219612</v>
      </c>
      <c r="W23" s="11">
        <f t="shared" si="19"/>
        <v>1.2127446946093705</v>
      </c>
      <c r="X23" s="11">
        <v>302.84285714290002</v>
      </c>
      <c r="Y23" s="11">
        <f t="shared" si="20"/>
        <v>197.75633573587535</v>
      </c>
      <c r="Z23" s="11">
        <f t="shared" si="21"/>
        <v>59.889093732363072</v>
      </c>
      <c r="AA23" s="7">
        <v>0</v>
      </c>
      <c r="AB23" s="15">
        <f>IFERROR(AA23/1980,0)</f>
        <v>0</v>
      </c>
      <c r="AC23" s="11">
        <v>0</v>
      </c>
      <c r="AD23" s="15">
        <f>IFERROR(AC23/65.1,0)</f>
        <v>0</v>
      </c>
      <c r="AE23" s="11">
        <v>22</v>
      </c>
      <c r="AF23" s="11">
        <v>25</v>
      </c>
      <c r="AG23" s="7">
        <f t="shared" si="22"/>
        <v>7859.6800000000012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33</v>
      </c>
      <c r="C24" s="7"/>
      <c r="D24" s="7">
        <v>7</v>
      </c>
      <c r="E24" s="7">
        <v>21875</v>
      </c>
      <c r="F24" s="7">
        <v>21483</v>
      </c>
      <c r="G24" s="7">
        <v>22</v>
      </c>
      <c r="H24" s="9">
        <f t="shared" si="12"/>
        <v>1.0240655401945725E-3</v>
      </c>
      <c r="I24" s="9">
        <f>IFERROR((21875-F24)/21875,0)</f>
        <v>1.7919999999999998E-2</v>
      </c>
      <c r="J24" s="7">
        <v>142020</v>
      </c>
      <c r="K24" s="11">
        <f t="shared" si="13"/>
        <v>94.440122089891659</v>
      </c>
      <c r="L24" s="11">
        <f>K24-100.083</f>
        <v>-5.6428779101083393</v>
      </c>
      <c r="M24" s="11">
        <v>94.5</v>
      </c>
      <c r="N24" s="11">
        <f t="shared" si="14"/>
        <v>-5.987791010834087E-2</v>
      </c>
      <c r="O24" s="11">
        <f>IFERROR(2018850/21875,0)</f>
        <v>92.290285714285716</v>
      </c>
      <c r="P24" s="11">
        <v>91</v>
      </c>
      <c r="Q24" s="11">
        <f t="shared" si="15"/>
        <v>1.2902857142857158</v>
      </c>
      <c r="R24" s="7">
        <v>18850</v>
      </c>
      <c r="S24" s="11">
        <f t="shared" si="16"/>
        <v>125.34828203030968</v>
      </c>
      <c r="T24" s="13">
        <f t="shared" si="17"/>
        <v>7.5342175066312995</v>
      </c>
      <c r="U24" s="7">
        <v>27131</v>
      </c>
      <c r="V24" s="11">
        <f t="shared" si="18"/>
        <v>180.41507903259054</v>
      </c>
      <c r="W24" s="11">
        <f t="shared" si="19"/>
        <v>1.4393103448275861</v>
      </c>
      <c r="X24" s="11">
        <v>295.99428571430002</v>
      </c>
      <c r="Y24" s="11">
        <f t="shared" si="20"/>
        <v>132.72778481903958</v>
      </c>
      <c r="Z24" s="11">
        <f t="shared" si="21"/>
        <v>39.286665861952933</v>
      </c>
      <c r="AA24" s="7">
        <v>2050</v>
      </c>
      <c r="AB24" s="15">
        <f>IFERROR(AA24/1910,0)</f>
        <v>1.0732984293193717</v>
      </c>
      <c r="AC24" s="11">
        <v>61.51</v>
      </c>
      <c r="AD24" s="15">
        <f>IFERROR(AC24/61.5,0)</f>
        <v>1.0001626016260163</v>
      </c>
      <c r="AE24" s="11">
        <v>23</v>
      </c>
      <c r="AF24" s="11">
        <v>26</v>
      </c>
      <c r="AG24" s="7">
        <f t="shared" si="22"/>
        <v>-90.045000000024075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67</v>
      </c>
      <c r="B25" s="5">
        <v>92</v>
      </c>
      <c r="C25" s="7">
        <v>25</v>
      </c>
      <c r="D25" s="7">
        <v>7</v>
      </c>
      <c r="E25" s="7">
        <v>51833</v>
      </c>
      <c r="F25" s="7">
        <v>42068</v>
      </c>
      <c r="G25" s="7">
        <v>148</v>
      </c>
      <c r="H25" s="9">
        <f t="shared" si="12"/>
        <v>3.5181135304744697E-3</v>
      </c>
      <c r="I25" s="9">
        <f>IFERROR((51833-F25)/51833,0)</f>
        <v>0.18839349449192599</v>
      </c>
      <c r="J25" s="7">
        <v>211560</v>
      </c>
      <c r="K25" s="11">
        <f t="shared" si="13"/>
        <v>71.842866651272089</v>
      </c>
      <c r="L25" s="11">
        <f>K25-70.2949</f>
        <v>1.5479666512720911</v>
      </c>
      <c r="M25" s="11">
        <v>77</v>
      </c>
      <c r="N25" s="11">
        <f t="shared" si="14"/>
        <v>-5.1571333487279105</v>
      </c>
      <c r="O25" s="11">
        <f>IFERROR(18752388/51833,0)</f>
        <v>361.78473173460924</v>
      </c>
      <c r="P25" s="11">
        <v>0</v>
      </c>
      <c r="Q25" s="11">
        <f t="shared" si="15"/>
        <v>361.78473173460924</v>
      </c>
      <c r="R25" s="7">
        <v>34295</v>
      </c>
      <c r="S25" s="11">
        <f t="shared" si="16"/>
        <v>116.46110379114089</v>
      </c>
      <c r="T25" s="13">
        <f t="shared" si="17"/>
        <v>6.1688292754045779</v>
      </c>
      <c r="U25" s="7">
        <v>53282</v>
      </c>
      <c r="V25" s="11">
        <f t="shared" si="18"/>
        <v>180.93834472079217</v>
      </c>
      <c r="W25" s="11">
        <f t="shared" si="19"/>
        <v>1.5536375564951157</v>
      </c>
      <c r="X25" s="11">
        <v>277.04000000000002</v>
      </c>
      <c r="Y25" s="11">
        <f t="shared" si="20"/>
        <v>162.10531291359428</v>
      </c>
      <c r="Z25" s="11">
        <f t="shared" si="21"/>
        <v>44.909655889582162</v>
      </c>
      <c r="AA25" s="7">
        <v>1722</v>
      </c>
      <c r="AB25" s="15">
        <f>IFERROR(AA25/1980,0)</f>
        <v>0.86969696969696975</v>
      </c>
      <c r="AC25" s="11">
        <v>0</v>
      </c>
      <c r="AD25" s="15">
        <f>IFERROR(AC25/65.1,0)</f>
        <v>0</v>
      </c>
      <c r="AE25" s="11">
        <v>18</v>
      </c>
      <c r="AF25" s="11">
        <v>26</v>
      </c>
      <c r="AG25" s="7">
        <f t="shared" si="22"/>
        <v>-15186.52</v>
      </c>
      <c r="AH25" s="7">
        <v>39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IFERROR(100/F25,0)</f>
        <v>2.3771037368070743E-3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81</v>
      </c>
      <c r="B26" s="5">
        <v>90</v>
      </c>
      <c r="C26" s="7">
        <v>24</v>
      </c>
      <c r="D26" s="7">
        <v>7</v>
      </c>
      <c r="E26" s="7">
        <v>21623</v>
      </c>
      <c r="F26" s="7">
        <v>18317</v>
      </c>
      <c r="G26" s="7">
        <v>32</v>
      </c>
      <c r="H26" s="9">
        <f t="shared" si="12"/>
        <v>1.7470109734126766E-3</v>
      </c>
      <c r="I26" s="9">
        <f>IFERROR((21623-F26)/21623,0)</f>
        <v>0.15289275308699071</v>
      </c>
      <c r="J26" s="7">
        <v>92700</v>
      </c>
      <c r="K26" s="11">
        <f t="shared" si="13"/>
        <v>72.29817733721211</v>
      </c>
      <c r="L26" s="11">
        <f>K26-76.096</f>
        <v>-3.7978226627878939</v>
      </c>
      <c r="M26" s="11">
        <v>82</v>
      </c>
      <c r="N26" s="11">
        <f t="shared" si="14"/>
        <v>-9.7018226627878903</v>
      </c>
      <c r="O26" s="11">
        <f>IFERROR(7786925/21623,0)</f>
        <v>360.12232345187994</v>
      </c>
      <c r="P26" s="11">
        <v>0</v>
      </c>
      <c r="Q26" s="11">
        <f t="shared" si="15"/>
        <v>360.12232345187994</v>
      </c>
      <c r="R26" s="7">
        <v>15173</v>
      </c>
      <c r="S26" s="11">
        <f t="shared" si="16"/>
        <v>118.33659598031493</v>
      </c>
      <c r="T26" s="13">
        <f t="shared" si="17"/>
        <v>6.1095366769920254</v>
      </c>
      <c r="U26" s="7">
        <v>26641</v>
      </c>
      <c r="V26" s="11">
        <f t="shared" si="18"/>
        <v>207.77731849413891</v>
      </c>
      <c r="W26" s="11">
        <f t="shared" si="19"/>
        <v>1.7558162525538785</v>
      </c>
      <c r="X26" s="11">
        <v>269.24142857139998</v>
      </c>
      <c r="Y26" s="11">
        <f t="shared" si="20"/>
        <v>163.67853290183388</v>
      </c>
      <c r="Z26" s="11">
        <f t="shared" si="21"/>
        <v>44.069042024960645</v>
      </c>
      <c r="AA26" s="7">
        <v>2045</v>
      </c>
      <c r="AB26" s="15">
        <f>IFERROR(AA26/1970,0)</f>
        <v>1.0380710659898478</v>
      </c>
      <c r="AC26" s="11">
        <v>65.42</v>
      </c>
      <c r="AD26" s="15">
        <f>IFERROR(AC26/65,0)</f>
        <v>1.0064615384615385</v>
      </c>
      <c r="AE26" s="11">
        <v>18</v>
      </c>
      <c r="AF26" s="11">
        <v>26</v>
      </c>
      <c r="AG26" s="7">
        <f t="shared" si="22"/>
        <v>-12439.580000000004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IFERROR(50/F26,0)</f>
        <v>2.7297046459573075E-3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68</v>
      </c>
      <c r="B27" s="5">
        <v>23</v>
      </c>
      <c r="C27" s="7"/>
      <c r="D27" s="7">
        <v>7</v>
      </c>
      <c r="E27" s="7">
        <v>21339</v>
      </c>
      <c r="F27" s="7">
        <v>21175</v>
      </c>
      <c r="G27" s="7">
        <v>33</v>
      </c>
      <c r="H27" s="9">
        <f t="shared" si="12"/>
        <v>1.5584415584415584E-3</v>
      </c>
      <c r="I27" s="9">
        <f>IFERROR((21339-F27)/21339,0)</f>
        <v>7.6854585500726368E-3</v>
      </c>
      <c r="J27" s="7">
        <v>127980</v>
      </c>
      <c r="K27" s="11">
        <f t="shared" si="13"/>
        <v>86.341710237814127</v>
      </c>
      <c r="L27" s="11">
        <f>K27-80.145</f>
        <v>6.1967102378141306</v>
      </c>
      <c r="M27" s="11">
        <v>93</v>
      </c>
      <c r="N27" s="11">
        <f t="shared" si="14"/>
        <v>-6.6582897621858734</v>
      </c>
      <c r="O27" s="11">
        <f>IFERROR(497550/21339,0)</f>
        <v>23.316462814564883</v>
      </c>
      <c r="P27" s="11">
        <v>25</v>
      </c>
      <c r="Q27" s="11">
        <f t="shared" si="15"/>
        <v>-1.6835371854351173</v>
      </c>
      <c r="R27" s="7">
        <v>17210</v>
      </c>
      <c r="S27" s="11">
        <f t="shared" si="16"/>
        <v>116.10726935402259</v>
      </c>
      <c r="T27" s="13">
        <f t="shared" si="17"/>
        <v>7.4363742010459033</v>
      </c>
      <c r="U27" s="7">
        <v>34050</v>
      </c>
      <c r="V27" s="11">
        <f t="shared" si="18"/>
        <v>229.71833361443751</v>
      </c>
      <c r="W27" s="11">
        <f t="shared" si="19"/>
        <v>1.9785008715862873</v>
      </c>
      <c r="X27" s="11">
        <v>291.39</v>
      </c>
      <c r="Y27" s="11">
        <f t="shared" si="20"/>
        <v>134.47413658384122</v>
      </c>
      <c r="Z27" s="11">
        <f t="shared" si="21"/>
        <v>39.184418659165487</v>
      </c>
      <c r="AA27" s="7">
        <v>1794</v>
      </c>
      <c r="AB27" s="15">
        <f>IFERROR(AA27/1800,0)</f>
        <v>0.9966666666666667</v>
      </c>
      <c r="AC27" s="11">
        <v>55.51</v>
      </c>
      <c r="AD27" s="15">
        <f>IFERROR(AC27/55.5,0)</f>
        <v>1.0001801801801802</v>
      </c>
      <c r="AE27" s="11">
        <v>22</v>
      </c>
      <c r="AF27" s="11">
        <v>26</v>
      </c>
      <c r="AG27" s="7">
        <f t="shared" si="22"/>
        <v>-9869.2500000000109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81</v>
      </c>
      <c r="C28" s="7">
        <v>9</v>
      </c>
      <c r="D28" s="7">
        <v>7</v>
      </c>
      <c r="E28" s="7">
        <v>47224</v>
      </c>
      <c r="F28" s="7">
        <v>38072</v>
      </c>
      <c r="G28" s="7">
        <v>98</v>
      </c>
      <c r="H28" s="9">
        <f t="shared" si="12"/>
        <v>2.574070182811515E-3</v>
      </c>
      <c r="I28" s="9">
        <f>IFERROR((47224-F28)/47224,0)</f>
        <v>0.19379976283245806</v>
      </c>
      <c r="J28" s="7">
        <v>185600</v>
      </c>
      <c r="K28" s="11">
        <f t="shared" si="13"/>
        <v>69.642481913967515</v>
      </c>
      <c r="L28" s="11">
        <f>K28-68.9547</f>
        <v>0.68778191396751254</v>
      </c>
      <c r="M28" s="11">
        <v>79</v>
      </c>
      <c r="N28" s="11">
        <f t="shared" si="14"/>
        <v>-9.3575180860324849</v>
      </c>
      <c r="O28" s="11">
        <f>IFERROR(14361470/47224,0)</f>
        <v>304.11379806877858</v>
      </c>
      <c r="P28" s="11">
        <v>0</v>
      </c>
      <c r="Q28" s="11">
        <f t="shared" si="15"/>
        <v>304.11379806877858</v>
      </c>
      <c r="R28" s="7">
        <v>30260</v>
      </c>
      <c r="S28" s="11">
        <f t="shared" si="16"/>
        <v>113.54426199981989</v>
      </c>
      <c r="T28" s="13">
        <f t="shared" si="17"/>
        <v>6.1335095836087241</v>
      </c>
      <c r="U28" s="7">
        <v>54100</v>
      </c>
      <c r="V28" s="11">
        <f t="shared" si="18"/>
        <v>202.99882928586439</v>
      </c>
      <c r="W28" s="11">
        <f t="shared" si="19"/>
        <v>1.7878387309980173</v>
      </c>
      <c r="X28" s="11">
        <v>285.94142857140002</v>
      </c>
      <c r="Y28" s="11">
        <f t="shared" si="20"/>
        <v>163.03879310344826</v>
      </c>
      <c r="Z28" s="11">
        <f t="shared" si="21"/>
        <v>46.619545412556917</v>
      </c>
      <c r="AA28" s="7">
        <v>1579</v>
      </c>
      <c r="AB28" s="15">
        <f>IFERROR(AA28/1580,0)</f>
        <v>0.99936708860759493</v>
      </c>
      <c r="AC28" s="11">
        <v>0</v>
      </c>
      <c r="AD28" s="15">
        <f>IFERROR(AC28/63.5,0)</f>
        <v>0</v>
      </c>
      <c r="AE28" s="11">
        <v>16</v>
      </c>
      <c r="AF28" s="11">
        <v>32</v>
      </c>
      <c r="AG28" s="7">
        <f t="shared" si="22"/>
        <v>-24938.160000000011</v>
      </c>
      <c r="AH28" s="7">
        <v>40</v>
      </c>
      <c r="AI28" s="7">
        <v>18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111</v>
      </c>
      <c r="C29" s="7">
        <v>13</v>
      </c>
      <c r="D29" s="7">
        <v>7</v>
      </c>
      <c r="E29" s="7">
        <v>33376</v>
      </c>
      <c r="F29" s="7">
        <v>29711</v>
      </c>
      <c r="G29" s="7">
        <v>102</v>
      </c>
      <c r="H29" s="9">
        <f t="shared" si="12"/>
        <v>3.433071926222611E-3</v>
      </c>
      <c r="I29" s="9">
        <f>IFERROR((33376-F29)/33376,0)</f>
        <v>0.10980944391179291</v>
      </c>
      <c r="J29" s="7">
        <v>146170</v>
      </c>
      <c r="K29" s="11">
        <f t="shared" si="13"/>
        <v>70.281810007837407</v>
      </c>
      <c r="L29" s="11">
        <f>K29-72.6097</f>
        <v>-2.3278899921625964</v>
      </c>
      <c r="M29" s="11">
        <v>81</v>
      </c>
      <c r="N29" s="11">
        <f t="shared" si="14"/>
        <v>-10.718189992162593</v>
      </c>
      <c r="O29" s="11">
        <f>IFERROR(14341533/33376,0)</f>
        <v>429.69597914669225</v>
      </c>
      <c r="P29" s="11">
        <v>0</v>
      </c>
      <c r="Q29" s="11">
        <f t="shared" si="15"/>
        <v>429.69597914669225</v>
      </c>
      <c r="R29" s="7">
        <v>22840</v>
      </c>
      <c r="S29" s="11">
        <f t="shared" si="16"/>
        <v>109.81983584723311</v>
      </c>
      <c r="T29" s="13">
        <f t="shared" si="17"/>
        <v>6.3997373029772326</v>
      </c>
      <c r="U29" s="7">
        <v>37433</v>
      </c>
      <c r="V29" s="11">
        <f t="shared" si="18"/>
        <v>179.98624847939914</v>
      </c>
      <c r="W29" s="11">
        <f t="shared" si="19"/>
        <v>1.6389229422066547</v>
      </c>
      <c r="X29" s="11">
        <v>291.02999999999997</v>
      </c>
      <c r="Y29" s="11">
        <f t="shared" si="20"/>
        <v>156.25641376479439</v>
      </c>
      <c r="Z29" s="11">
        <f t="shared" si="21"/>
        <v>45.475304097968113</v>
      </c>
      <c r="AA29" s="7">
        <v>1665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17</v>
      </c>
      <c r="AF29" s="11">
        <v>31</v>
      </c>
      <c r="AG29" s="7">
        <f t="shared" si="22"/>
        <v>-22291.369999999995</v>
      </c>
      <c r="AH29" s="7">
        <v>47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IFERROR(300/F29,0)</f>
        <v>1.0097270371242974E-2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111</v>
      </c>
      <c r="C30" s="7">
        <v>13</v>
      </c>
      <c r="D30" s="7">
        <v>7</v>
      </c>
      <c r="E30" s="7">
        <v>12390</v>
      </c>
      <c r="F30" s="7">
        <v>10136</v>
      </c>
      <c r="G30" s="7">
        <v>25</v>
      </c>
      <c r="H30" s="9">
        <f t="shared" si="12"/>
        <v>2.4664561957379637E-3</v>
      </c>
      <c r="I30" s="9">
        <f>IFERROR((12390-F30)/12390,0)</f>
        <v>0.18192090395480226</v>
      </c>
      <c r="J30" s="7">
        <v>56860</v>
      </c>
      <c r="K30" s="11">
        <f t="shared" si="13"/>
        <v>80.138685308377504</v>
      </c>
      <c r="L30" s="11">
        <f>K30-80.532</f>
        <v>-0.39331469162249277</v>
      </c>
      <c r="M30" s="11">
        <v>81</v>
      </c>
      <c r="N30" s="11">
        <f t="shared" si="14"/>
        <v>-0.8613146916224963</v>
      </c>
      <c r="O30" s="11">
        <f>IFERROR(5839948/12390,0)</f>
        <v>471.34366424535915</v>
      </c>
      <c r="P30" s="11">
        <v>0</v>
      </c>
      <c r="Q30" s="11">
        <f t="shared" si="15"/>
        <v>471.34366424535915</v>
      </c>
      <c r="R30" s="7">
        <v>10020</v>
      </c>
      <c r="S30" s="11">
        <f t="shared" si="16"/>
        <v>141.2222347502537</v>
      </c>
      <c r="T30" s="13">
        <f t="shared" si="17"/>
        <v>5.674650698602794</v>
      </c>
      <c r="U30" s="7">
        <v>18566</v>
      </c>
      <c r="V30" s="11">
        <f t="shared" si="18"/>
        <v>261.66986131469162</v>
      </c>
      <c r="W30" s="11">
        <f t="shared" si="19"/>
        <v>1.8528942115768461</v>
      </c>
      <c r="X30" s="11">
        <v>271.70857142860001</v>
      </c>
      <c r="Y30" s="11">
        <f t="shared" si="20"/>
        <v>176.22230038691521</v>
      </c>
      <c r="Z30" s="11">
        <f t="shared" si="21"/>
        <v>47.881109491990358</v>
      </c>
      <c r="AA30" s="7">
        <v>1978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17</v>
      </c>
      <c r="AF30" s="11">
        <v>31</v>
      </c>
      <c r="AG30" s="7">
        <f t="shared" si="22"/>
        <v>-611.11999999999352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IFERROR(350/F30,0)</f>
        <v>3.4530386740331494E-2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591557</v>
      </c>
      <c r="F31" s="17">
        <f>SUM(F14:F30)</f>
        <v>529194</v>
      </c>
      <c r="G31" s="17">
        <f>SUM(G14:G30)</f>
        <v>1289</v>
      </c>
      <c r="H31" s="18">
        <f t="shared" si="12"/>
        <v>2.435779695159053E-3</v>
      </c>
      <c r="I31" s="18"/>
      <c r="J31" s="17">
        <f>SUM(J14:J30)</f>
        <v>3085184</v>
      </c>
      <c r="K31" s="19">
        <f t="shared" si="13"/>
        <v>83.28525482688228</v>
      </c>
      <c r="L31" s="19"/>
      <c r="M31" s="19">
        <f>IFERROR(SUMPRODUCT($F14:$F30,M14:M30)/$F31, 0)</f>
        <v>86.548454725488199</v>
      </c>
      <c r="N31" s="19">
        <f t="shared" si="14"/>
        <v>-3.2631998986059187</v>
      </c>
      <c r="O31" s="19">
        <f>IFERROR(SUMPRODUCT($E14:$E30,O14:O30)/$E31, 0)</f>
        <v>230.18389436689955</v>
      </c>
      <c r="P31" s="19">
        <f>IFERROR(SUMPRODUCT($E14:$E30,P14:P30)/$E31, 0)</f>
        <v>85.494726628203196</v>
      </c>
      <c r="Q31" s="19">
        <f>IFERROR(SUMPRODUCT($E14:$E30,Q14:Q30)/$E31, 0)</f>
        <v>144.68916773869637</v>
      </c>
      <c r="R31" s="17">
        <f>SUM(R14:R30)</f>
        <v>434648</v>
      </c>
      <c r="S31" s="19">
        <f>IFERROR(R31/D31/$F31*1000,0)</f>
        <v>117.33423173462177</v>
      </c>
      <c r="T31" s="20">
        <f t="shared" si="17"/>
        <v>7.0981207781929285</v>
      </c>
      <c r="U31" s="17">
        <f>SUM(U14:U30)</f>
        <v>708341</v>
      </c>
      <c r="V31" s="19">
        <f>IFERROR(U31/D31/$F31*1000,0)</f>
        <v>191.21828937699865</v>
      </c>
      <c r="W31" s="19">
        <f t="shared" si="19"/>
        <v>1.6296888516684764</v>
      </c>
      <c r="X31" s="19">
        <f>IFERROR(SUMPRODUCT(R14:R30,X14:X30)/R31,0)</f>
        <v>292.47485670178008</v>
      </c>
      <c r="Y31" s="19">
        <f>IFERROR(($F31*S31)/($F31*K31)*100,0)</f>
        <v>140.88235904244286</v>
      </c>
      <c r="Z31" s="19">
        <f t="shared" si="21"/>
        <v>41.204547772747212</v>
      </c>
      <c r="AA31" s="17"/>
      <c r="AB31" s="21">
        <f>IFERROR(SUMPRODUCT($F14:$F30,AB14:AB30)/$F31,0)</f>
        <v>0.7362658486824325</v>
      </c>
      <c r="AC31" s="19"/>
      <c r="AD31" s="21">
        <f>AVERAGE(AD14:AD30)</f>
        <v>0.46923202236844808</v>
      </c>
      <c r="AE31" s="19"/>
      <c r="AF31" s="19"/>
      <c r="AG31" s="17">
        <f>SUM(AG14:AG30)</f>
        <v>-120880.60649999999</v>
      </c>
      <c r="AH31" s="17">
        <f>SUM(AH14:AH30)</f>
        <v>285</v>
      </c>
      <c r="AI31" s="17">
        <f>IFERROR(SUMPRODUCT(AH14:AH30,AI14:AI30)/AH31, 0)</f>
        <v>17.263157894736139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637762</v>
      </c>
      <c r="F33" s="23">
        <f>F12+F31</f>
        <v>568827</v>
      </c>
      <c r="G33" s="23">
        <f>G12+G31</f>
        <v>1606</v>
      </c>
      <c r="H33" s="24">
        <f>IFERROR(G33/F33,0)</f>
        <v>2.8233540250374896E-3</v>
      </c>
      <c r="I33" s="23"/>
      <c r="J33" s="23">
        <f>J12+J31</f>
        <v>3145844</v>
      </c>
      <c r="K33" s="25">
        <f>IFERROR(J33/D33/F33*100,0)</f>
        <v>79.005793626935031</v>
      </c>
      <c r="L33" s="23"/>
      <c r="M33" s="25">
        <f>IFERROR($F$12/$F33*M$12,0)+IFERROR($F$31/$F33*M$31,0)</f>
        <v>82.005568388982951</v>
      </c>
      <c r="N33" s="25">
        <f>K33-M33</f>
        <v>-2.9997747620479203</v>
      </c>
      <c r="O33" s="23">
        <f>IFERROR($E$12/$E33*O$12,0)+IFERROR($E$31/$E33*O$31,0)</f>
        <v>230.16164337166532</v>
      </c>
      <c r="P33" s="23">
        <f>IFERROR($E$12/$E33*P$12,0)+IFERROR($E$31/$E33*P$31,0)</f>
        <v>80.656983326068342</v>
      </c>
      <c r="Q33" s="23">
        <f>IFERROR($E$12/$E33*Q$12,0)+IFERROR($E$31/$E33*Q$31,0)</f>
        <v>149.50466004559695</v>
      </c>
      <c r="R33" s="23">
        <f>R12+R31</f>
        <v>456403</v>
      </c>
      <c r="S33" s="25">
        <f>IFERROR(R33/D33/$F33*1000,0)</f>
        <v>114.62259803319563</v>
      </c>
      <c r="T33" s="26">
        <f>IFERROR(J33/R33,0)</f>
        <v>6.8926891365744751</v>
      </c>
      <c r="U33" s="23">
        <f>U12+U31</f>
        <v>723461</v>
      </c>
      <c r="V33" s="25">
        <f>IFERROR(U33/D33/$F33*1000,0)</f>
        <v>181.69245030311754</v>
      </c>
      <c r="W33" s="25">
        <f>IFERROR(V33/S33,0)</f>
        <v>1.5851363816626973</v>
      </c>
      <c r="X33" s="25">
        <f>IFERROR($F$12/$F33*X$12,0)+IFERROR($F$31/$F33*X$31,0)</f>
        <v>296.81526773170083</v>
      </c>
      <c r="Y33" s="25">
        <f>IFERROR(($F33*S33)/($F33*K33)*100,0)</f>
        <v>145.08125641322326</v>
      </c>
      <c r="Z33" s="25">
        <f>IFERROR(Y33*X33/1000,0)</f>
        <v>43.062331965142405</v>
      </c>
      <c r="AA33" s="23"/>
      <c r="AB33" s="27"/>
      <c r="AC33" s="23"/>
      <c r="AD33" s="27"/>
      <c r="AE33" s="23"/>
      <c r="AF33" s="23"/>
      <c r="AG33" s="23">
        <f>AG12+AG31</f>
        <v>-119444.7015</v>
      </c>
      <c r="AH33" s="23">
        <f>AH12+AH31</f>
        <v>285</v>
      </c>
      <c r="AI33" s="23">
        <f>IFERROR(AH$12/AH33*AI$12,0)+IFERROR(AH$31/AH33*AI$31,0)</f>
        <v>17.263157894736139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61</v>
      </c>
      <c r="T36" s="32" t="s">
        <v>70</v>
      </c>
      <c r="U36" s="32" t="s">
        <v>71</v>
      </c>
      <c r="V36" s="32" t="s">
        <v>72</v>
      </c>
      <c r="W36" s="32" t="s">
        <v>62</v>
      </c>
      <c r="X36" s="32" t="s">
        <v>66</v>
      </c>
      <c r="Y36" s="32" t="s">
        <v>67</v>
      </c>
      <c r="Z36" s="32" t="s">
        <v>81</v>
      </c>
      <c r="AA36" s="32" t="s">
        <v>63</v>
      </c>
      <c r="AB36" s="32" t="s">
        <v>68</v>
      </c>
      <c r="AC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>
        <v>2.5000000000000001E-3</v>
      </c>
      <c r="T37" s="8">
        <v>5.3E-3</v>
      </c>
      <c r="U37" s="8">
        <v>6.3E-3</v>
      </c>
      <c r="V37" s="8">
        <v>2.7000000000000001E-3</v>
      </c>
      <c r="W37" s="8">
        <v>1.5E-3</v>
      </c>
      <c r="X37" s="8">
        <v>1.4E-3</v>
      </c>
      <c r="Y37" s="8">
        <v>2.8E-3</v>
      </c>
      <c r="Z37" s="8">
        <v>1.6999999999999999E-3</v>
      </c>
      <c r="AA37" s="8"/>
      <c r="AB37" s="8"/>
      <c r="AC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>
        <v>2.5000000000000001E-3</v>
      </c>
      <c r="T38" s="9">
        <v>5.7999999999999996E-3</v>
      </c>
      <c r="U38" s="9">
        <v>3.5999999999999999E-3</v>
      </c>
      <c r="V38" s="9">
        <v>2.3E-3</v>
      </c>
      <c r="W38" s="9">
        <v>1.5E-3</v>
      </c>
      <c r="X38" s="9">
        <v>1E-3</v>
      </c>
      <c r="Y38" s="9">
        <v>3.0000000000000001E-3</v>
      </c>
      <c r="Z38" s="9">
        <v>1.8E-3</v>
      </c>
      <c r="AA38" s="9"/>
      <c r="AB38" s="9"/>
      <c r="AC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>
        <v>2.5000000000000001E-3</v>
      </c>
      <c r="T39" s="9">
        <v>5.4999999999999997E-3</v>
      </c>
      <c r="U39" s="9">
        <v>3.5000000000000001E-3</v>
      </c>
      <c r="V39" s="9">
        <v>2.5000000000000001E-3</v>
      </c>
      <c r="W39" s="9">
        <v>1.6999999999999999E-3</v>
      </c>
      <c r="X39" s="9">
        <v>6.9999999999999999E-4</v>
      </c>
      <c r="Y39" s="9">
        <v>2.8E-3</v>
      </c>
      <c r="Z39" s="9">
        <v>1.4E-3</v>
      </c>
      <c r="AA39" s="9"/>
      <c r="AB39" s="9"/>
      <c r="AC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>
        <v>2.5999999999999999E-3</v>
      </c>
      <c r="T40" s="9">
        <v>3.2000000000000002E-3</v>
      </c>
      <c r="U40" s="9">
        <v>3.7000000000000002E-3</v>
      </c>
      <c r="V40" s="9">
        <v>2.5000000000000001E-3</v>
      </c>
      <c r="W40" s="9">
        <v>1.6000000000000001E-3</v>
      </c>
      <c r="X40" s="9">
        <v>8.9999999999999998E-4</v>
      </c>
      <c r="Y40" s="9">
        <v>3.5000000000000001E-3</v>
      </c>
      <c r="Z40" s="9">
        <v>1.6000000000000001E-3</v>
      </c>
      <c r="AA40" s="9"/>
      <c r="AB40" s="9"/>
      <c r="AC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>
        <v>2.3E-3</v>
      </c>
      <c r="T41" s="9">
        <v>2.2000000000000001E-3</v>
      </c>
      <c r="U41" s="9">
        <v>4.4000000000000003E-3</v>
      </c>
      <c r="V41" s="9">
        <v>2.3E-3</v>
      </c>
      <c r="W41" s="9">
        <v>1.6000000000000001E-3</v>
      </c>
      <c r="X41" s="9">
        <v>8.9999999999999998E-4</v>
      </c>
      <c r="Y41" s="9">
        <v>3.0999999999999999E-3</v>
      </c>
      <c r="Z41" s="9">
        <v>1.5E-3</v>
      </c>
      <c r="AA41" s="9"/>
      <c r="AB41" s="9"/>
      <c r="AC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>
        <v>1.6999999999999999E-3</v>
      </c>
      <c r="T42" s="9">
        <v>3.0000000000000001E-3</v>
      </c>
      <c r="U42" s="9">
        <v>3.5999999999999999E-3</v>
      </c>
      <c r="V42" s="9">
        <v>1.8E-3</v>
      </c>
      <c r="W42" s="9">
        <v>8.9999999999999998E-4</v>
      </c>
      <c r="X42" s="9">
        <v>5.9999999999999995E-4</v>
      </c>
      <c r="Y42" s="9">
        <v>1.6999999999999999E-3</v>
      </c>
      <c r="Z42" s="9">
        <v>1E-3</v>
      </c>
      <c r="AA42" s="9">
        <v>0</v>
      </c>
      <c r="AB42" s="9">
        <v>0</v>
      </c>
      <c r="AC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>
        <v>1.9E-3</v>
      </c>
      <c r="T43" s="9">
        <v>4.3E-3</v>
      </c>
      <c r="U43" s="9">
        <v>4.1999999999999997E-3</v>
      </c>
      <c r="V43" s="9">
        <v>4.4000000000000003E-3</v>
      </c>
      <c r="W43" s="9">
        <v>1.1000000000000001E-3</v>
      </c>
      <c r="X43" s="9">
        <v>5.0000000000000001E-4</v>
      </c>
      <c r="Y43" s="9">
        <v>2.0999999999999999E-3</v>
      </c>
      <c r="Z43" s="9">
        <v>1.1999999999999999E-3</v>
      </c>
      <c r="AA43" s="9">
        <v>8.9999999999999998E-4</v>
      </c>
      <c r="AB43" s="9">
        <v>8.0000000000000004E-4</v>
      </c>
      <c r="AC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>
        <v>1.9E-3</v>
      </c>
      <c r="T44" s="9">
        <v>3.0999999999999999E-3</v>
      </c>
      <c r="U44" s="9">
        <v>3.2000000000000002E-3</v>
      </c>
      <c r="V44" s="9">
        <v>2.3E-3</v>
      </c>
      <c r="W44" s="9">
        <v>1.1000000000000001E-3</v>
      </c>
      <c r="X44" s="9">
        <v>5.0000000000000001E-4</v>
      </c>
      <c r="Y44" s="9">
        <v>2.8E-3</v>
      </c>
      <c r="Z44" s="9">
        <v>1.2999999999999999E-3</v>
      </c>
      <c r="AA44" s="9">
        <v>1.1999999999999999E-3</v>
      </c>
      <c r="AB44" s="9">
        <v>6.9999999999999999E-4</v>
      </c>
      <c r="AC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>
        <v>2.5000000000000001E-3</v>
      </c>
      <c r="T45" s="9">
        <v>3.0999999999999999E-3</v>
      </c>
      <c r="U45" s="9">
        <v>4.5999999999999999E-3</v>
      </c>
      <c r="V45" s="9">
        <v>2.8E-3</v>
      </c>
      <c r="W45" s="9">
        <v>1.6999999999999999E-3</v>
      </c>
      <c r="X45" s="9">
        <v>1E-3</v>
      </c>
      <c r="Y45" s="9">
        <v>3.5999999999999999E-3</v>
      </c>
      <c r="Z45" s="9">
        <v>1.6000000000000001E-3</v>
      </c>
      <c r="AA45" s="9">
        <v>2.3E-3</v>
      </c>
      <c r="AB45" s="9">
        <v>1.1999999999999999E-3</v>
      </c>
      <c r="AC45" s="9">
        <v>1.1999999999999999E-3</v>
      </c>
    </row>
    <row r="46" spans="1:46" ht="15" thickBot="1" x14ac:dyDescent="0.35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>
        <v>2.5000000000000001E-3</v>
      </c>
      <c r="T46" s="9">
        <v>2.5999999999999999E-3</v>
      </c>
      <c r="U46" s="9">
        <v>3.3999999999999998E-3</v>
      </c>
      <c r="V46" s="9">
        <v>2.5000000000000001E-3</v>
      </c>
      <c r="W46" s="9">
        <v>2E-3</v>
      </c>
      <c r="X46" s="9">
        <v>1E-3</v>
      </c>
      <c r="Y46" s="9">
        <v>3.5000000000000001E-3</v>
      </c>
      <c r="Z46" s="9">
        <v>1.6999999999999999E-3</v>
      </c>
      <c r="AA46" s="9">
        <v>1.6999999999999999E-3</v>
      </c>
      <c r="AB46" s="9">
        <v>1.6000000000000001E-3</v>
      </c>
      <c r="AC46" s="9">
        <v>1.2999999999999999E-3</v>
      </c>
    </row>
    <row r="47" spans="1:46" ht="15" thickBot="1" x14ac:dyDescent="0.35">
      <c r="B47" s="22" t="s">
        <v>82</v>
      </c>
      <c r="C47" s="22"/>
      <c r="D47" s="24">
        <f t="shared" ref="D47:AC47" si="23">AVERAGE(D37:D46)</f>
        <v>2.5800000000000003E-3</v>
      </c>
      <c r="E47" s="24">
        <f t="shared" si="23"/>
        <v>5.3900000000000007E-3</v>
      </c>
      <c r="F47" s="24">
        <f t="shared" si="23"/>
        <v>2.3399999999999996E-3</v>
      </c>
      <c r="G47" s="24">
        <f t="shared" si="23"/>
        <v>8.150000000000001E-3</v>
      </c>
      <c r="H47" s="24">
        <f t="shared" si="23"/>
        <v>5.1700000000000001E-3</v>
      </c>
      <c r="I47" s="24">
        <f t="shared" si="23"/>
        <v>5.2599999999999999E-3</v>
      </c>
      <c r="J47" s="24">
        <f t="shared" si="23"/>
        <v>3.2500000000000003E-3</v>
      </c>
      <c r="K47" s="24">
        <f t="shared" si="23"/>
        <v>3.6599999999999992E-3</v>
      </c>
      <c r="L47" s="24">
        <f t="shared" si="23"/>
        <v>2.5800000000000003E-3</v>
      </c>
      <c r="M47" s="24">
        <f t="shared" si="23"/>
        <v>3.1899999999999997E-3</v>
      </c>
      <c r="N47" s="24">
        <f t="shared" si="23"/>
        <v>2.7199999999999998E-3</v>
      </c>
      <c r="O47" s="24">
        <f t="shared" si="23"/>
        <v>6.5000000000000006E-3</v>
      </c>
      <c r="P47" s="24">
        <f t="shared" si="23"/>
        <v>2.6099999999999999E-3</v>
      </c>
      <c r="Q47" s="24">
        <f t="shared" si="23"/>
        <v>3.9300000000000003E-3</v>
      </c>
      <c r="R47" s="24">
        <f t="shared" si="23"/>
        <v>1.7099999999999997E-3</v>
      </c>
      <c r="S47" s="24">
        <f t="shared" si="23"/>
        <v>2.2899999999999995E-3</v>
      </c>
      <c r="T47" s="24">
        <f t="shared" si="23"/>
        <v>3.8099999999999996E-3</v>
      </c>
      <c r="U47" s="24">
        <f t="shared" si="23"/>
        <v>4.0499999999999998E-3</v>
      </c>
      <c r="V47" s="24">
        <f t="shared" si="23"/>
        <v>2.6099999999999999E-3</v>
      </c>
      <c r="W47" s="24">
        <f t="shared" si="23"/>
        <v>1.4700000000000002E-3</v>
      </c>
      <c r="X47" s="24">
        <f t="shared" si="23"/>
        <v>8.5000000000000006E-4</v>
      </c>
      <c r="Y47" s="24">
        <f t="shared" si="23"/>
        <v>2.8899999999999998E-3</v>
      </c>
      <c r="Z47" s="24">
        <f t="shared" si="23"/>
        <v>1.48E-3</v>
      </c>
      <c r="AA47" s="24">
        <f t="shared" si="23"/>
        <v>1.2199999999999999E-3</v>
      </c>
      <c r="AB47" s="24">
        <f t="shared" si="23"/>
        <v>8.5999999999999998E-4</v>
      </c>
      <c r="AC47" s="24">
        <f t="shared" si="23"/>
        <v>9.3999999999999986E-4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48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8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113</v>
      </c>
      <c r="C6" s="7">
        <v>3</v>
      </c>
      <c r="D6" s="7">
        <v>7</v>
      </c>
      <c r="E6" s="7">
        <v>1197</v>
      </c>
      <c r="F6" s="7">
        <v>1068</v>
      </c>
      <c r="G6" s="7">
        <v>7</v>
      </c>
      <c r="H6" s="9">
        <f t="shared" ref="H6:H12" si="0">IFERROR(G6/F6,0)</f>
        <v>6.5543071161048693E-3</v>
      </c>
      <c r="I6" s="9">
        <f>IFERROR((1197-F6)/1197,0)</f>
        <v>0.10776942355889724</v>
      </c>
      <c r="J6" s="7">
        <v>0</v>
      </c>
      <c r="K6" s="11">
        <f t="shared" ref="K6:K12" si="1">IFERROR(J6/D6/F6*100,0)</f>
        <v>0</v>
      </c>
      <c r="L6" s="11">
        <f>K6-0</f>
        <v>0</v>
      </c>
      <c r="M6" s="11">
        <v>0</v>
      </c>
      <c r="N6" s="11">
        <f t="shared" ref="N6:N12" si="2">K6-M6</f>
        <v>0</v>
      </c>
      <c r="O6" s="11">
        <f>IFERROR(100040/1197,0)</f>
        <v>83.575605680868833</v>
      </c>
      <c r="P6" s="11">
        <v>0</v>
      </c>
      <c r="Q6" s="11">
        <f t="shared" ref="Q6:Q11" si="3">IFERROR(O6-P6,0)</f>
        <v>83.575605680868833</v>
      </c>
      <c r="R6" s="7">
        <v>749</v>
      </c>
      <c r="S6" s="11">
        <f t="shared" ref="S6:S11" si="4">IFERROR(R6/D6/F6*1000,0)</f>
        <v>100.18726591760299</v>
      </c>
      <c r="T6" s="13">
        <f t="shared" ref="T6:T12" si="5">IFERROR(J6/R6,0)</f>
        <v>0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0</v>
      </c>
      <c r="Z6" s="11">
        <f t="shared" ref="Z6:Z12" si="9">IFERROR(Y6*X6/1000,0)</f>
        <v>0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6</v>
      </c>
      <c r="AF6" s="11">
        <v>34</v>
      </c>
      <c r="AG6" s="7">
        <f t="shared" ref="AG6:AG11" si="10">IF(M6=0,0,IFERROR(N6/100*7*F6,0))</f>
        <v>0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73</v>
      </c>
      <c r="C7" s="7">
        <v>3</v>
      </c>
      <c r="D7" s="7">
        <v>7</v>
      </c>
      <c r="E7" s="7">
        <v>14440</v>
      </c>
      <c r="F7" s="7">
        <v>11671</v>
      </c>
      <c r="G7" s="7">
        <v>58</v>
      </c>
      <c r="H7" s="9">
        <f t="shared" si="0"/>
        <v>4.9695827264159024E-3</v>
      </c>
      <c r="I7" s="9">
        <f>IFERROR((14440-F7)/14440,0)</f>
        <v>0.19175900277008309</v>
      </c>
      <c r="J7" s="7">
        <v>0</v>
      </c>
      <c r="K7" s="11">
        <f t="shared" si="1"/>
        <v>0</v>
      </c>
      <c r="L7" s="11">
        <f>K7-0</f>
        <v>0</v>
      </c>
      <c r="M7" s="11">
        <v>0</v>
      </c>
      <c r="N7" s="11">
        <f t="shared" si="2"/>
        <v>0</v>
      </c>
      <c r="O7" s="11">
        <f>IFERROR(4093120/14440,0)</f>
        <v>283.45706371191136</v>
      </c>
      <c r="P7" s="11">
        <v>0</v>
      </c>
      <c r="Q7" s="11">
        <f t="shared" si="3"/>
        <v>283.45706371191136</v>
      </c>
      <c r="R7" s="7">
        <v>8820</v>
      </c>
      <c r="S7" s="11">
        <f t="shared" si="4"/>
        <v>107.95990060834546</v>
      </c>
      <c r="T7" s="13">
        <f t="shared" si="5"/>
        <v>0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0</v>
      </c>
      <c r="Z7" s="11">
        <f t="shared" si="9"/>
        <v>0</v>
      </c>
      <c r="AA7" s="7">
        <v>0</v>
      </c>
      <c r="AB7" s="15">
        <f>IFERROR(AA7/1970,0)</f>
        <v>0</v>
      </c>
      <c r="AC7" s="11">
        <v>0</v>
      </c>
      <c r="AD7" s="15">
        <f>IFERROR(AC7/64.4,0)</f>
        <v>0</v>
      </c>
      <c r="AE7" s="11">
        <v>6</v>
      </c>
      <c r="AF7" s="11">
        <v>34</v>
      </c>
      <c r="AG7" s="7">
        <f t="shared" si="10"/>
        <v>0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73</v>
      </c>
      <c r="C8" s="7">
        <v>3</v>
      </c>
      <c r="D8" s="7">
        <v>7</v>
      </c>
      <c r="E8" s="7">
        <v>16063</v>
      </c>
      <c r="F8" s="7">
        <v>13544</v>
      </c>
      <c r="G8" s="7">
        <v>55</v>
      </c>
      <c r="H8" s="9">
        <f t="shared" si="0"/>
        <v>4.0608387477849969E-3</v>
      </c>
      <c r="I8" s="9">
        <f>IFERROR((16063-F8)/16063,0)</f>
        <v>0.1568200211666563</v>
      </c>
      <c r="J8" s="7">
        <v>0</v>
      </c>
      <c r="K8" s="11">
        <f t="shared" si="1"/>
        <v>0</v>
      </c>
      <c r="L8" s="11">
        <f>K8-0</f>
        <v>0</v>
      </c>
      <c r="M8" s="11">
        <v>0</v>
      </c>
      <c r="N8" s="11">
        <f t="shared" si="2"/>
        <v>0</v>
      </c>
      <c r="O8" s="11">
        <f>IFERROR(4243650/16063,0)</f>
        <v>264.18788520201707</v>
      </c>
      <c r="P8" s="11">
        <v>0</v>
      </c>
      <c r="Q8" s="11">
        <f t="shared" si="3"/>
        <v>264.18788520201707</v>
      </c>
      <c r="R8" s="7">
        <v>9800</v>
      </c>
      <c r="S8" s="11">
        <f t="shared" si="4"/>
        <v>103.36680448907265</v>
      </c>
      <c r="T8" s="13">
        <f t="shared" si="5"/>
        <v>0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0</v>
      </c>
      <c r="Z8" s="11">
        <f t="shared" si="9"/>
        <v>0</v>
      </c>
      <c r="AA8" s="7">
        <v>1491</v>
      </c>
      <c r="AB8" s="15">
        <f>IFERROR(AA8/1580,0)</f>
        <v>0.9436708860759494</v>
      </c>
      <c r="AC8" s="11">
        <v>0</v>
      </c>
      <c r="AD8" s="15">
        <f>IFERROR(AC8/63.4,0)</f>
        <v>0</v>
      </c>
      <c r="AE8" s="11">
        <v>6</v>
      </c>
      <c r="AF8" s="11">
        <v>34</v>
      </c>
      <c r="AG8" s="7">
        <f t="shared" si="10"/>
        <v>0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34</v>
      </c>
      <c r="C9" s="7"/>
      <c r="D9" s="7">
        <v>7</v>
      </c>
      <c r="E9" s="7">
        <v>4686</v>
      </c>
      <c r="F9" s="7">
        <v>4289</v>
      </c>
      <c r="G9" s="7">
        <v>8</v>
      </c>
      <c r="H9" s="9">
        <f t="shared" si="0"/>
        <v>1.8652366519002097E-3</v>
      </c>
      <c r="I9" s="9">
        <f>IFERROR((4686-F9)/4686,0)</f>
        <v>8.4720443875373447E-2</v>
      </c>
      <c r="J9" s="7">
        <v>30090</v>
      </c>
      <c r="K9" s="11">
        <f t="shared" si="1"/>
        <v>100.22316224228092</v>
      </c>
      <c r="L9" s="11">
        <f>K9-98.1416</f>
        <v>2.0815622422809241</v>
      </c>
      <c r="M9" s="11">
        <v>94.5</v>
      </c>
      <c r="N9" s="11">
        <f t="shared" si="2"/>
        <v>5.723162242280921</v>
      </c>
      <c r="O9" s="11">
        <f>IFERROR(402300/4686,0)</f>
        <v>85.851472471190775</v>
      </c>
      <c r="P9" s="11">
        <v>98</v>
      </c>
      <c r="Q9" s="11">
        <f t="shared" si="3"/>
        <v>-12.148527528809225</v>
      </c>
      <c r="R9" s="7">
        <v>5048</v>
      </c>
      <c r="S9" s="11">
        <f t="shared" si="4"/>
        <v>168.13776104986178</v>
      </c>
      <c r="T9" s="13">
        <f t="shared" si="5"/>
        <v>5.9607765451664028</v>
      </c>
      <c r="U9" s="7">
        <v>5040</v>
      </c>
      <c r="V9" s="11">
        <f t="shared" si="6"/>
        <v>167.87129867101888</v>
      </c>
      <c r="W9" s="11">
        <f t="shared" si="7"/>
        <v>0.99841521394611721</v>
      </c>
      <c r="X9" s="11">
        <v>362.76</v>
      </c>
      <c r="Y9" s="11">
        <f t="shared" si="8"/>
        <v>167.76337653705548</v>
      </c>
      <c r="Z9" s="11">
        <f t="shared" si="9"/>
        <v>60.857842472582242</v>
      </c>
      <c r="AA9" s="7">
        <v>1868</v>
      </c>
      <c r="AB9" s="15">
        <f>IFERROR(AA9/1910,0)</f>
        <v>0.97801047120418849</v>
      </c>
      <c r="AC9" s="11">
        <v>0</v>
      </c>
      <c r="AD9" s="15">
        <f>IFERROR(AC9/61.7,0)</f>
        <v>0</v>
      </c>
      <c r="AE9" s="11">
        <v>15</v>
      </c>
      <c r="AF9" s="11">
        <v>31</v>
      </c>
      <c r="AG9" s="7">
        <f t="shared" si="10"/>
        <v>1718.2650000000008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73</v>
      </c>
      <c r="C10" s="7">
        <v>5</v>
      </c>
      <c r="D10" s="7">
        <v>7</v>
      </c>
      <c r="E10" s="7">
        <v>5000</v>
      </c>
      <c r="F10" s="7">
        <v>4268</v>
      </c>
      <c r="G10" s="7">
        <v>9</v>
      </c>
      <c r="H10" s="9">
        <f t="shared" si="0"/>
        <v>2.1087160262417996E-3</v>
      </c>
      <c r="I10" s="9">
        <f>IFERROR((5000-F10)/5000,0)</f>
        <v>0.1464</v>
      </c>
      <c r="J10" s="7">
        <v>14010</v>
      </c>
      <c r="K10" s="11">
        <f t="shared" si="1"/>
        <v>46.893827821662867</v>
      </c>
      <c r="L10" s="11">
        <f>K10-0</f>
        <v>46.893827821662867</v>
      </c>
      <c r="M10" s="11">
        <v>27</v>
      </c>
      <c r="N10" s="11">
        <f t="shared" si="2"/>
        <v>19.893827821662867</v>
      </c>
      <c r="O10" s="11">
        <f>IFERROR(1427410/5000,0)</f>
        <v>285.48200000000003</v>
      </c>
      <c r="P10" s="11">
        <v>0</v>
      </c>
      <c r="Q10" s="11">
        <f t="shared" si="3"/>
        <v>285.48200000000003</v>
      </c>
      <c r="R10" s="7">
        <v>4630</v>
      </c>
      <c r="S10" s="11">
        <f t="shared" si="4"/>
        <v>154.97389208729413</v>
      </c>
      <c r="T10" s="13">
        <f t="shared" si="5"/>
        <v>3.0259179265658749</v>
      </c>
      <c r="U10" s="7">
        <v>5040</v>
      </c>
      <c r="V10" s="11">
        <f t="shared" si="6"/>
        <v>168.69728209934397</v>
      </c>
      <c r="W10" s="11">
        <f t="shared" si="7"/>
        <v>1.0885529157667388</v>
      </c>
      <c r="X10" s="11">
        <v>374.81</v>
      </c>
      <c r="Y10" s="11">
        <f t="shared" si="8"/>
        <v>330.47822983583154</v>
      </c>
      <c r="Z10" s="11">
        <f t="shared" si="9"/>
        <v>123.86654532476803</v>
      </c>
      <c r="AA10" s="7">
        <v>2226</v>
      </c>
      <c r="AB10" s="15">
        <f>IFERROR(AA10/1970,0)</f>
        <v>1.1299492385786802</v>
      </c>
      <c r="AC10" s="11">
        <v>0</v>
      </c>
      <c r="AD10" s="15">
        <f>IFERROR(AC10/64.4,0)</f>
        <v>0</v>
      </c>
      <c r="AE10" s="11">
        <v>15</v>
      </c>
      <c r="AF10" s="11">
        <v>32</v>
      </c>
      <c r="AG10" s="7">
        <f t="shared" si="10"/>
        <v>5943.4799999999987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34</v>
      </c>
      <c r="C11" s="7"/>
      <c r="D11" s="7">
        <v>7</v>
      </c>
      <c r="E11" s="7">
        <v>4819</v>
      </c>
      <c r="F11" s="7">
        <v>4650</v>
      </c>
      <c r="G11" s="7">
        <v>6</v>
      </c>
      <c r="H11" s="9">
        <f t="shared" si="0"/>
        <v>1.2903225806451613E-3</v>
      </c>
      <c r="I11" s="9">
        <f>IFERROR((4819-F11)/4819,0)</f>
        <v>3.506951649719859E-2</v>
      </c>
      <c r="J11" s="7">
        <v>31410</v>
      </c>
      <c r="K11" s="11">
        <f t="shared" si="1"/>
        <v>96.497695852534562</v>
      </c>
      <c r="L11" s="11">
        <f>K11-95.5449</f>
        <v>0.95279585253456389</v>
      </c>
      <c r="M11" s="11">
        <v>94.5</v>
      </c>
      <c r="N11" s="11">
        <f t="shared" si="2"/>
        <v>1.9976958525345623</v>
      </c>
      <c r="O11" s="11">
        <f>IFERROR(430446/4819,0)</f>
        <v>89.322681054160611</v>
      </c>
      <c r="P11" s="11">
        <v>98</v>
      </c>
      <c r="Q11" s="11">
        <f t="shared" si="3"/>
        <v>-8.6773189458393887</v>
      </c>
      <c r="R11" s="7">
        <v>4997</v>
      </c>
      <c r="S11" s="11">
        <f t="shared" si="4"/>
        <v>153.51766513056836</v>
      </c>
      <c r="T11" s="13">
        <f t="shared" si="5"/>
        <v>6.2857714628777268</v>
      </c>
      <c r="U11" s="7">
        <v>5040</v>
      </c>
      <c r="V11" s="11">
        <f t="shared" si="6"/>
        <v>154.83870967741936</v>
      </c>
      <c r="W11" s="11">
        <f t="shared" si="7"/>
        <v>1.0086051630978587</v>
      </c>
      <c r="X11" s="11">
        <v>362.76</v>
      </c>
      <c r="Y11" s="11">
        <f t="shared" si="8"/>
        <v>159.08946195479146</v>
      </c>
      <c r="Z11" s="11">
        <f t="shared" si="9"/>
        <v>57.711293218720151</v>
      </c>
      <c r="AA11" s="7">
        <v>1844</v>
      </c>
      <c r="AB11" s="15">
        <f>IFERROR(AA11/1910,0)</f>
        <v>0.96544502617801042</v>
      </c>
      <c r="AC11" s="11">
        <v>0</v>
      </c>
      <c r="AD11" s="15">
        <f>IFERROR(AC11/61.7,0)</f>
        <v>0</v>
      </c>
      <c r="AE11" s="11">
        <v>14</v>
      </c>
      <c r="AF11" s="11">
        <v>32</v>
      </c>
      <c r="AG11" s="7">
        <f t="shared" si="10"/>
        <v>650.25000000000011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39490</v>
      </c>
      <c r="G12" s="17">
        <f>SUM(G6:G11)</f>
        <v>143</v>
      </c>
      <c r="H12" s="18">
        <f t="shared" si="0"/>
        <v>3.6211699164345403E-3</v>
      </c>
      <c r="I12" s="18"/>
      <c r="J12" s="17">
        <f>SUM(J6:J11)</f>
        <v>75510</v>
      </c>
      <c r="K12" s="19">
        <f t="shared" si="1"/>
        <v>27.316137901096116</v>
      </c>
      <c r="L12" s="19"/>
      <c r="M12" s="19">
        <f>IFERROR(SUMPRODUCT($F6:$F11,M6:M11)/$F12, 0)</f>
        <v>24.309230184856926</v>
      </c>
      <c r="N12" s="19">
        <f t="shared" si="2"/>
        <v>3.0069077162391906</v>
      </c>
      <c r="O12" s="19">
        <f>IFERROR(SUMPRODUCT($E6:$E11,O6:O11)/$E12, 0)</f>
        <v>231.51100530245645</v>
      </c>
      <c r="P12" s="19">
        <f>IFERROR(SUMPRODUCT($E6:$E11,P6:P11)/$E12, 0)</f>
        <v>20.15993940049778</v>
      </c>
      <c r="Q12" s="19">
        <f>IFERROR(SUMPRODUCT($E6:$E11,Q6:Q11)/$E12, 0)</f>
        <v>211.35106590195866</v>
      </c>
      <c r="R12" s="17">
        <f>SUM(R6:R11)</f>
        <v>34044</v>
      </c>
      <c r="S12" s="19">
        <f>IFERROR(R12/D12/$F12*1000,0)</f>
        <v>123.15595268241508</v>
      </c>
      <c r="T12" s="20">
        <f t="shared" si="5"/>
        <v>2.2180119844906589</v>
      </c>
      <c r="U12" s="17">
        <f>SUM(U6:U11)</f>
        <v>15120</v>
      </c>
      <c r="V12" s="19">
        <f>IFERROR(U12/D12/$F12*1000,0)</f>
        <v>54.697391744745509</v>
      </c>
      <c r="W12" s="19">
        <f t="shared" si="7"/>
        <v>0.44413112442721187</v>
      </c>
      <c r="X12" s="19">
        <f>IFERROR(SUMPRODUCT(R6:R11,X6:X11)/R12,0)</f>
        <v>367.72531488661735</v>
      </c>
      <c r="Y12" s="19">
        <f>IFERROR(($F12*S12)/($F12*K12)*100,0)</f>
        <v>450.85419149781495</v>
      </c>
      <c r="Z12" s="19">
        <f t="shared" si="9"/>
        <v>165.7904995364853</v>
      </c>
      <c r="AA12" s="17"/>
      <c r="AB12" s="21">
        <f>IFERROR(SUMPRODUCT($F6:$F11,AB6:AB11)/$F12,0)</f>
        <v>0.6656801244362871</v>
      </c>
      <c r="AC12" s="19"/>
      <c r="AD12" s="21">
        <f>AVERAGE(AD6:AD11)</f>
        <v>0</v>
      </c>
      <c r="AE12" s="19"/>
      <c r="AF12" s="19"/>
      <c r="AG12" s="17">
        <f>SUM(AG6:AG11)</f>
        <v>8311.994999999999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73</v>
      </c>
      <c r="C14" s="6">
        <v>10</v>
      </c>
      <c r="D14" s="6">
        <v>7</v>
      </c>
      <c r="E14" s="6">
        <v>21388</v>
      </c>
      <c r="F14" s="6">
        <v>16918</v>
      </c>
      <c r="G14" s="6">
        <v>33</v>
      </c>
      <c r="H14" s="8">
        <f t="shared" ref="H14:H31" si="12">IFERROR(G14/F14,0)</f>
        <v>1.9505851755526658E-3</v>
      </c>
      <c r="I14" s="8">
        <f>IFERROR((21388-F14)/21388,0)</f>
        <v>0.20899569852253599</v>
      </c>
      <c r="J14" s="6">
        <v>95040</v>
      </c>
      <c r="K14" s="10">
        <f t="shared" ref="K14:K31" si="13">IFERROR(J14/D14/F14*100,0)</f>
        <v>80.252647222738247</v>
      </c>
      <c r="L14" s="10">
        <f>K14-78.5794</f>
        <v>1.6732472227382402</v>
      </c>
      <c r="M14" s="10">
        <v>85</v>
      </c>
      <c r="N14" s="10">
        <f t="shared" ref="N14:N31" si="14">K14-M14</f>
        <v>-4.747352777261753</v>
      </c>
      <c r="O14" s="10">
        <f>IFERROR(4529310/21388,0)</f>
        <v>211.76874883112026</v>
      </c>
      <c r="P14" s="10">
        <v>0</v>
      </c>
      <c r="Q14" s="10">
        <f t="shared" ref="Q14:Q30" si="15">IFERROR(O14-P14,0)</f>
        <v>211.76874883112026</v>
      </c>
      <c r="R14" s="6">
        <v>10220</v>
      </c>
      <c r="S14" s="10">
        <f t="shared" ref="S14:S30" si="16">IFERROR(R14/D14/F14*1000,0)</f>
        <v>86.298616857784609</v>
      </c>
      <c r="T14" s="12">
        <f t="shared" ref="T14:T31" si="17">IFERROR(J14/R14,0)</f>
        <v>9.2994129158512724</v>
      </c>
      <c r="U14" s="6">
        <v>21220</v>
      </c>
      <c r="V14" s="10">
        <f t="shared" ref="V14:V30" si="18">IFERROR(U14/D14/F14*1000,0)</f>
        <v>179.18362521743535</v>
      </c>
      <c r="W14" s="10">
        <f t="shared" ref="W14:W31" si="19">IFERROR(V14/S14,0)</f>
        <v>2.076320939334638</v>
      </c>
      <c r="X14" s="10">
        <v>262.04000000000002</v>
      </c>
      <c r="Y14" s="10">
        <f t="shared" ref="Y14:Y30" si="20">IFERROR((F14*S14)/(F14*K14)*100,0)</f>
        <v>107.53367003367002</v>
      </c>
      <c r="Z14" s="10">
        <f t="shared" ref="Z14:Z31" si="21">IFERROR(Y14*X14/1000,0)</f>
        <v>28.178122895622895</v>
      </c>
      <c r="AA14" s="6">
        <v>0</v>
      </c>
      <c r="AB14" s="14">
        <f>IFERROR(AA14/1580,0)</f>
        <v>0</v>
      </c>
      <c r="AC14" s="10">
        <v>0</v>
      </c>
      <c r="AD14" s="14">
        <f>IFERROR(AC14/63.4,0)</f>
        <v>0</v>
      </c>
      <c r="AE14" s="10">
        <v>22</v>
      </c>
      <c r="AF14" s="10">
        <v>25</v>
      </c>
      <c r="AG14" s="6">
        <f t="shared" ref="AG14:AG30" si="22">IF(M14=0,0,IFERROR(N14/100*7*F14,0))</f>
        <v>-5622.1000000000031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 t="shared" ref="AO14:AO24" si="23"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33</v>
      </c>
      <c r="C15" s="7"/>
      <c r="D15" s="7">
        <v>7</v>
      </c>
      <c r="E15" s="7">
        <v>10225</v>
      </c>
      <c r="F15" s="7">
        <v>9356</v>
      </c>
      <c r="G15" s="7">
        <v>33</v>
      </c>
      <c r="H15" s="9">
        <f t="shared" si="12"/>
        <v>3.527148353997435E-3</v>
      </c>
      <c r="I15" s="9">
        <f>IFERROR((10225-F15)/10225,0)</f>
        <v>8.498777506112469E-2</v>
      </c>
      <c r="J15" s="7">
        <v>56070</v>
      </c>
      <c r="K15" s="11">
        <f t="shared" si="13"/>
        <v>85.61351004702864</v>
      </c>
      <c r="L15" s="11">
        <f>K15-83.7606</f>
        <v>1.8529100470286437</v>
      </c>
      <c r="M15" s="11">
        <v>94.5</v>
      </c>
      <c r="N15" s="11">
        <f t="shared" si="14"/>
        <v>-8.8864899529713597</v>
      </c>
      <c r="O15" s="11">
        <f>IFERROR(792350/10225,0)</f>
        <v>77.491442542787283</v>
      </c>
      <c r="P15" s="11">
        <v>91</v>
      </c>
      <c r="Q15" s="11">
        <f t="shared" si="15"/>
        <v>-13.508557457212717</v>
      </c>
      <c r="R15" s="7">
        <v>8110</v>
      </c>
      <c r="S15" s="11">
        <f t="shared" si="16"/>
        <v>123.83191840224761</v>
      </c>
      <c r="T15" s="13">
        <f t="shared" si="17"/>
        <v>6.9136868064118371</v>
      </c>
      <c r="U15" s="7">
        <v>12170</v>
      </c>
      <c r="V15" s="11">
        <f t="shared" si="18"/>
        <v>185.82422280583887</v>
      </c>
      <c r="W15" s="11">
        <f t="shared" si="19"/>
        <v>1.5006165228113439</v>
      </c>
      <c r="X15" s="11">
        <v>302.12428571430002</v>
      </c>
      <c r="Y15" s="11">
        <f t="shared" si="20"/>
        <v>144.64062778669523</v>
      </c>
      <c r="Z15" s="11">
        <f t="shared" si="21"/>
        <v>43.699446355323232</v>
      </c>
      <c r="AA15" s="7">
        <v>0</v>
      </c>
      <c r="AB15" s="15">
        <f>IFERROR(AA15/1910,0)</f>
        <v>0</v>
      </c>
      <c r="AC15" s="11">
        <v>0</v>
      </c>
      <c r="AD15" s="15">
        <f>IFERROR(AC15/61.5,0)</f>
        <v>0</v>
      </c>
      <c r="AE15" s="11">
        <v>23</v>
      </c>
      <c r="AF15" s="11">
        <v>31</v>
      </c>
      <c r="AG15" s="7">
        <f t="shared" si="22"/>
        <v>-5819.9400000000032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 t="shared" si="23"/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62</v>
      </c>
      <c r="C16" s="7"/>
      <c r="D16" s="7">
        <v>7</v>
      </c>
      <c r="E16" s="7">
        <v>56050</v>
      </c>
      <c r="F16" s="7">
        <v>50988</v>
      </c>
      <c r="G16" s="7">
        <v>125</v>
      </c>
      <c r="H16" s="9">
        <f t="shared" si="12"/>
        <v>2.4515572291519574E-3</v>
      </c>
      <c r="I16" s="9">
        <f>IFERROR((56050-F16)/56050,0)</f>
        <v>9.031222123104371E-2</v>
      </c>
      <c r="J16" s="7">
        <v>338700</v>
      </c>
      <c r="K16" s="11">
        <f t="shared" si="13"/>
        <v>94.896278115859189</v>
      </c>
      <c r="L16" s="11">
        <f>K16-90.5786</f>
        <v>4.317678115859195</v>
      </c>
      <c r="M16" s="11">
        <v>90.75</v>
      </c>
      <c r="N16" s="11">
        <f t="shared" si="14"/>
        <v>4.1462781158591895</v>
      </c>
      <c r="O16" s="11">
        <f>IFERROR(14838601/56050,0)</f>
        <v>264.7386440677966</v>
      </c>
      <c r="P16" s="11">
        <v>269</v>
      </c>
      <c r="Q16" s="11">
        <f t="shared" si="15"/>
        <v>-4.2613559322034007</v>
      </c>
      <c r="R16" s="7">
        <v>41890</v>
      </c>
      <c r="S16" s="11">
        <f t="shared" si="16"/>
        <v>117.36655123334343</v>
      </c>
      <c r="T16" s="13">
        <f t="shared" si="17"/>
        <v>8.0854619240868946</v>
      </c>
      <c r="U16" s="7">
        <v>64700</v>
      </c>
      <c r="V16" s="11">
        <f t="shared" si="18"/>
        <v>181.27514597272187</v>
      </c>
      <c r="W16" s="11">
        <f t="shared" si="19"/>
        <v>1.5445213654810217</v>
      </c>
      <c r="X16" s="11">
        <v>299.96714285709999</v>
      </c>
      <c r="Y16" s="11">
        <f t="shared" si="20"/>
        <v>123.67877177443167</v>
      </c>
      <c r="Z16" s="11">
        <f t="shared" si="21"/>
        <v>37.099567801251609</v>
      </c>
      <c r="AA16" s="7">
        <v>1785</v>
      </c>
      <c r="AB16" s="15">
        <f>IFERROR(AA16/1725,0)</f>
        <v>1.0347826086956522</v>
      </c>
      <c r="AC16" s="11">
        <v>0</v>
      </c>
      <c r="AD16" s="15">
        <f>IFERROR(AC16/63.3,0)</f>
        <v>0</v>
      </c>
      <c r="AE16" s="11">
        <v>21</v>
      </c>
      <c r="AF16" s="11">
        <v>26</v>
      </c>
      <c r="AG16" s="7">
        <f t="shared" si="22"/>
        <v>14798.729999999983</v>
      </c>
      <c r="AH16" s="7">
        <v>60</v>
      </c>
      <c r="AI16" s="7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 t="shared" si="23"/>
        <v>0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136</v>
      </c>
      <c r="C17" s="7">
        <v>20</v>
      </c>
      <c r="D17" s="7">
        <v>7</v>
      </c>
      <c r="E17" s="7">
        <v>17433</v>
      </c>
      <c r="F17" s="7">
        <v>15898</v>
      </c>
      <c r="G17" s="7">
        <v>55</v>
      </c>
      <c r="H17" s="9">
        <f t="shared" si="12"/>
        <v>3.4595546609636433E-3</v>
      </c>
      <c r="I17" s="9">
        <f>IFERROR((17433-F17)/17433,0)</f>
        <v>8.8051396776228988E-2</v>
      </c>
      <c r="J17" s="7">
        <v>67490</v>
      </c>
      <c r="K17" s="11">
        <f t="shared" si="13"/>
        <v>60.64554391387955</v>
      </c>
      <c r="L17" s="11">
        <f>K17-61.0937</f>
        <v>-0.44815608612044855</v>
      </c>
      <c r="M17" s="11">
        <v>77</v>
      </c>
      <c r="N17" s="11">
        <f t="shared" si="14"/>
        <v>-16.35445608612045</v>
      </c>
      <c r="O17" s="11">
        <f>IFERROR(1435284/17433,0)</f>
        <v>82.331440371708823</v>
      </c>
      <c r="P17" s="11">
        <v>0</v>
      </c>
      <c r="Q17" s="11">
        <f t="shared" si="15"/>
        <v>82.331440371708823</v>
      </c>
      <c r="R17" s="7">
        <v>14270</v>
      </c>
      <c r="S17" s="11">
        <f t="shared" si="16"/>
        <v>128.22816886221088</v>
      </c>
      <c r="T17" s="13">
        <f t="shared" si="17"/>
        <v>4.7295024526979681</v>
      </c>
      <c r="U17" s="7">
        <v>26030</v>
      </c>
      <c r="V17" s="11">
        <f t="shared" si="18"/>
        <v>233.90183850619127</v>
      </c>
      <c r="W17" s="11">
        <f t="shared" si="19"/>
        <v>1.8241065171688859</v>
      </c>
      <c r="X17" s="11">
        <v>290.08</v>
      </c>
      <c r="Y17" s="11">
        <f t="shared" si="20"/>
        <v>211.43873166395025</v>
      </c>
      <c r="Z17" s="11">
        <f t="shared" si="21"/>
        <v>61.334147281078685</v>
      </c>
      <c r="AA17" s="7">
        <v>2540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16</v>
      </c>
      <c r="AF17" s="11">
        <v>31</v>
      </c>
      <c r="AG17" s="7">
        <f t="shared" si="22"/>
        <v>-18200.220000000005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 t="shared" si="23"/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55</v>
      </c>
      <c r="C18" s="7"/>
      <c r="D18" s="7">
        <v>7</v>
      </c>
      <c r="E18" s="7">
        <v>51536</v>
      </c>
      <c r="F18" s="7">
        <v>48669</v>
      </c>
      <c r="G18" s="7">
        <v>110</v>
      </c>
      <c r="H18" s="9">
        <f t="shared" si="12"/>
        <v>2.2601656084982225E-3</v>
      </c>
      <c r="I18" s="9">
        <f>IFERROR((51536-F18)/51536,0)</f>
        <v>5.5631015212666876E-2</v>
      </c>
      <c r="J18" s="7">
        <v>323040</v>
      </c>
      <c r="K18" s="11">
        <f t="shared" si="13"/>
        <v>94.821285476528033</v>
      </c>
      <c r="L18" s="11">
        <f>K18-94.2443</f>
        <v>0.57698547652803711</v>
      </c>
      <c r="M18" s="11">
        <v>92.7</v>
      </c>
      <c r="N18" s="11">
        <f t="shared" si="14"/>
        <v>2.1212854765280298</v>
      </c>
      <c r="O18" s="11">
        <f>IFERROR(11238712/51536,0)</f>
        <v>218.07497671530581</v>
      </c>
      <c r="P18" s="11">
        <v>226</v>
      </c>
      <c r="Q18" s="11">
        <f t="shared" si="15"/>
        <v>-7.9250232846941913</v>
      </c>
      <c r="R18" s="7">
        <v>40960</v>
      </c>
      <c r="S18" s="11">
        <f t="shared" si="16"/>
        <v>120.22906925206129</v>
      </c>
      <c r="T18" s="13">
        <f t="shared" si="17"/>
        <v>7.88671875</v>
      </c>
      <c r="U18" s="7">
        <v>70832</v>
      </c>
      <c r="V18" s="11">
        <f t="shared" si="18"/>
        <v>207.91175374174819</v>
      </c>
      <c r="W18" s="11">
        <f t="shared" si="19"/>
        <v>1.729296875</v>
      </c>
      <c r="X18" s="11">
        <v>289.29714285710003</v>
      </c>
      <c r="Y18" s="11">
        <f t="shared" si="20"/>
        <v>126.7954432887568</v>
      </c>
      <c r="Z18" s="11">
        <f t="shared" si="21"/>
        <v>36.681559470736801</v>
      </c>
      <c r="AA18" s="7">
        <v>1678</v>
      </c>
      <c r="AB18" s="15">
        <f>IFERROR(AA18/1725,0)</f>
        <v>0.97275362318840575</v>
      </c>
      <c r="AC18" s="11">
        <v>62.9</v>
      </c>
      <c r="AD18" s="15">
        <f>IFERROR(AC18/62.95,0)</f>
        <v>0.99920571882446374</v>
      </c>
      <c r="AE18" s="11">
        <v>22</v>
      </c>
      <c r="AF18" s="11">
        <v>27</v>
      </c>
      <c r="AG18" s="7">
        <f t="shared" si="22"/>
        <v>7226.8589999999876</v>
      </c>
      <c r="AH18" s="7">
        <v>16</v>
      </c>
      <c r="AI18" s="7">
        <v>18.75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 t="shared" si="23"/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103</v>
      </c>
      <c r="C19" s="7">
        <v>33</v>
      </c>
      <c r="D19" s="7">
        <v>7</v>
      </c>
      <c r="E19" s="7">
        <v>51311</v>
      </c>
      <c r="F19" s="7">
        <v>39513</v>
      </c>
      <c r="G19" s="7">
        <v>118</v>
      </c>
      <c r="H19" s="9">
        <f t="shared" si="12"/>
        <v>2.9863589198491636E-3</v>
      </c>
      <c r="I19" s="9">
        <f>IFERROR((51311-F19)/51311,0)</f>
        <v>0.22993120383543489</v>
      </c>
      <c r="J19" s="7">
        <v>233600</v>
      </c>
      <c r="K19" s="11">
        <f t="shared" si="13"/>
        <v>84.456833374910971</v>
      </c>
      <c r="L19" s="11">
        <f>K19-84.054</f>
        <v>0.40283337491096916</v>
      </c>
      <c r="M19" s="11">
        <v>73</v>
      </c>
      <c r="N19" s="11">
        <f t="shared" si="14"/>
        <v>11.456833374910971</v>
      </c>
      <c r="O19" s="11">
        <f>IFERROR(22699229/51311,0)</f>
        <v>442.38523903256612</v>
      </c>
      <c r="P19" s="11">
        <v>0</v>
      </c>
      <c r="Q19" s="11">
        <f t="shared" si="15"/>
        <v>442.38523903256612</v>
      </c>
      <c r="R19" s="7">
        <v>33386</v>
      </c>
      <c r="S19" s="11">
        <f t="shared" si="16"/>
        <v>120.70530132939973</v>
      </c>
      <c r="T19" s="13">
        <f t="shared" si="17"/>
        <v>6.996944827173067</v>
      </c>
      <c r="U19" s="7">
        <v>56960</v>
      </c>
      <c r="V19" s="11">
        <f t="shared" si="18"/>
        <v>205.93584028402947</v>
      </c>
      <c r="W19" s="11">
        <f t="shared" si="19"/>
        <v>1.7061043551189119</v>
      </c>
      <c r="X19" s="11">
        <v>304.49428571430002</v>
      </c>
      <c r="Y19" s="11">
        <f t="shared" si="20"/>
        <v>142.91952054794521</v>
      </c>
      <c r="Z19" s="11">
        <f t="shared" si="21"/>
        <v>43.518177323876799</v>
      </c>
      <c r="AA19" s="7">
        <v>1754</v>
      </c>
      <c r="AB19" s="15">
        <f>IFERROR(AA19/0,0)</f>
        <v>0</v>
      </c>
      <c r="AC19" s="11">
        <v>0</v>
      </c>
      <c r="AD19" s="15">
        <f>IFERROR(AC19/0,0)</f>
        <v>0</v>
      </c>
      <c r="AE19" s="11">
        <v>22</v>
      </c>
      <c r="AF19" s="11">
        <v>26</v>
      </c>
      <c r="AG19" s="7">
        <f t="shared" si="22"/>
        <v>31688.570000000007</v>
      </c>
      <c r="AH19" s="7">
        <v>19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 t="shared" si="23"/>
        <v>0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34</v>
      </c>
      <c r="C20" s="7"/>
      <c r="D20" s="7">
        <v>7</v>
      </c>
      <c r="E20" s="7">
        <v>52424</v>
      </c>
      <c r="F20" s="7">
        <v>51109</v>
      </c>
      <c r="G20" s="7">
        <v>97</v>
      </c>
      <c r="H20" s="9">
        <f t="shared" si="12"/>
        <v>1.8979044786632492E-3</v>
      </c>
      <c r="I20" s="9">
        <f>IFERROR((52424-F20)/52424,0)</f>
        <v>2.5083931023958492E-2</v>
      </c>
      <c r="J20" s="7">
        <v>337700</v>
      </c>
      <c r="K20" s="11">
        <f t="shared" si="13"/>
        <v>94.392097561793705</v>
      </c>
      <c r="L20" s="11">
        <f>K20-94.0236</f>
        <v>0.36849756179370274</v>
      </c>
      <c r="M20" s="11">
        <v>95.65</v>
      </c>
      <c r="N20" s="11">
        <f t="shared" si="14"/>
        <v>-1.2579024382063011</v>
      </c>
      <c r="O20" s="11">
        <f>IFERROR(4529700/52424,0)</f>
        <v>86.405081641996034</v>
      </c>
      <c r="P20" s="11">
        <v>92</v>
      </c>
      <c r="Q20" s="11">
        <f t="shared" si="15"/>
        <v>-5.5949183580039659</v>
      </c>
      <c r="R20" s="7">
        <v>40709</v>
      </c>
      <c r="S20" s="11">
        <f t="shared" si="16"/>
        <v>113.78761917805922</v>
      </c>
      <c r="T20" s="13">
        <f t="shared" si="17"/>
        <v>8.2954629197474752</v>
      </c>
      <c r="U20" s="7">
        <v>66730</v>
      </c>
      <c r="V20" s="11">
        <f t="shared" si="18"/>
        <v>186.52012645242803</v>
      </c>
      <c r="W20" s="11">
        <f t="shared" si="19"/>
        <v>1.6391952639465477</v>
      </c>
      <c r="X20" s="11">
        <v>304.55428571430002</v>
      </c>
      <c r="Y20" s="11">
        <f t="shared" si="20"/>
        <v>120.54782351199287</v>
      </c>
      <c r="Z20" s="11">
        <f t="shared" si="21"/>
        <v>36.713356284108492</v>
      </c>
      <c r="AA20" s="7">
        <v>1684</v>
      </c>
      <c r="AB20" s="15">
        <f>IFERROR(AA20/1690,0)</f>
        <v>0.99644970414201184</v>
      </c>
      <c r="AC20" s="11">
        <v>60.41</v>
      </c>
      <c r="AD20" s="15">
        <f>IFERROR(AC20/60.6,0)</f>
        <v>0.99686468646864679</v>
      </c>
      <c r="AE20" s="11">
        <v>23</v>
      </c>
      <c r="AF20" s="11">
        <v>26</v>
      </c>
      <c r="AG20" s="7">
        <f t="shared" si="22"/>
        <v>-4500.3095000000085</v>
      </c>
      <c r="AH20" s="7">
        <v>31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 t="shared" si="23"/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63</v>
      </c>
      <c r="B21" s="5">
        <v>24</v>
      </c>
      <c r="C21" s="7"/>
      <c r="D21" s="7">
        <v>7</v>
      </c>
      <c r="E21" s="7">
        <v>50525</v>
      </c>
      <c r="F21" s="7">
        <v>50073</v>
      </c>
      <c r="G21" s="7">
        <v>57</v>
      </c>
      <c r="H21" s="9">
        <f t="shared" si="12"/>
        <v>1.1383380264813373E-3</v>
      </c>
      <c r="I21" s="9">
        <f>IFERROR((50525-F21)/50525,0)</f>
        <v>8.9460663038099953E-3</v>
      </c>
      <c r="J21" s="7">
        <v>300620</v>
      </c>
      <c r="K21" s="11">
        <f t="shared" si="13"/>
        <v>85.766209904967312</v>
      </c>
      <c r="L21" s="11">
        <f>K21-82.8646</f>
        <v>2.9016099049673159</v>
      </c>
      <c r="M21" s="11">
        <v>92.5</v>
      </c>
      <c r="N21" s="11">
        <f t="shared" si="14"/>
        <v>-6.7337900950326883</v>
      </c>
      <c r="O21" s="11">
        <f>IFERROR(1097540/50525,0)</f>
        <v>21.722711528946068</v>
      </c>
      <c r="P21" s="11">
        <v>27</v>
      </c>
      <c r="Q21" s="11">
        <f t="shared" si="15"/>
        <v>-5.2772884710539323</v>
      </c>
      <c r="R21" s="7">
        <v>34457</v>
      </c>
      <c r="S21" s="11">
        <f t="shared" si="16"/>
        <v>98.305046061321903</v>
      </c>
      <c r="T21" s="13">
        <f t="shared" si="17"/>
        <v>8.7244971994079581</v>
      </c>
      <c r="U21" s="7">
        <v>71230</v>
      </c>
      <c r="V21" s="11">
        <f t="shared" si="18"/>
        <v>203.21758803575352</v>
      </c>
      <c r="W21" s="11">
        <f t="shared" si="19"/>
        <v>2.0672142090141334</v>
      </c>
      <c r="X21" s="11">
        <v>309.75857142860002</v>
      </c>
      <c r="Y21" s="11">
        <f t="shared" si="20"/>
        <v>114.61978577606283</v>
      </c>
      <c r="Z21" s="11">
        <f t="shared" si="21"/>
        <v>35.504461099445393</v>
      </c>
      <c r="AA21" s="7">
        <v>1532</v>
      </c>
      <c r="AB21" s="15">
        <f>IFERROR(AA21/1480,0)</f>
        <v>1.0351351351351352</v>
      </c>
      <c r="AC21" s="11">
        <v>52.01</v>
      </c>
      <c r="AD21" s="15">
        <f>IFERROR(AC21/52.6,0)</f>
        <v>0.98878326996197707</v>
      </c>
      <c r="AE21" s="11">
        <v>21</v>
      </c>
      <c r="AF21" s="11">
        <v>26</v>
      </c>
      <c r="AG21" s="7">
        <f t="shared" si="22"/>
        <v>-23602.675000000025</v>
      </c>
      <c r="AH21" s="7">
        <v>19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 t="shared" si="23"/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64</v>
      </c>
      <c r="B22" s="5">
        <v>43</v>
      </c>
      <c r="C22" s="7"/>
      <c r="D22" s="7">
        <v>7</v>
      </c>
      <c r="E22" s="7">
        <v>50845</v>
      </c>
      <c r="F22" s="7">
        <v>49497</v>
      </c>
      <c r="G22" s="7">
        <v>69</v>
      </c>
      <c r="H22" s="9">
        <f t="shared" si="12"/>
        <v>1.3940238802351657E-3</v>
      </c>
      <c r="I22" s="9">
        <f>IFERROR((50845-F22)/50845,0)</f>
        <v>2.651194807749041E-2</v>
      </c>
      <c r="J22" s="7">
        <v>325950</v>
      </c>
      <c r="K22" s="11">
        <f t="shared" si="13"/>
        <v>94.074965582329668</v>
      </c>
      <c r="L22" s="11">
        <f>K22-90.1713</f>
        <v>3.9036655823296655</v>
      </c>
      <c r="M22" s="11">
        <v>95.15</v>
      </c>
      <c r="N22" s="11">
        <f t="shared" si="14"/>
        <v>-1.0750344176703379</v>
      </c>
      <c r="O22" s="11">
        <f>IFERROR(7429800/50845,0)</f>
        <v>146.12646277903431</v>
      </c>
      <c r="P22" s="11">
        <v>150</v>
      </c>
      <c r="Q22" s="11">
        <f t="shared" si="15"/>
        <v>-3.8735372209656873</v>
      </c>
      <c r="R22" s="7">
        <v>41646</v>
      </c>
      <c r="S22" s="11">
        <f t="shared" si="16"/>
        <v>120.1977609032582</v>
      </c>
      <c r="T22" s="13">
        <f t="shared" si="17"/>
        <v>7.8266820342890071</v>
      </c>
      <c r="U22" s="7">
        <v>70100</v>
      </c>
      <c r="V22" s="11">
        <f t="shared" si="18"/>
        <v>202.32106419148059</v>
      </c>
      <c r="W22" s="11">
        <f t="shared" si="19"/>
        <v>1.6832348845027134</v>
      </c>
      <c r="X22" s="11">
        <v>289.53285714290001</v>
      </c>
      <c r="Y22" s="11">
        <f t="shared" si="20"/>
        <v>127.76806258628622</v>
      </c>
      <c r="Z22" s="11">
        <f t="shared" si="21"/>
        <v>36.99305221222032</v>
      </c>
      <c r="AA22" s="7">
        <v>1747</v>
      </c>
      <c r="AB22" s="15">
        <f>IFERROR(AA22/1710,0)</f>
        <v>1.0216374269005848</v>
      </c>
      <c r="AC22" s="11">
        <v>61.93</v>
      </c>
      <c r="AD22" s="15">
        <f>IFERROR(AC22/62.15,0)</f>
        <v>0.99646017699115041</v>
      </c>
      <c r="AE22" s="11">
        <v>22</v>
      </c>
      <c r="AF22" s="11">
        <v>27</v>
      </c>
      <c r="AG22" s="7">
        <f t="shared" si="22"/>
        <v>-3724.7685000000101</v>
      </c>
      <c r="AH22" s="7">
        <v>35</v>
      </c>
      <c r="AI22" s="7">
        <v>20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 t="shared" si="23"/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65</v>
      </c>
      <c r="B23" s="5">
        <v>93</v>
      </c>
      <c r="C23" s="7"/>
      <c r="D23" s="7">
        <v>7</v>
      </c>
      <c r="E23" s="7">
        <v>20160</v>
      </c>
      <c r="F23" s="7">
        <v>15468</v>
      </c>
      <c r="G23" s="7">
        <v>40</v>
      </c>
      <c r="H23" s="9">
        <f t="shared" si="12"/>
        <v>2.5859839668994052E-3</v>
      </c>
      <c r="I23" s="9">
        <f>IFERROR((20160-F23)/20160,0)</f>
        <v>0.23273809523809524</v>
      </c>
      <c r="J23" s="7">
        <v>84440</v>
      </c>
      <c r="K23" s="11">
        <f t="shared" si="13"/>
        <v>77.985887916066361</v>
      </c>
      <c r="L23" s="11">
        <f>K23-79.2402</f>
        <v>-1.254312083933641</v>
      </c>
      <c r="M23" s="11">
        <v>72</v>
      </c>
      <c r="N23" s="11">
        <f t="shared" si="14"/>
        <v>5.9858879160663605</v>
      </c>
      <c r="O23" s="11">
        <f>IFERROR(6140354/20160,0)</f>
        <v>304.5810515873016</v>
      </c>
      <c r="P23" s="11">
        <v>428</v>
      </c>
      <c r="Q23" s="11">
        <f t="shared" si="15"/>
        <v>-123.4189484126984</v>
      </c>
      <c r="R23" s="7">
        <v>17820</v>
      </c>
      <c r="S23" s="11">
        <f t="shared" si="16"/>
        <v>164.57940817909787</v>
      </c>
      <c r="T23" s="13">
        <f t="shared" si="17"/>
        <v>4.7384960718294051</v>
      </c>
      <c r="U23" s="7">
        <v>21230</v>
      </c>
      <c r="V23" s="11">
        <f t="shared" si="18"/>
        <v>196.07299863312275</v>
      </c>
      <c r="W23" s="11">
        <f t="shared" si="19"/>
        <v>1.191358024691358</v>
      </c>
      <c r="X23" s="11">
        <v>305.73142857139999</v>
      </c>
      <c r="Y23" s="11">
        <f t="shared" si="20"/>
        <v>211.03742302226431</v>
      </c>
      <c r="Z23" s="11">
        <f t="shared" si="21"/>
        <v>64.520772822623726</v>
      </c>
      <c r="AA23" s="7">
        <v>0</v>
      </c>
      <c r="AB23" s="15">
        <f>IFERROR(AA23/1980,0)</f>
        <v>0</v>
      </c>
      <c r="AC23" s="11">
        <v>0</v>
      </c>
      <c r="AD23" s="15">
        <f>IFERROR(AC23/65.1,0)</f>
        <v>0</v>
      </c>
      <c r="AE23" s="11">
        <v>22</v>
      </c>
      <c r="AF23" s="11">
        <v>25</v>
      </c>
      <c r="AG23" s="7">
        <f t="shared" si="22"/>
        <v>6481.2800000000125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 t="shared" si="23"/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34</v>
      </c>
      <c r="C24" s="7"/>
      <c r="D24" s="7">
        <v>7</v>
      </c>
      <c r="E24" s="7">
        <v>21875</v>
      </c>
      <c r="F24" s="7">
        <v>21463</v>
      </c>
      <c r="G24" s="7">
        <v>20</v>
      </c>
      <c r="H24" s="9">
        <f t="shared" si="12"/>
        <v>9.3183618319899364E-4</v>
      </c>
      <c r="I24" s="9">
        <f>IFERROR((21875-F24)/21875,0)</f>
        <v>1.8834285714285713E-2</v>
      </c>
      <c r="J24" s="7">
        <v>145260</v>
      </c>
      <c r="K24" s="11">
        <f t="shared" si="13"/>
        <v>96.684659979632727</v>
      </c>
      <c r="L24" s="11">
        <f>K24-94.4401</f>
        <v>2.2445599796327258</v>
      </c>
      <c r="M24" s="11">
        <v>94.5</v>
      </c>
      <c r="N24" s="11">
        <f t="shared" si="14"/>
        <v>2.1846599796327268</v>
      </c>
      <c r="O24" s="11">
        <f>IFERROR(2164110/21875,0)</f>
        <v>98.93074285714286</v>
      </c>
      <c r="P24" s="11">
        <v>98</v>
      </c>
      <c r="Q24" s="11">
        <f t="shared" si="15"/>
        <v>0.9307428571428602</v>
      </c>
      <c r="R24" s="7">
        <v>18920</v>
      </c>
      <c r="S24" s="11">
        <f t="shared" si="16"/>
        <v>125.93100418660686</v>
      </c>
      <c r="T24" s="13">
        <f t="shared" si="17"/>
        <v>7.6775898520084569</v>
      </c>
      <c r="U24" s="7">
        <v>33364</v>
      </c>
      <c r="V24" s="11">
        <f t="shared" si="18"/>
        <v>222.06987440179446</v>
      </c>
      <c r="W24" s="11">
        <f t="shared" si="19"/>
        <v>1.7634249471458774</v>
      </c>
      <c r="X24" s="11">
        <v>295.76571428570003</v>
      </c>
      <c r="Y24" s="11">
        <f t="shared" si="20"/>
        <v>130.24920831612278</v>
      </c>
      <c r="Z24" s="11">
        <f t="shared" si="21"/>
        <v>38.523250132764993</v>
      </c>
      <c r="AA24" s="7">
        <v>2057</v>
      </c>
      <c r="AB24" s="15">
        <f>IFERROR(AA24/1910,0)</f>
        <v>1.0769633507853402</v>
      </c>
      <c r="AC24" s="11">
        <v>61.72</v>
      </c>
      <c r="AD24" s="15">
        <f>IFERROR(AC24/61.7,0)</f>
        <v>1.0003241491085899</v>
      </c>
      <c r="AE24" s="11">
        <v>23</v>
      </c>
      <c r="AF24" s="11">
        <v>26</v>
      </c>
      <c r="AG24" s="7">
        <f t="shared" si="22"/>
        <v>3282.2550000000051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 t="shared" si="23"/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67</v>
      </c>
      <c r="B25" s="5">
        <v>93</v>
      </c>
      <c r="C25" s="7">
        <v>26</v>
      </c>
      <c r="D25" s="7">
        <v>7</v>
      </c>
      <c r="E25" s="7">
        <v>51833</v>
      </c>
      <c r="F25" s="7">
        <v>41920</v>
      </c>
      <c r="G25" s="7">
        <v>148</v>
      </c>
      <c r="H25" s="9">
        <f t="shared" si="12"/>
        <v>3.5305343511450381E-3</v>
      </c>
      <c r="I25" s="9">
        <f>IFERROR((51833-F25)/51833,0)</f>
        <v>0.19124881832037505</v>
      </c>
      <c r="J25" s="7">
        <v>210120</v>
      </c>
      <c r="K25" s="11">
        <f t="shared" si="13"/>
        <v>71.605779716466742</v>
      </c>
      <c r="L25" s="11">
        <f>K25-71.8429</f>
        <v>-0.2371202835332582</v>
      </c>
      <c r="M25" s="11">
        <v>76</v>
      </c>
      <c r="N25" s="11">
        <f t="shared" si="14"/>
        <v>-4.394220283533258</v>
      </c>
      <c r="O25" s="11">
        <f>IFERROR(18962508/51833,0)</f>
        <v>365.83851986186409</v>
      </c>
      <c r="P25" s="11">
        <v>0</v>
      </c>
      <c r="Q25" s="11">
        <f t="shared" si="15"/>
        <v>365.83851986186409</v>
      </c>
      <c r="R25" s="7">
        <v>34483</v>
      </c>
      <c r="S25" s="11">
        <f t="shared" si="16"/>
        <v>117.51294983642312</v>
      </c>
      <c r="T25" s="13">
        <f t="shared" si="17"/>
        <v>6.093437345938578</v>
      </c>
      <c r="U25" s="7">
        <v>52753</v>
      </c>
      <c r="V25" s="11">
        <f t="shared" si="18"/>
        <v>179.7744002181025</v>
      </c>
      <c r="W25" s="11">
        <f t="shared" si="19"/>
        <v>1.5298262912159615</v>
      </c>
      <c r="X25" s="11">
        <v>274.23142857139999</v>
      </c>
      <c r="Y25" s="11">
        <f t="shared" si="20"/>
        <v>164.11098419950503</v>
      </c>
      <c r="Z25" s="11">
        <f t="shared" si="21"/>
        <v>45.004389641288711</v>
      </c>
      <c r="AA25" s="7">
        <v>1789</v>
      </c>
      <c r="AB25" s="15">
        <f>IFERROR(AA25/1980,0)</f>
        <v>0.90353535353535352</v>
      </c>
      <c r="AC25" s="11">
        <v>0</v>
      </c>
      <c r="AD25" s="15">
        <f>IFERROR(AC25/65.1,0)</f>
        <v>0</v>
      </c>
      <c r="AE25" s="11">
        <v>23</v>
      </c>
      <c r="AF25" s="11">
        <v>26</v>
      </c>
      <c r="AG25" s="7">
        <f t="shared" si="22"/>
        <v>-12894.399999999992</v>
      </c>
      <c r="AH25" s="7">
        <v>45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IFERROR(700/F25,0)</f>
        <v>1.6698473282442748E-2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81</v>
      </c>
      <c r="B26" s="5">
        <v>91</v>
      </c>
      <c r="C26" s="7">
        <v>25</v>
      </c>
      <c r="D26" s="7">
        <v>7</v>
      </c>
      <c r="E26" s="7">
        <v>21623</v>
      </c>
      <c r="F26" s="7">
        <v>18289</v>
      </c>
      <c r="G26" s="7">
        <v>28</v>
      </c>
      <c r="H26" s="9">
        <f t="shared" si="12"/>
        <v>1.5309749029471266E-3</v>
      </c>
      <c r="I26" s="9">
        <f>IFERROR((21623-F26)/21623,0)</f>
        <v>0.15418767053600332</v>
      </c>
      <c r="J26" s="7">
        <v>95940</v>
      </c>
      <c r="K26" s="11">
        <f t="shared" si="13"/>
        <v>74.939659279973142</v>
      </c>
      <c r="L26" s="11">
        <f>K26-72.2982</f>
        <v>2.641459279973148</v>
      </c>
      <c r="M26" s="11">
        <v>81</v>
      </c>
      <c r="N26" s="11">
        <f t="shared" si="14"/>
        <v>-6.0603407200268578</v>
      </c>
      <c r="O26" s="11">
        <f>IFERROR(7882865/21623,0)</f>
        <v>364.55926559681819</v>
      </c>
      <c r="P26" s="11">
        <v>0</v>
      </c>
      <c r="Q26" s="11">
        <f t="shared" si="15"/>
        <v>364.55926559681819</v>
      </c>
      <c r="R26" s="7">
        <v>15802</v>
      </c>
      <c r="S26" s="11">
        <f t="shared" si="16"/>
        <v>123.43094600189029</v>
      </c>
      <c r="T26" s="13">
        <f t="shared" si="17"/>
        <v>6.0713833691937733</v>
      </c>
      <c r="U26" s="7">
        <v>26178</v>
      </c>
      <c r="V26" s="11">
        <f t="shared" si="18"/>
        <v>204.4788827007647</v>
      </c>
      <c r="W26" s="11">
        <f t="shared" si="19"/>
        <v>1.6566257435767624</v>
      </c>
      <c r="X26" s="11">
        <v>268.32</v>
      </c>
      <c r="Y26" s="11">
        <f t="shared" si="20"/>
        <v>164.70710860954762</v>
      </c>
      <c r="Z26" s="11">
        <f t="shared" si="21"/>
        <v>44.194211382113821</v>
      </c>
      <c r="AA26" s="7">
        <v>1995</v>
      </c>
      <c r="AB26" s="15">
        <f>IFERROR(AA26/1980,0)</f>
        <v>1.0075757575757576</v>
      </c>
      <c r="AC26" s="11">
        <v>65.510000000000005</v>
      </c>
      <c r="AD26" s="15">
        <f>IFERROR(AC26/65.1,0)</f>
        <v>1.0062980030721969</v>
      </c>
      <c r="AE26" s="11">
        <v>23</v>
      </c>
      <c r="AF26" s="11">
        <v>27</v>
      </c>
      <c r="AG26" s="7">
        <f t="shared" si="22"/>
        <v>-7758.6299999999837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IFERROR(100/F26,0)</f>
        <v>5.4677675105254528E-3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68</v>
      </c>
      <c r="B27" s="5">
        <v>24</v>
      </c>
      <c r="C27" s="7"/>
      <c r="D27" s="7">
        <v>7</v>
      </c>
      <c r="E27" s="7">
        <v>21339</v>
      </c>
      <c r="F27" s="7">
        <v>21150</v>
      </c>
      <c r="G27" s="7">
        <v>25</v>
      </c>
      <c r="H27" s="9">
        <f t="shared" si="12"/>
        <v>1.1820330969267139E-3</v>
      </c>
      <c r="I27" s="9">
        <f>IFERROR((21339-F27)/21339,0)</f>
        <v>8.8570223534373688E-3</v>
      </c>
      <c r="J27" s="7">
        <v>126540</v>
      </c>
      <c r="K27" s="11">
        <f t="shared" si="13"/>
        <v>85.471124620060806</v>
      </c>
      <c r="L27" s="11">
        <f>K27-86.3417</f>
        <v>-0.87057537993919709</v>
      </c>
      <c r="M27" s="11">
        <v>93.5</v>
      </c>
      <c r="N27" s="11">
        <f t="shared" si="14"/>
        <v>-8.0288753799391941</v>
      </c>
      <c r="O27" s="11">
        <f>IFERROR(624090/21339,0)</f>
        <v>29.246450161675806</v>
      </c>
      <c r="P27" s="11">
        <v>32</v>
      </c>
      <c r="Q27" s="11">
        <f t="shared" si="15"/>
        <v>-2.7535498383241936</v>
      </c>
      <c r="R27" s="7">
        <v>17210</v>
      </c>
      <c r="S27" s="11">
        <f t="shared" si="16"/>
        <v>116.24451198919283</v>
      </c>
      <c r="T27" s="13">
        <f t="shared" si="17"/>
        <v>7.3527019174898314</v>
      </c>
      <c r="U27" s="7">
        <v>35615</v>
      </c>
      <c r="V27" s="11">
        <f t="shared" si="18"/>
        <v>240.56062141168525</v>
      </c>
      <c r="W27" s="11">
        <f t="shared" si="19"/>
        <v>2.0694363742010462</v>
      </c>
      <c r="X27" s="11">
        <v>293.0771428571</v>
      </c>
      <c r="Y27" s="11">
        <f t="shared" si="20"/>
        <v>136.00442547810962</v>
      </c>
      <c r="Z27" s="11">
        <f t="shared" si="21"/>
        <v>39.859788435045743</v>
      </c>
      <c r="AA27" s="7">
        <v>1782</v>
      </c>
      <c r="AB27" s="15">
        <f>IFERROR(AA27/1840,0)</f>
        <v>0.96847826086956523</v>
      </c>
      <c r="AC27" s="11">
        <v>56.62</v>
      </c>
      <c r="AD27" s="15">
        <f>IFERROR(AC27/56.6,0)</f>
        <v>1.0003533568904592</v>
      </c>
      <c r="AE27" s="11">
        <v>23</v>
      </c>
      <c r="AF27" s="11">
        <v>26</v>
      </c>
      <c r="AG27" s="7">
        <f t="shared" si="22"/>
        <v>-11886.749999999978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82</v>
      </c>
      <c r="C28" s="7">
        <v>10</v>
      </c>
      <c r="D28" s="7">
        <v>7</v>
      </c>
      <c r="E28" s="7">
        <v>47224</v>
      </c>
      <c r="F28" s="7">
        <v>37985</v>
      </c>
      <c r="G28" s="7">
        <v>87</v>
      </c>
      <c r="H28" s="9">
        <f t="shared" si="12"/>
        <v>2.2903777807029091E-3</v>
      </c>
      <c r="I28" s="9">
        <f>IFERROR((47224-F28)/47224,0)</f>
        <v>0.19564204641707605</v>
      </c>
      <c r="J28" s="7">
        <v>189780</v>
      </c>
      <c r="K28" s="11">
        <f t="shared" si="13"/>
        <v>71.374038624268977</v>
      </c>
      <c r="L28" s="11">
        <f>K28-69.6425</f>
        <v>1.7315386242689783</v>
      </c>
      <c r="M28" s="11">
        <v>82</v>
      </c>
      <c r="N28" s="11">
        <f t="shared" si="14"/>
        <v>-10.625961375731023</v>
      </c>
      <c r="O28" s="11">
        <f>IFERROR(14551250/47224,0)</f>
        <v>308.13251736405221</v>
      </c>
      <c r="P28" s="11">
        <v>0</v>
      </c>
      <c r="Q28" s="11">
        <f t="shared" si="15"/>
        <v>308.13251736405221</v>
      </c>
      <c r="R28" s="7">
        <v>32250</v>
      </c>
      <c r="S28" s="11">
        <f t="shared" si="16"/>
        <v>121.28847853475995</v>
      </c>
      <c r="T28" s="13">
        <f t="shared" si="17"/>
        <v>5.8846511627906981</v>
      </c>
      <c r="U28" s="7">
        <v>61200</v>
      </c>
      <c r="V28" s="11">
        <f t="shared" si="18"/>
        <v>230.16604298689333</v>
      </c>
      <c r="W28" s="11">
        <f t="shared" si="19"/>
        <v>1.8976744186046515</v>
      </c>
      <c r="X28" s="11">
        <v>287.20857142860001</v>
      </c>
      <c r="Y28" s="11">
        <f t="shared" si="20"/>
        <v>169.9336073348087</v>
      </c>
      <c r="Z28" s="11">
        <f t="shared" si="21"/>
        <v>48.806388600339069</v>
      </c>
      <c r="AA28" s="7">
        <v>1583</v>
      </c>
      <c r="AB28" s="15">
        <f>IFERROR(AA28/1580,0)</f>
        <v>1.0018987341772152</v>
      </c>
      <c r="AC28" s="11">
        <v>0</v>
      </c>
      <c r="AD28" s="15">
        <f>IFERROR(AC28/63.6,0)</f>
        <v>0</v>
      </c>
      <c r="AE28" s="11">
        <v>16</v>
      </c>
      <c r="AF28" s="11">
        <v>33</v>
      </c>
      <c r="AG28" s="7">
        <f t="shared" si="22"/>
        <v>-28253.900000000005</v>
      </c>
      <c r="AH28" s="7">
        <v>46</v>
      </c>
      <c r="AI28" s="7">
        <v>20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112</v>
      </c>
      <c r="C29" s="7">
        <v>14</v>
      </c>
      <c r="D29" s="7">
        <v>7</v>
      </c>
      <c r="E29" s="7">
        <v>33376</v>
      </c>
      <c r="F29" s="7">
        <v>29620</v>
      </c>
      <c r="G29" s="7">
        <v>91</v>
      </c>
      <c r="H29" s="9">
        <f t="shared" si="12"/>
        <v>3.0722484807562457E-3</v>
      </c>
      <c r="I29" s="9">
        <f>IFERROR((33376-F29)/33376,0)</f>
        <v>0.11253595397890701</v>
      </c>
      <c r="J29" s="7">
        <v>145980</v>
      </c>
      <c r="K29" s="11">
        <f t="shared" si="13"/>
        <v>70.406096267001061</v>
      </c>
      <c r="L29" s="11">
        <f>K29-70.2818</f>
        <v>0.124296267001057</v>
      </c>
      <c r="M29" s="11">
        <v>80</v>
      </c>
      <c r="N29" s="11">
        <f t="shared" si="14"/>
        <v>-9.5939037329989389</v>
      </c>
      <c r="O29" s="11">
        <f>IFERROR(14487513/33376,0)</f>
        <v>434.06978068072868</v>
      </c>
      <c r="P29" s="11">
        <v>0</v>
      </c>
      <c r="Q29" s="11">
        <f t="shared" si="15"/>
        <v>434.06978068072868</v>
      </c>
      <c r="R29" s="7">
        <v>21380</v>
      </c>
      <c r="S29" s="11">
        <f t="shared" si="16"/>
        <v>103.11565544516253</v>
      </c>
      <c r="T29" s="13">
        <f t="shared" si="17"/>
        <v>6.8278765201122544</v>
      </c>
      <c r="U29" s="7">
        <v>36333</v>
      </c>
      <c r="V29" s="11">
        <f t="shared" si="18"/>
        <v>175.23391530818947</v>
      </c>
      <c r="W29" s="11">
        <f t="shared" si="19"/>
        <v>1.6993919550982228</v>
      </c>
      <c r="X29" s="11">
        <v>291.68571428569999</v>
      </c>
      <c r="Y29" s="11">
        <f t="shared" si="20"/>
        <v>146.45841896150159</v>
      </c>
      <c r="Z29" s="11">
        <f t="shared" si="21"/>
        <v>42.719828547939898</v>
      </c>
      <c r="AA29" s="7">
        <v>1658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16</v>
      </c>
      <c r="AF29" s="11">
        <v>33</v>
      </c>
      <c r="AG29" s="7">
        <f t="shared" si="22"/>
        <v>-19892</v>
      </c>
      <c r="AH29" s="7">
        <v>51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IFERROR(700/F29,0)</f>
        <v>2.3632680621201892E-2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112</v>
      </c>
      <c r="C30" s="7">
        <v>14</v>
      </c>
      <c r="D30" s="7">
        <v>7</v>
      </c>
      <c r="E30" s="7">
        <v>12390</v>
      </c>
      <c r="F30" s="7">
        <v>10108</v>
      </c>
      <c r="G30" s="7">
        <v>28</v>
      </c>
      <c r="H30" s="9">
        <f t="shared" si="12"/>
        <v>2.7700831024930748E-3</v>
      </c>
      <c r="I30" s="9">
        <f>IFERROR((12390-F30)/12390,0)</f>
        <v>0.18418079096045198</v>
      </c>
      <c r="J30" s="7">
        <v>57160</v>
      </c>
      <c r="K30" s="11">
        <f t="shared" si="13"/>
        <v>80.784668438012318</v>
      </c>
      <c r="L30" s="11">
        <f>K30-80.1387</f>
        <v>0.64596843801231785</v>
      </c>
      <c r="M30" s="11">
        <v>80</v>
      </c>
      <c r="N30" s="11">
        <f t="shared" si="14"/>
        <v>0.78466843801231789</v>
      </c>
      <c r="O30" s="11">
        <f>IFERROR(5897108/12390,0)</f>
        <v>475.95706214689267</v>
      </c>
      <c r="P30" s="11">
        <v>0</v>
      </c>
      <c r="Q30" s="11">
        <f t="shared" si="15"/>
        <v>475.95706214689267</v>
      </c>
      <c r="R30" s="7">
        <v>9500</v>
      </c>
      <c r="S30" s="11">
        <f t="shared" si="16"/>
        <v>134.26423200859293</v>
      </c>
      <c r="T30" s="13">
        <f t="shared" si="17"/>
        <v>6.0168421052631578</v>
      </c>
      <c r="U30" s="7">
        <v>17666</v>
      </c>
      <c r="V30" s="11">
        <f t="shared" si="18"/>
        <v>249.67493922776868</v>
      </c>
      <c r="W30" s="11">
        <f t="shared" si="19"/>
        <v>1.8595789473684208</v>
      </c>
      <c r="X30" s="11">
        <v>273.35857142859999</v>
      </c>
      <c r="Y30" s="11">
        <f t="shared" si="20"/>
        <v>166.20013995801261</v>
      </c>
      <c r="Z30" s="11">
        <f t="shared" si="21"/>
        <v>45.432232830155705</v>
      </c>
      <c r="AA30" s="7">
        <v>1977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16</v>
      </c>
      <c r="AF30" s="11">
        <v>33</v>
      </c>
      <c r="AG30" s="7">
        <f t="shared" si="22"/>
        <v>555.19999999999573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IFERROR(350/F30,0)</f>
        <v>3.4626038781163437E-2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591557</v>
      </c>
      <c r="F31" s="17">
        <f>SUM(F14:F30)</f>
        <v>528024</v>
      </c>
      <c r="G31" s="17">
        <f>SUM(G14:G30)</f>
        <v>1164</v>
      </c>
      <c r="H31" s="18">
        <f t="shared" si="12"/>
        <v>2.2044452524885233E-3</v>
      </c>
      <c r="I31" s="18"/>
      <c r="J31" s="17">
        <f>SUM(J14:J30)</f>
        <v>3133430</v>
      </c>
      <c r="K31" s="19">
        <f t="shared" si="13"/>
        <v>84.775096802959169</v>
      </c>
      <c r="L31" s="19"/>
      <c r="M31" s="19">
        <f>IFERROR(SUMPRODUCT($F14:$F30,M14:M30)/$F31, 0)</f>
        <v>86.888712823659532</v>
      </c>
      <c r="N31" s="19">
        <f t="shared" si="14"/>
        <v>-2.1136160207003627</v>
      </c>
      <c r="O31" s="19">
        <f>IFERROR(SUMPRODUCT($E14:$E30,O14:O30)/$E31, 0)</f>
        <v>235.48081419034853</v>
      </c>
      <c r="P31" s="19">
        <f>IFERROR(SUMPRODUCT($E14:$E30,P14:P30)/$E31, 0)</f>
        <v>89.465718434571812</v>
      </c>
      <c r="Q31" s="19">
        <f>IFERROR(SUMPRODUCT($E14:$E30,Q14:Q30)/$E31, 0)</f>
        <v>146.01509575577671</v>
      </c>
      <c r="R31" s="17">
        <f>SUM(R14:R30)</f>
        <v>433013</v>
      </c>
      <c r="S31" s="19">
        <f>IFERROR(R31/D31/$F31*1000,0)</f>
        <v>117.15187188461131</v>
      </c>
      <c r="T31" s="20">
        <f t="shared" si="17"/>
        <v>7.236341634084889</v>
      </c>
      <c r="U31" s="17">
        <f>SUM(U14:U30)</f>
        <v>744311</v>
      </c>
      <c r="V31" s="19">
        <f>IFERROR(U31/D31/$F31*1000,0)</f>
        <v>201.37369297066581</v>
      </c>
      <c r="W31" s="19">
        <f t="shared" si="19"/>
        <v>1.7189114414578774</v>
      </c>
      <c r="X31" s="19">
        <f>IFERROR(SUMPRODUCT(R14:R30,X14:X30)/R31,0)</f>
        <v>292.96569264004</v>
      </c>
      <c r="Y31" s="19">
        <f>IFERROR(($F31*S31)/($F31*K31)*100,0)</f>
        <v>138.19137494694314</v>
      </c>
      <c r="Z31" s="19">
        <f t="shared" si="21"/>
        <v>40.485331878210673</v>
      </c>
      <c r="AA31" s="17"/>
      <c r="AB31" s="21">
        <f>IFERROR(SUMPRODUCT($F14:$F30,AB14:AB30)/$F31,0)</f>
        <v>0.74123781701696889</v>
      </c>
      <c r="AC31" s="19"/>
      <c r="AD31" s="21">
        <f>AVERAGE(AD14:AD30)</f>
        <v>0.41107584478338138</v>
      </c>
      <c r="AE31" s="19"/>
      <c r="AF31" s="19"/>
      <c r="AG31" s="17">
        <f>SUM(AG14:AG30)</f>
        <v>-78122.799000000014</v>
      </c>
      <c r="AH31" s="17">
        <f>SUM(AH14:AH30)</f>
        <v>322</v>
      </c>
      <c r="AI31" s="17">
        <f>IFERROR(SUMPRODUCT(AH14:AH30,AI14:AI30)/AH31, 0)</f>
        <v>16.211180124223603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637762</v>
      </c>
      <c r="F33" s="23">
        <f>F12+F31</f>
        <v>567514</v>
      </c>
      <c r="G33" s="23">
        <f>G12+G31</f>
        <v>1307</v>
      </c>
      <c r="H33" s="24">
        <f>IFERROR(G33/F33,0)</f>
        <v>2.3030268856803534E-3</v>
      </c>
      <c r="I33" s="23"/>
      <c r="J33" s="23">
        <f>J12+J31</f>
        <v>3208940</v>
      </c>
      <c r="K33" s="25">
        <f>IFERROR(J33/D33/F33*100,0)</f>
        <v>80.776861892393853</v>
      </c>
      <c r="L33" s="23"/>
      <c r="M33" s="25">
        <f>IFERROR($F$12/$F33*M$12,0)+IFERROR($F$31/$F33*M$31,0)</f>
        <v>82.534170434561972</v>
      </c>
      <c r="N33" s="25">
        <f>K33-M33</f>
        <v>-1.7573085421681185</v>
      </c>
      <c r="O33" s="23">
        <f>IFERROR($E$12/$E33*O$12,0)+IFERROR($E$31/$E33*O$31,0)</f>
        <v>235.19320687027451</v>
      </c>
      <c r="P33" s="23">
        <f>IFERROR($E$12/$E33*P$12,0)+IFERROR($E$31/$E33*P$31,0)</f>
        <v>84.444607863121348</v>
      </c>
      <c r="Q33" s="23">
        <f>IFERROR($E$12/$E33*Q$12,0)+IFERROR($E$31/$E33*Q$31,0)</f>
        <v>150.74859900715316</v>
      </c>
      <c r="R33" s="23">
        <f>R12+R31</f>
        <v>467057</v>
      </c>
      <c r="S33" s="25">
        <f>IFERROR(R33/D33/$F33*1000,0)</f>
        <v>117.56966096242306</v>
      </c>
      <c r="T33" s="26">
        <f>IFERROR(J33/R33,0)</f>
        <v>6.8705532729409899</v>
      </c>
      <c r="U33" s="23">
        <f>U12+U31</f>
        <v>759431</v>
      </c>
      <c r="V33" s="25">
        <f>IFERROR(U33/D33/$F33*1000,0)</f>
        <v>191.16734187551822</v>
      </c>
      <c r="W33" s="25">
        <f>IFERROR(V33/S33,0)</f>
        <v>1.6259921165939062</v>
      </c>
      <c r="X33" s="25">
        <f>IFERROR($F$12/$F33*X$12,0)+IFERROR($F$31/$F33*X$31,0)</f>
        <v>298.16778013482838</v>
      </c>
      <c r="Y33" s="25">
        <f>IFERROR(($F33*S33)/($F33*K33)*100,0)</f>
        <v>145.5486858588817</v>
      </c>
      <c r="Z33" s="25">
        <f>IFERROR(Y33*X33/1000,0)</f>
        <v>43.397928564084239</v>
      </c>
      <c r="AA33" s="23"/>
      <c r="AB33" s="27"/>
      <c r="AC33" s="23"/>
      <c r="AD33" s="27"/>
      <c r="AE33" s="23"/>
      <c r="AF33" s="23"/>
      <c r="AG33" s="23">
        <f>AG12+AG31</f>
        <v>-69810.804000000018</v>
      </c>
      <c r="AH33" s="23">
        <f>AH12+AH31</f>
        <v>322</v>
      </c>
      <c r="AI33" s="23">
        <f>IFERROR(AH$12/AH33*AI$12,0)+IFERROR(AH$31/AH33*AI$31,0)</f>
        <v>16.211180124223603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61</v>
      </c>
      <c r="T36" s="32" t="s">
        <v>70</v>
      </c>
      <c r="U36" s="32" t="s">
        <v>71</v>
      </c>
      <c r="V36" s="32" t="s">
        <v>72</v>
      </c>
      <c r="W36" s="32" t="s">
        <v>62</v>
      </c>
      <c r="X36" s="32" t="s">
        <v>66</v>
      </c>
      <c r="Y36" s="32" t="s">
        <v>67</v>
      </c>
      <c r="Z36" s="32" t="s">
        <v>81</v>
      </c>
      <c r="AA36" s="32" t="s">
        <v>63</v>
      </c>
      <c r="AB36" s="32" t="s">
        <v>68</v>
      </c>
      <c r="AC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>
        <v>2.5000000000000001E-3</v>
      </c>
      <c r="T37" s="8">
        <v>5.3E-3</v>
      </c>
      <c r="U37" s="8">
        <v>6.3E-3</v>
      </c>
      <c r="V37" s="8">
        <v>2.7000000000000001E-3</v>
      </c>
      <c r="W37" s="8">
        <v>1.5E-3</v>
      </c>
      <c r="X37" s="8">
        <v>1.4E-3</v>
      </c>
      <c r="Y37" s="8">
        <v>2.8E-3</v>
      </c>
      <c r="Z37" s="8">
        <v>1.6999999999999999E-3</v>
      </c>
      <c r="AA37" s="8"/>
      <c r="AB37" s="8"/>
      <c r="AC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>
        <v>2.5000000000000001E-3</v>
      </c>
      <c r="T38" s="9">
        <v>5.7999999999999996E-3</v>
      </c>
      <c r="U38" s="9">
        <v>3.5999999999999999E-3</v>
      </c>
      <c r="V38" s="9">
        <v>2.3E-3</v>
      </c>
      <c r="W38" s="9">
        <v>1.5E-3</v>
      </c>
      <c r="X38" s="9">
        <v>1E-3</v>
      </c>
      <c r="Y38" s="9">
        <v>3.0000000000000001E-3</v>
      </c>
      <c r="Z38" s="9">
        <v>1.8E-3</v>
      </c>
      <c r="AA38" s="9"/>
      <c r="AB38" s="9"/>
      <c r="AC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>
        <v>2.5000000000000001E-3</v>
      </c>
      <c r="T39" s="9">
        <v>5.4999999999999997E-3</v>
      </c>
      <c r="U39" s="9">
        <v>3.5000000000000001E-3</v>
      </c>
      <c r="V39" s="9">
        <v>2.5000000000000001E-3</v>
      </c>
      <c r="W39" s="9">
        <v>1.6999999999999999E-3</v>
      </c>
      <c r="X39" s="9">
        <v>6.9999999999999999E-4</v>
      </c>
      <c r="Y39" s="9">
        <v>2.8E-3</v>
      </c>
      <c r="Z39" s="9">
        <v>1.4E-3</v>
      </c>
      <c r="AA39" s="9"/>
      <c r="AB39" s="9"/>
      <c r="AC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>
        <v>2.5999999999999999E-3</v>
      </c>
      <c r="T40" s="9">
        <v>3.2000000000000002E-3</v>
      </c>
      <c r="U40" s="9">
        <v>3.7000000000000002E-3</v>
      </c>
      <c r="V40" s="9">
        <v>2.5000000000000001E-3</v>
      </c>
      <c r="W40" s="9">
        <v>1.6000000000000001E-3</v>
      </c>
      <c r="X40" s="9">
        <v>8.9999999999999998E-4</v>
      </c>
      <c r="Y40" s="9">
        <v>3.5000000000000001E-3</v>
      </c>
      <c r="Z40" s="9">
        <v>1.6000000000000001E-3</v>
      </c>
      <c r="AA40" s="9"/>
      <c r="AB40" s="9"/>
      <c r="AC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>
        <v>2.3E-3</v>
      </c>
      <c r="T41" s="9">
        <v>2.2000000000000001E-3</v>
      </c>
      <c r="U41" s="9">
        <v>4.4000000000000003E-3</v>
      </c>
      <c r="V41" s="9">
        <v>2.3E-3</v>
      </c>
      <c r="W41" s="9">
        <v>1.6000000000000001E-3</v>
      </c>
      <c r="X41" s="9">
        <v>8.9999999999999998E-4</v>
      </c>
      <c r="Y41" s="9">
        <v>3.0999999999999999E-3</v>
      </c>
      <c r="Z41" s="9">
        <v>1.5E-3</v>
      </c>
      <c r="AA41" s="9"/>
      <c r="AB41" s="9"/>
      <c r="AC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>
        <v>1.6999999999999999E-3</v>
      </c>
      <c r="T42" s="9">
        <v>3.0000000000000001E-3</v>
      </c>
      <c r="U42" s="9">
        <v>3.5999999999999999E-3</v>
      </c>
      <c r="V42" s="9">
        <v>1.8E-3</v>
      </c>
      <c r="W42" s="9">
        <v>8.9999999999999998E-4</v>
      </c>
      <c r="X42" s="9">
        <v>5.9999999999999995E-4</v>
      </c>
      <c r="Y42" s="9">
        <v>1.6999999999999999E-3</v>
      </c>
      <c r="Z42" s="9">
        <v>1E-3</v>
      </c>
      <c r="AA42" s="9">
        <v>0</v>
      </c>
      <c r="AB42" s="9">
        <v>0</v>
      </c>
      <c r="AC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>
        <v>1.9E-3</v>
      </c>
      <c r="T43" s="9">
        <v>4.3E-3</v>
      </c>
      <c r="U43" s="9">
        <v>4.1999999999999997E-3</v>
      </c>
      <c r="V43" s="9">
        <v>4.4000000000000003E-3</v>
      </c>
      <c r="W43" s="9">
        <v>1.1000000000000001E-3</v>
      </c>
      <c r="X43" s="9">
        <v>5.0000000000000001E-4</v>
      </c>
      <c r="Y43" s="9">
        <v>2.0999999999999999E-3</v>
      </c>
      <c r="Z43" s="9">
        <v>1.1999999999999999E-3</v>
      </c>
      <c r="AA43" s="9">
        <v>8.9999999999999998E-4</v>
      </c>
      <c r="AB43" s="9">
        <v>8.0000000000000004E-4</v>
      </c>
      <c r="AC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>
        <v>1.9E-3</v>
      </c>
      <c r="T44" s="9">
        <v>3.0999999999999999E-3</v>
      </c>
      <c r="U44" s="9">
        <v>3.2000000000000002E-3</v>
      </c>
      <c r="V44" s="9">
        <v>2.3E-3</v>
      </c>
      <c r="W44" s="9">
        <v>1.1000000000000001E-3</v>
      </c>
      <c r="X44" s="9">
        <v>5.0000000000000001E-4</v>
      </c>
      <c r="Y44" s="9">
        <v>2.8E-3</v>
      </c>
      <c r="Z44" s="9">
        <v>1.2999999999999999E-3</v>
      </c>
      <c r="AA44" s="9">
        <v>1.1999999999999999E-3</v>
      </c>
      <c r="AB44" s="9">
        <v>6.9999999999999999E-4</v>
      </c>
      <c r="AC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>
        <v>2.5000000000000001E-3</v>
      </c>
      <c r="T45" s="9">
        <v>3.0999999999999999E-3</v>
      </c>
      <c r="U45" s="9">
        <v>4.5999999999999999E-3</v>
      </c>
      <c r="V45" s="9">
        <v>2.8E-3</v>
      </c>
      <c r="W45" s="9">
        <v>1.6999999999999999E-3</v>
      </c>
      <c r="X45" s="9">
        <v>1E-3</v>
      </c>
      <c r="Y45" s="9">
        <v>3.5999999999999999E-3</v>
      </c>
      <c r="Z45" s="9">
        <v>1.6000000000000001E-3</v>
      </c>
      <c r="AA45" s="9">
        <v>2.3E-3</v>
      </c>
      <c r="AB45" s="9">
        <v>1.1999999999999999E-3</v>
      </c>
      <c r="AC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>
        <v>2.5000000000000001E-3</v>
      </c>
      <c r="T46" s="9">
        <v>2.5999999999999999E-3</v>
      </c>
      <c r="U46" s="9">
        <v>3.3999999999999998E-3</v>
      </c>
      <c r="V46" s="9">
        <v>2.5000000000000001E-3</v>
      </c>
      <c r="W46" s="9">
        <v>2E-3</v>
      </c>
      <c r="X46" s="9">
        <v>1E-3</v>
      </c>
      <c r="Y46" s="9">
        <v>3.5000000000000001E-3</v>
      </c>
      <c r="Z46" s="9">
        <v>1.6999999999999999E-3</v>
      </c>
      <c r="AA46" s="9">
        <v>1.6999999999999999E-3</v>
      </c>
      <c r="AB46" s="9">
        <v>1.6000000000000001E-3</v>
      </c>
      <c r="AC46" s="9">
        <v>1.2999999999999999E-3</v>
      </c>
    </row>
    <row r="47" spans="1:46" ht="15" thickBot="1" x14ac:dyDescent="0.35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>
        <v>3.0000000000000001E-3</v>
      </c>
      <c r="T47" s="9">
        <v>2.3E-3</v>
      </c>
      <c r="U47" s="9">
        <v>3.0999999999999999E-3</v>
      </c>
      <c r="V47" s="9">
        <v>2.8E-3</v>
      </c>
      <c r="W47" s="9">
        <v>1.9E-3</v>
      </c>
      <c r="X47" s="9">
        <v>8.9999999999999998E-4</v>
      </c>
      <c r="Y47" s="9">
        <v>3.5000000000000001E-3</v>
      </c>
      <c r="Z47" s="9">
        <v>1.5E-3</v>
      </c>
      <c r="AA47" s="9">
        <v>1.1000000000000001E-3</v>
      </c>
      <c r="AB47" s="9">
        <v>1.1999999999999999E-3</v>
      </c>
      <c r="AC47" s="9">
        <v>1.4E-3</v>
      </c>
    </row>
    <row r="48" spans="1:46" ht="15" thickBot="1" x14ac:dyDescent="0.35">
      <c r="B48" s="22" t="s">
        <v>82</v>
      </c>
      <c r="C48" s="22"/>
      <c r="D48" s="24">
        <f t="shared" ref="D48:AC48" si="24">AVERAGE(D37:D47)</f>
        <v>2.5545454545454547E-3</v>
      </c>
      <c r="E48" s="24">
        <f t="shared" si="24"/>
        <v>5.227272727272728E-3</v>
      </c>
      <c r="F48" s="24">
        <f t="shared" si="24"/>
        <v>2.3272727272727269E-3</v>
      </c>
      <c r="G48" s="24">
        <f t="shared" si="24"/>
        <v>7.8636363636363643E-3</v>
      </c>
      <c r="H48" s="24">
        <f t="shared" si="24"/>
        <v>5.072727272727273E-3</v>
      </c>
      <c r="I48" s="24">
        <f t="shared" si="24"/>
        <v>5.3818181818181821E-3</v>
      </c>
      <c r="J48" s="24">
        <f t="shared" si="24"/>
        <v>3.1272727272727272E-3</v>
      </c>
      <c r="K48" s="24">
        <f t="shared" si="24"/>
        <v>3.5181818181818174E-3</v>
      </c>
      <c r="L48" s="24">
        <f t="shared" si="24"/>
        <v>2.463636363636364E-3</v>
      </c>
      <c r="M48" s="24">
        <f t="shared" si="24"/>
        <v>3.0818181818181817E-3</v>
      </c>
      <c r="N48" s="24">
        <f t="shared" si="24"/>
        <v>2.7090909090909093E-3</v>
      </c>
      <c r="O48" s="24">
        <f t="shared" si="24"/>
        <v>6.227272727272728E-3</v>
      </c>
      <c r="P48" s="24">
        <f t="shared" si="24"/>
        <v>2.5999999999999999E-3</v>
      </c>
      <c r="Q48" s="24">
        <f t="shared" si="24"/>
        <v>3.8909090909090911E-3</v>
      </c>
      <c r="R48" s="24">
        <f t="shared" si="24"/>
        <v>1.7636363636363633E-3</v>
      </c>
      <c r="S48" s="24">
        <f t="shared" si="24"/>
        <v>2.3545454545454542E-3</v>
      </c>
      <c r="T48" s="24">
        <f t="shared" si="24"/>
        <v>3.672727272727272E-3</v>
      </c>
      <c r="U48" s="24">
        <f t="shared" si="24"/>
        <v>3.9636363636363628E-3</v>
      </c>
      <c r="V48" s="24">
        <f t="shared" si="24"/>
        <v>2.6272727272727272E-3</v>
      </c>
      <c r="W48" s="24">
        <f t="shared" si="24"/>
        <v>1.5090909090909091E-3</v>
      </c>
      <c r="X48" s="24">
        <f t="shared" si="24"/>
        <v>8.5454545454545462E-4</v>
      </c>
      <c r="Y48" s="24">
        <f t="shared" si="24"/>
        <v>2.9454545454545454E-3</v>
      </c>
      <c r="Z48" s="24">
        <f t="shared" si="24"/>
        <v>1.481818181818182E-3</v>
      </c>
      <c r="AA48" s="24">
        <f t="shared" si="24"/>
        <v>1.1999999999999999E-3</v>
      </c>
      <c r="AB48" s="24">
        <f t="shared" si="24"/>
        <v>9.1666666666666665E-4</v>
      </c>
      <c r="AC48" s="24">
        <f t="shared" si="24"/>
        <v>9.8181818181818179E-4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T49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8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45732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114</v>
      </c>
      <c r="C6" s="7">
        <v>4</v>
      </c>
      <c r="D6" s="7">
        <v>7</v>
      </c>
      <c r="E6" s="7">
        <v>1197</v>
      </c>
      <c r="F6" s="7">
        <v>1063</v>
      </c>
      <c r="G6" s="7">
        <v>5</v>
      </c>
      <c r="H6" s="9">
        <f t="shared" ref="H6:H12" si="0">IFERROR(G6/F6,0)</f>
        <v>4.7036688617121351E-3</v>
      </c>
      <c r="I6" s="9">
        <f>IFERROR((1197-F6)/1197,0)</f>
        <v>0.11194653299916457</v>
      </c>
      <c r="J6" s="7">
        <v>1800</v>
      </c>
      <c r="K6" s="11">
        <f t="shared" ref="K6:K12" si="1">IFERROR(J6/D6/F6*100,0)</f>
        <v>24.190297003090986</v>
      </c>
      <c r="L6" s="11">
        <f>K6-0</f>
        <v>24.190297003090986</v>
      </c>
      <c r="M6" s="11">
        <v>0</v>
      </c>
      <c r="N6" s="11">
        <f t="shared" ref="N6:N12" si="2">K6-M6</f>
        <v>24.190297003090986</v>
      </c>
      <c r="O6" s="11">
        <f>IFERROR(101840/1197,0)</f>
        <v>85.079365079365076</v>
      </c>
      <c r="P6" s="11">
        <v>0</v>
      </c>
      <c r="Q6" s="11">
        <f t="shared" ref="Q6:Q11" si="3">IFERROR(O6-P6,0)</f>
        <v>85.079365079365076</v>
      </c>
      <c r="R6" s="7">
        <v>902</v>
      </c>
      <c r="S6" s="11">
        <f t="shared" ref="S6:S11" si="4">IFERROR(R6/D6/F6*1000,0)</f>
        <v>121.22026609326704</v>
      </c>
      <c r="T6" s="13">
        <f t="shared" ref="T6:T12" si="5">IFERROR(J6/R6,0)</f>
        <v>1.9955654101995566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501.11111111111109</v>
      </c>
      <c r="Z6" s="11">
        <f t="shared" ref="Z6:Z12" si="9">IFERROR(Y6*X6/1000,0)</f>
        <v>148.76986666666667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12</v>
      </c>
      <c r="AF6" s="11">
        <v>35</v>
      </c>
      <c r="AG6" s="7">
        <f t="shared" ref="AG6:AG11" si="10">IF(M6=0,0,IFERROR(N6/100*7*F6,0))</f>
        <v>0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74</v>
      </c>
      <c r="C7" s="7">
        <v>4</v>
      </c>
      <c r="D7" s="7">
        <v>7</v>
      </c>
      <c r="E7" s="7">
        <v>14440</v>
      </c>
      <c r="F7" s="7">
        <v>11631</v>
      </c>
      <c r="G7" s="7">
        <v>40</v>
      </c>
      <c r="H7" s="9">
        <f t="shared" si="0"/>
        <v>3.4390852033359125E-3</v>
      </c>
      <c r="I7" s="9">
        <f>IFERROR((14440-F7)/14440,0)</f>
        <v>0.19452908587257617</v>
      </c>
      <c r="J7" s="7">
        <v>11520</v>
      </c>
      <c r="K7" s="11">
        <f t="shared" si="1"/>
        <v>14.149379122296327</v>
      </c>
      <c r="L7" s="11">
        <f>K7-0</f>
        <v>14.149379122296327</v>
      </c>
      <c r="M7" s="11">
        <v>0</v>
      </c>
      <c r="N7" s="11">
        <f t="shared" si="2"/>
        <v>14.149379122296327</v>
      </c>
      <c r="O7" s="11">
        <f>IFERROR(4104640/14440,0)</f>
        <v>284.25484764542938</v>
      </c>
      <c r="P7" s="11">
        <v>0</v>
      </c>
      <c r="Q7" s="11">
        <f t="shared" si="3"/>
        <v>284.25484764542938</v>
      </c>
      <c r="R7" s="7">
        <v>9980</v>
      </c>
      <c r="S7" s="11">
        <f t="shared" si="4"/>
        <v>122.57882260461575</v>
      </c>
      <c r="T7" s="13">
        <f t="shared" si="5"/>
        <v>1.154308617234469</v>
      </c>
      <c r="U7" s="7">
        <v>0</v>
      </c>
      <c r="V7" s="11">
        <f t="shared" si="6"/>
        <v>0</v>
      </c>
      <c r="W7" s="11">
        <f t="shared" si="7"/>
        <v>0</v>
      </c>
      <c r="X7" s="11">
        <v>319.84285714290002</v>
      </c>
      <c r="Y7" s="11">
        <f t="shared" si="8"/>
        <v>866.31944444444446</v>
      </c>
      <c r="Z7" s="11">
        <f t="shared" si="9"/>
        <v>277.08608630956098</v>
      </c>
      <c r="AA7" s="7">
        <v>0</v>
      </c>
      <c r="AB7" s="15">
        <f>IFERROR(AA7/1970,0)</f>
        <v>0</v>
      </c>
      <c r="AC7" s="11">
        <v>0</v>
      </c>
      <c r="AD7" s="15">
        <f>IFERROR(AC7/64.4,0)</f>
        <v>0</v>
      </c>
      <c r="AE7" s="11">
        <v>0</v>
      </c>
      <c r="AF7" s="11">
        <v>35</v>
      </c>
      <c r="AG7" s="7">
        <f t="shared" si="10"/>
        <v>0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74</v>
      </c>
      <c r="C8" s="7">
        <v>4</v>
      </c>
      <c r="D8" s="7">
        <v>7</v>
      </c>
      <c r="E8" s="7">
        <v>16063</v>
      </c>
      <c r="F8" s="7">
        <v>13501</v>
      </c>
      <c r="G8" s="7">
        <v>43</v>
      </c>
      <c r="H8" s="9">
        <f t="shared" si="0"/>
        <v>3.1849492630175542E-3</v>
      </c>
      <c r="I8" s="9">
        <f>IFERROR((16063-F8)/16063,0)</f>
        <v>0.15949698063873499</v>
      </c>
      <c r="J8" s="7">
        <v>9000</v>
      </c>
      <c r="K8" s="11">
        <f t="shared" si="1"/>
        <v>9.5231041086903634</v>
      </c>
      <c r="L8" s="11">
        <f>K8-0</f>
        <v>9.5231041086903634</v>
      </c>
      <c r="M8" s="11">
        <v>0</v>
      </c>
      <c r="N8" s="11">
        <f t="shared" si="2"/>
        <v>9.5231041086903634</v>
      </c>
      <c r="O8" s="11">
        <f>IFERROR(4252650/16063,0)</f>
        <v>264.74817904501026</v>
      </c>
      <c r="P8" s="11">
        <v>0</v>
      </c>
      <c r="Q8" s="11">
        <f t="shared" si="3"/>
        <v>264.74817904501026</v>
      </c>
      <c r="R8" s="7">
        <v>10540</v>
      </c>
      <c r="S8" s="11">
        <f t="shared" si="4"/>
        <v>111.52613033955157</v>
      </c>
      <c r="T8" s="13">
        <f t="shared" si="5"/>
        <v>0.85388994307400379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1171.1111111111109</v>
      </c>
      <c r="Z8" s="11">
        <f t="shared" si="9"/>
        <v>433.31111111111102</v>
      </c>
      <c r="AA8" s="7">
        <v>1649</v>
      </c>
      <c r="AB8" s="15">
        <f>IFERROR(AA8/1580,0)</f>
        <v>1.0436708860759494</v>
      </c>
      <c r="AC8" s="11">
        <v>0</v>
      </c>
      <c r="AD8" s="15">
        <f>IFERROR(AC8/63.4,0)</f>
        <v>0</v>
      </c>
      <c r="AE8" s="11">
        <v>0</v>
      </c>
      <c r="AF8" s="11">
        <v>35</v>
      </c>
      <c r="AG8" s="7">
        <f t="shared" si="10"/>
        <v>0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35</v>
      </c>
      <c r="C9" s="7"/>
      <c r="D9" s="7">
        <v>7</v>
      </c>
      <c r="E9" s="7">
        <v>4686</v>
      </c>
      <c r="F9" s="7">
        <v>4285</v>
      </c>
      <c r="G9" s="7">
        <v>4</v>
      </c>
      <c r="H9" s="9">
        <f t="shared" si="0"/>
        <v>9.3348891481913657E-4</v>
      </c>
      <c r="I9" s="9">
        <f>IFERROR((4686-F9)/4686,0)</f>
        <v>8.5574050362782761E-2</v>
      </c>
      <c r="J9" s="7">
        <v>30120</v>
      </c>
      <c r="K9" s="11">
        <f t="shared" si="1"/>
        <v>100.41673612268711</v>
      </c>
      <c r="L9" s="11">
        <f>K9-100.2232</f>
        <v>0.19353612268710663</v>
      </c>
      <c r="M9" s="11">
        <v>94.5</v>
      </c>
      <c r="N9" s="11">
        <f t="shared" si="2"/>
        <v>5.9167361226871122</v>
      </c>
      <c r="O9" s="11">
        <f>IFERROR(432420/4686,0)</f>
        <v>92.27912932138284</v>
      </c>
      <c r="P9" s="11">
        <v>104</v>
      </c>
      <c r="Q9" s="11">
        <f t="shared" si="3"/>
        <v>-11.72087067861716</v>
      </c>
      <c r="R9" s="7">
        <v>4992</v>
      </c>
      <c r="S9" s="11">
        <f t="shared" si="4"/>
        <v>166.42773795632604</v>
      </c>
      <c r="T9" s="13">
        <f t="shared" si="5"/>
        <v>6.0336538461538458</v>
      </c>
      <c r="U9" s="7">
        <v>5040</v>
      </c>
      <c r="V9" s="11">
        <f t="shared" si="6"/>
        <v>168.02800466744458</v>
      </c>
      <c r="W9" s="11">
        <f t="shared" si="7"/>
        <v>1.0096153846153848</v>
      </c>
      <c r="X9" s="11">
        <v>362.76</v>
      </c>
      <c r="Y9" s="11">
        <f t="shared" si="8"/>
        <v>165.73705179282868</v>
      </c>
      <c r="Z9" s="11">
        <f t="shared" si="9"/>
        <v>60.122772908366535</v>
      </c>
      <c r="AA9" s="7">
        <v>1890</v>
      </c>
      <c r="AB9" s="15">
        <f>IFERROR(AA9/1910,0)</f>
        <v>0.98952879581151831</v>
      </c>
      <c r="AC9" s="11">
        <v>0</v>
      </c>
      <c r="AD9" s="15">
        <f>IFERROR(AC9/61.8,0)</f>
        <v>0</v>
      </c>
      <c r="AE9" s="11">
        <v>17</v>
      </c>
      <c r="AF9" s="11">
        <v>32</v>
      </c>
      <c r="AG9" s="7">
        <f t="shared" si="10"/>
        <v>1774.7249999999992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74</v>
      </c>
      <c r="C10" s="7">
        <v>6</v>
      </c>
      <c r="D10" s="7">
        <v>7</v>
      </c>
      <c r="E10" s="7">
        <v>5000</v>
      </c>
      <c r="F10" s="7">
        <v>4250</v>
      </c>
      <c r="G10" s="7">
        <v>18</v>
      </c>
      <c r="H10" s="9">
        <f t="shared" si="0"/>
        <v>4.2352941176470585E-3</v>
      </c>
      <c r="I10" s="9">
        <f>IFERROR((5000-F10)/5000,0)</f>
        <v>0.15</v>
      </c>
      <c r="J10" s="7">
        <v>19810</v>
      </c>
      <c r="K10" s="11">
        <f t="shared" si="1"/>
        <v>66.588235294117652</v>
      </c>
      <c r="L10" s="11">
        <f>K10-46.8938</f>
        <v>19.694435294117653</v>
      </c>
      <c r="M10" s="11">
        <v>56</v>
      </c>
      <c r="N10" s="11">
        <f t="shared" si="2"/>
        <v>10.588235294117652</v>
      </c>
      <c r="O10" s="11">
        <f>IFERROR(1447220/5000,0)</f>
        <v>289.44400000000002</v>
      </c>
      <c r="P10" s="11">
        <v>0</v>
      </c>
      <c r="Q10" s="11">
        <f t="shared" si="3"/>
        <v>289.44400000000002</v>
      </c>
      <c r="R10" s="7">
        <v>4677</v>
      </c>
      <c r="S10" s="11">
        <f t="shared" si="4"/>
        <v>157.21008403361344</v>
      </c>
      <c r="T10" s="13">
        <f t="shared" si="5"/>
        <v>4.235621124652555</v>
      </c>
      <c r="U10" s="7">
        <v>5040</v>
      </c>
      <c r="V10" s="11">
        <f t="shared" si="6"/>
        <v>169.41176470588235</v>
      </c>
      <c r="W10" s="11">
        <f t="shared" si="7"/>
        <v>1.077613855035279</v>
      </c>
      <c r="X10" s="11">
        <v>374.81</v>
      </c>
      <c r="Y10" s="11">
        <f t="shared" si="8"/>
        <v>236.09288238263505</v>
      </c>
      <c r="Z10" s="11">
        <f t="shared" si="9"/>
        <v>88.489973245835444</v>
      </c>
      <c r="AA10" s="7">
        <v>2230</v>
      </c>
      <c r="AB10" s="15">
        <f>IFERROR(AA10/1970,0)</f>
        <v>1.131979695431472</v>
      </c>
      <c r="AC10" s="11">
        <v>0</v>
      </c>
      <c r="AD10" s="15">
        <f>IFERROR(AC10/64.4,0)</f>
        <v>0</v>
      </c>
      <c r="AE10" s="11">
        <v>17</v>
      </c>
      <c r="AF10" s="11">
        <v>32</v>
      </c>
      <c r="AG10" s="7">
        <f t="shared" si="10"/>
        <v>3150.0000000000014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35</v>
      </c>
      <c r="C11" s="7"/>
      <c r="D11" s="7">
        <v>7</v>
      </c>
      <c r="E11" s="7">
        <v>4819</v>
      </c>
      <c r="F11" s="7">
        <v>4638</v>
      </c>
      <c r="G11" s="7">
        <v>12</v>
      </c>
      <c r="H11" s="9">
        <f t="shared" si="0"/>
        <v>2.5873221216041399E-3</v>
      </c>
      <c r="I11" s="9">
        <f>IFERROR((4819-F11)/4819,0)</f>
        <v>3.7559659680431623E-2</v>
      </c>
      <c r="J11" s="7">
        <v>30990</v>
      </c>
      <c r="K11" s="11">
        <f t="shared" si="1"/>
        <v>95.45370541489558</v>
      </c>
      <c r="L11" s="11">
        <f>K11-96.4977</f>
        <v>-1.0439945851044143</v>
      </c>
      <c r="M11" s="11">
        <v>94.5</v>
      </c>
      <c r="N11" s="11">
        <f t="shared" si="2"/>
        <v>0.95370541489558036</v>
      </c>
      <c r="O11" s="11">
        <f>IFERROR(461436/4819,0)</f>
        <v>95.753475824859933</v>
      </c>
      <c r="P11" s="11">
        <v>104</v>
      </c>
      <c r="Q11" s="11">
        <f t="shared" si="3"/>
        <v>-8.2465241751400669</v>
      </c>
      <c r="R11" s="7">
        <v>4868</v>
      </c>
      <c r="S11" s="11">
        <f t="shared" si="4"/>
        <v>149.94147723772562</v>
      </c>
      <c r="T11" s="13">
        <f t="shared" si="5"/>
        <v>6.366064092029581</v>
      </c>
      <c r="U11" s="7">
        <v>5040</v>
      </c>
      <c r="V11" s="11">
        <f t="shared" si="6"/>
        <v>155.23932729624838</v>
      </c>
      <c r="W11" s="11">
        <f t="shared" si="7"/>
        <v>1.0353327855382086</v>
      </c>
      <c r="X11" s="11">
        <v>362.76</v>
      </c>
      <c r="Y11" s="11">
        <f t="shared" si="8"/>
        <v>157.08292997741208</v>
      </c>
      <c r="Z11" s="11">
        <f t="shared" si="9"/>
        <v>56.983403678606003</v>
      </c>
      <c r="AA11" s="7">
        <v>1870</v>
      </c>
      <c r="AB11" s="15">
        <f>IFERROR(AA11/1910,0)</f>
        <v>0.97905759162303663</v>
      </c>
      <c r="AC11" s="11">
        <v>0</v>
      </c>
      <c r="AD11" s="15">
        <f>IFERROR(AC11/61.8,0)</f>
        <v>0</v>
      </c>
      <c r="AE11" s="11">
        <v>17</v>
      </c>
      <c r="AF11" s="11">
        <v>32</v>
      </c>
      <c r="AG11" s="7">
        <f t="shared" si="10"/>
        <v>309.62999999999909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39368</v>
      </c>
      <c r="G12" s="17">
        <f>SUM(G6:G11)</f>
        <v>122</v>
      </c>
      <c r="H12" s="18">
        <f t="shared" si="0"/>
        <v>3.0989636252794148E-3</v>
      </c>
      <c r="I12" s="18"/>
      <c r="J12" s="17">
        <f>SUM(J6:J11)</f>
        <v>103240</v>
      </c>
      <c r="K12" s="19">
        <f t="shared" si="1"/>
        <v>37.463349493424687</v>
      </c>
      <c r="L12" s="19"/>
      <c r="M12" s="19">
        <f>IFERROR(SUMPRODUCT($F6:$F11,M6:M11)/$F12, 0)</f>
        <v>27.464527027027028</v>
      </c>
      <c r="N12" s="19">
        <f t="shared" si="2"/>
        <v>9.9988224663976588</v>
      </c>
      <c r="O12" s="19">
        <f>IFERROR(SUMPRODUCT($E6:$E11,O6:O11)/$E12, 0)</f>
        <v>233.74539551996537</v>
      </c>
      <c r="P12" s="19">
        <f>IFERROR(SUMPRODUCT($E6:$E11,P6:P11)/$E12, 0)</f>
        <v>21.39422140460989</v>
      </c>
      <c r="Q12" s="19">
        <f>IFERROR(SUMPRODUCT($E6:$E11,Q6:Q11)/$E12, 0)</f>
        <v>212.35117411535549</v>
      </c>
      <c r="R12" s="17">
        <f>SUM(R6:R11)</f>
        <v>35959</v>
      </c>
      <c r="S12" s="19">
        <f>IFERROR(R12/D12/$F12*1000,0)</f>
        <v>130.48668969721604</v>
      </c>
      <c r="T12" s="20">
        <f t="shared" si="5"/>
        <v>2.871047581968353</v>
      </c>
      <c r="U12" s="17">
        <f>SUM(U6:U11)</f>
        <v>15120</v>
      </c>
      <c r="V12" s="19">
        <f>IFERROR(U12/D12/$F12*1000,0)</f>
        <v>54.866896972160127</v>
      </c>
      <c r="W12" s="19">
        <f t="shared" si="7"/>
        <v>0.42047887872299</v>
      </c>
      <c r="X12" s="19">
        <f>IFERROR(SUMPRODUCT(R6:R11,X6:X11)/R12,0)</f>
        <v>352.88571551728751</v>
      </c>
      <c r="Y12" s="19">
        <f>IFERROR(($F12*S12)/($F12*K12)*100,0)</f>
        <v>348.3049205734211</v>
      </c>
      <c r="Z12" s="19">
        <f t="shared" si="9"/>
        <v>122.91183111474371</v>
      </c>
      <c r="AA12" s="17"/>
      <c r="AB12" s="21">
        <f>IFERROR(SUMPRODUCT($F6:$F11,AB6:AB11)/$F12,0)</f>
        <v>0.7031729917317403</v>
      </c>
      <c r="AC12" s="19"/>
      <c r="AD12" s="21">
        <f>AVERAGE(AD6:AD11)</f>
        <v>0</v>
      </c>
      <c r="AE12" s="19"/>
      <c r="AF12" s="19"/>
      <c r="AG12" s="17">
        <f>SUM(AG6:AG11)</f>
        <v>5234.3549999999996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74</v>
      </c>
      <c r="C14" s="6">
        <v>11</v>
      </c>
      <c r="D14" s="6">
        <v>7</v>
      </c>
      <c r="E14" s="6">
        <v>21388</v>
      </c>
      <c r="F14" s="6">
        <v>16886</v>
      </c>
      <c r="G14" s="6">
        <v>32</v>
      </c>
      <c r="H14" s="8">
        <f t="shared" ref="H14:H31" si="12">IFERROR(G14/F14,0)</f>
        <v>1.8950609972758499E-3</v>
      </c>
      <c r="I14" s="8">
        <f>IFERROR((21388-F14)/21388,0)</f>
        <v>0.21049186459697025</v>
      </c>
      <c r="J14" s="6">
        <v>86940</v>
      </c>
      <c r="K14" s="10">
        <f t="shared" ref="K14:K31" si="13">IFERROR(J14/D14/F14*100,0)</f>
        <v>73.552054956768913</v>
      </c>
      <c r="L14" s="10">
        <f>K14-80.2526</f>
        <v>-6.700545043231088</v>
      </c>
      <c r="M14" s="10">
        <v>86</v>
      </c>
      <c r="N14" s="10">
        <f t="shared" ref="N14:N31" si="14">K14-M14</f>
        <v>-12.447945043231087</v>
      </c>
      <c r="O14" s="10">
        <f>IFERROR(4616250/21388,0)</f>
        <v>215.83364503459885</v>
      </c>
      <c r="P14" s="10">
        <v>0</v>
      </c>
      <c r="Q14" s="10">
        <f t="shared" ref="Q14:Q30" si="15">IFERROR(O14-P14,0)</f>
        <v>215.83364503459885</v>
      </c>
      <c r="R14" s="6">
        <v>10250</v>
      </c>
      <c r="S14" s="10">
        <f t="shared" ref="S14:S30" si="16">IFERROR(R14/D14/F14*1000,0)</f>
        <v>86.715960812845793</v>
      </c>
      <c r="T14" s="12">
        <f t="shared" ref="T14:T31" si="17">IFERROR(J14/R14,0)</f>
        <v>8.4819512195121956</v>
      </c>
      <c r="U14" s="6">
        <v>21220</v>
      </c>
      <c r="V14" s="10">
        <f t="shared" ref="V14:V30" si="18">IFERROR(U14/D14/F14*1000,0)</f>
        <v>179.52318911693544</v>
      </c>
      <c r="W14" s="10">
        <f t="shared" ref="W14:W31" si="19">IFERROR(V14/S14,0)</f>
        <v>2.0702439024390249</v>
      </c>
      <c r="X14" s="10">
        <v>304.32</v>
      </c>
      <c r="Y14" s="10">
        <f t="shared" ref="Y14:Y30" si="20">IFERROR((F14*S14)/(F14*K14)*100,0)</f>
        <v>117.89740050609616</v>
      </c>
      <c r="Z14" s="10">
        <f t="shared" ref="Z14:Z31" si="21">IFERROR(Y14*X14/1000,0)</f>
        <v>35.878536922015186</v>
      </c>
      <c r="AA14" s="6">
        <v>2160</v>
      </c>
      <c r="AB14" s="14">
        <f>IFERROR(AA14/1580,0)</f>
        <v>1.3670886075949367</v>
      </c>
      <c r="AC14" s="10">
        <v>0</v>
      </c>
      <c r="AD14" s="14">
        <f>IFERROR(AC14/63.4,0)</f>
        <v>0</v>
      </c>
      <c r="AE14" s="10">
        <v>22</v>
      </c>
      <c r="AF14" s="10">
        <v>25</v>
      </c>
      <c r="AG14" s="6">
        <f t="shared" ref="AG14:AG30" si="22">IF(M14=0,0,IFERROR(N14/100*7*F14,0))</f>
        <v>-14713.720000000008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39</v>
      </c>
      <c r="C15" s="7"/>
      <c r="D15" s="7">
        <v>7</v>
      </c>
      <c r="E15" s="7">
        <v>10225</v>
      </c>
      <c r="F15" s="7">
        <v>9315</v>
      </c>
      <c r="G15" s="7">
        <v>41</v>
      </c>
      <c r="H15" s="9">
        <f t="shared" si="12"/>
        <v>4.40150295222759E-3</v>
      </c>
      <c r="I15" s="9">
        <f>IFERROR((10225-F15)/10225,0)</f>
        <v>8.8997555012224935E-2</v>
      </c>
      <c r="J15" s="7">
        <v>54630</v>
      </c>
      <c r="K15" s="11">
        <f t="shared" si="13"/>
        <v>83.781918564527274</v>
      </c>
      <c r="L15" s="11">
        <f>K15-85.6135</f>
        <v>-1.831581435472728</v>
      </c>
      <c r="M15" s="11">
        <v>92.5</v>
      </c>
      <c r="N15" s="11">
        <f t="shared" si="14"/>
        <v>-8.7180814354727261</v>
      </c>
      <c r="O15" s="11">
        <f>IFERROR(846980/10225,0)</f>
        <v>82.834229828850852</v>
      </c>
      <c r="P15" s="11">
        <v>130</v>
      </c>
      <c r="Q15" s="11">
        <f t="shared" si="15"/>
        <v>-47.165770171149148</v>
      </c>
      <c r="R15" s="7">
        <v>8010</v>
      </c>
      <c r="S15" s="11">
        <f t="shared" si="16"/>
        <v>122.84334023464457</v>
      </c>
      <c r="T15" s="13">
        <f t="shared" si="17"/>
        <v>6.8202247191011232</v>
      </c>
      <c r="U15" s="7">
        <v>12870</v>
      </c>
      <c r="V15" s="11">
        <f t="shared" si="18"/>
        <v>197.37750172532785</v>
      </c>
      <c r="W15" s="11">
        <f t="shared" si="19"/>
        <v>1.6067415730337082</v>
      </c>
      <c r="X15" s="11">
        <v>302.58</v>
      </c>
      <c r="Y15" s="11">
        <f t="shared" si="20"/>
        <v>146.6227347611202</v>
      </c>
      <c r="Z15" s="11">
        <f t="shared" si="21"/>
        <v>44.365107084019748</v>
      </c>
      <c r="AA15" s="7">
        <v>0</v>
      </c>
      <c r="AB15" s="15">
        <f>IFERROR(AA15/1930,0)</f>
        <v>0</v>
      </c>
      <c r="AC15" s="11">
        <v>0</v>
      </c>
      <c r="AD15" s="15">
        <f>IFERROR(AC15/62.4,0)</f>
        <v>0</v>
      </c>
      <c r="AE15" s="11">
        <v>14</v>
      </c>
      <c r="AF15" s="11">
        <v>31</v>
      </c>
      <c r="AG15" s="7">
        <f t="shared" si="22"/>
        <v>-5684.6249999999909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63</v>
      </c>
      <c r="C16" s="7"/>
      <c r="D16" s="7">
        <v>7</v>
      </c>
      <c r="E16" s="7">
        <v>56050</v>
      </c>
      <c r="F16" s="7">
        <v>50798</v>
      </c>
      <c r="G16" s="7">
        <v>190</v>
      </c>
      <c r="H16" s="9">
        <f t="shared" si="12"/>
        <v>3.7403047364069453E-3</v>
      </c>
      <c r="I16" s="9">
        <f>IFERROR((56050-F16)/56050,0)</f>
        <v>9.3702051739518288E-2</v>
      </c>
      <c r="J16" s="7">
        <v>329040</v>
      </c>
      <c r="K16" s="11">
        <f t="shared" si="13"/>
        <v>92.534576726867755</v>
      </c>
      <c r="L16" s="11">
        <f>K16-94.8963</f>
        <v>-2.3617232731322417</v>
      </c>
      <c r="M16" s="11">
        <v>90.45</v>
      </c>
      <c r="N16" s="11">
        <f t="shared" si="14"/>
        <v>2.084576726867752</v>
      </c>
      <c r="O16" s="11">
        <f>IFERROR(15167641/56050,0)</f>
        <v>270.60911685994648</v>
      </c>
      <c r="P16" s="11">
        <v>275</v>
      </c>
      <c r="Q16" s="11">
        <f t="shared" si="15"/>
        <v>-4.3908831400535178</v>
      </c>
      <c r="R16" s="7">
        <v>40630</v>
      </c>
      <c r="S16" s="11">
        <f t="shared" si="16"/>
        <v>114.26209130843172</v>
      </c>
      <c r="T16" s="13">
        <f t="shared" si="17"/>
        <v>8.0984494216096472</v>
      </c>
      <c r="U16" s="7">
        <v>64500</v>
      </c>
      <c r="V16" s="11">
        <f t="shared" si="18"/>
        <v>181.39071841973532</v>
      </c>
      <c r="W16" s="11">
        <f t="shared" si="19"/>
        <v>1.5874969234555747</v>
      </c>
      <c r="X16" s="11">
        <v>301.63</v>
      </c>
      <c r="Y16" s="11">
        <f t="shared" si="20"/>
        <v>123.48042791150013</v>
      </c>
      <c r="Z16" s="11">
        <f t="shared" si="21"/>
        <v>37.245401470945787</v>
      </c>
      <c r="AA16" s="7">
        <v>1788</v>
      </c>
      <c r="AB16" s="15">
        <f>IFERROR(AA16/1725,0)</f>
        <v>1.0365217391304349</v>
      </c>
      <c r="AC16" s="11">
        <v>0</v>
      </c>
      <c r="AD16" s="15">
        <f>IFERROR(AC16/63.3,0)</f>
        <v>0</v>
      </c>
      <c r="AE16" s="11">
        <v>20</v>
      </c>
      <c r="AF16" s="11">
        <v>26</v>
      </c>
      <c r="AG16" s="7">
        <f t="shared" si="22"/>
        <v>7412.4629999999643</v>
      </c>
      <c r="AH16" s="7">
        <v>45</v>
      </c>
      <c r="AI16" s="7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IFERROR(900/F16,0)</f>
        <v>1.7717232961927634E-2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137</v>
      </c>
      <c r="C17" s="7">
        <v>21</v>
      </c>
      <c r="D17" s="7">
        <v>7</v>
      </c>
      <c r="E17" s="7">
        <v>17433</v>
      </c>
      <c r="F17" s="7">
        <v>15847</v>
      </c>
      <c r="G17" s="7">
        <v>51</v>
      </c>
      <c r="H17" s="9">
        <f t="shared" si="12"/>
        <v>3.2182747523190509E-3</v>
      </c>
      <c r="I17" s="9">
        <f>IFERROR((17433-F17)/17433,0)</f>
        <v>9.0976882923191643E-2</v>
      </c>
      <c r="J17" s="7">
        <v>65620</v>
      </c>
      <c r="K17" s="11">
        <f t="shared" si="13"/>
        <v>59.154954971197796</v>
      </c>
      <c r="L17" s="11">
        <f>K17-60.6455</f>
        <v>-1.4905450288022024</v>
      </c>
      <c r="M17" s="11">
        <v>77</v>
      </c>
      <c r="N17" s="11">
        <f t="shared" si="14"/>
        <v>-17.845045028802204</v>
      </c>
      <c r="O17" s="11">
        <f>IFERROR(1500904/17433,0)</f>
        <v>86.095565880800777</v>
      </c>
      <c r="P17" s="11">
        <v>0</v>
      </c>
      <c r="Q17" s="11">
        <f t="shared" si="15"/>
        <v>86.095565880800777</v>
      </c>
      <c r="R17" s="7">
        <v>15860</v>
      </c>
      <c r="S17" s="11">
        <f t="shared" si="16"/>
        <v>142.97433493495839</v>
      </c>
      <c r="T17" s="13">
        <f t="shared" si="17"/>
        <v>4.1374527112232027</v>
      </c>
      <c r="U17" s="7">
        <v>26360</v>
      </c>
      <c r="V17" s="11">
        <f t="shared" si="18"/>
        <v>237.62947470904814</v>
      </c>
      <c r="W17" s="11">
        <f t="shared" si="19"/>
        <v>1.6620428751576293</v>
      </c>
      <c r="X17" s="11">
        <v>292.23857142859998</v>
      </c>
      <c r="Y17" s="11">
        <f t="shared" si="20"/>
        <v>241.69460530326114</v>
      </c>
      <c r="Z17" s="11">
        <f t="shared" si="21"/>
        <v>70.632486175824369</v>
      </c>
      <c r="AA17" s="7">
        <v>0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17</v>
      </c>
      <c r="AF17" s="11">
        <v>31</v>
      </c>
      <c r="AG17" s="7">
        <f t="shared" si="22"/>
        <v>-19795.329999999998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56</v>
      </c>
      <c r="C18" s="7"/>
      <c r="D18" s="7">
        <v>7</v>
      </c>
      <c r="E18" s="7">
        <v>51536</v>
      </c>
      <c r="F18" s="7">
        <v>48544</v>
      </c>
      <c r="G18" s="7">
        <v>125</v>
      </c>
      <c r="H18" s="9">
        <f t="shared" si="12"/>
        <v>2.5749835201054712E-3</v>
      </c>
      <c r="I18" s="9">
        <f>IFERROR((51536-F18)/51536,0)</f>
        <v>5.8056504191244952E-2</v>
      </c>
      <c r="J18" s="7">
        <v>316490</v>
      </c>
      <c r="K18" s="11">
        <f t="shared" si="13"/>
        <v>93.137889631792063</v>
      </c>
      <c r="L18" s="11">
        <f>K18-94.8213</f>
        <v>-1.6834103682079302</v>
      </c>
      <c r="M18" s="11">
        <v>92.5</v>
      </c>
      <c r="N18" s="11">
        <f t="shared" si="14"/>
        <v>0.63788963179206348</v>
      </c>
      <c r="O18" s="11">
        <f>IFERROR(11555202/51536,0)</f>
        <v>224.21612076994722</v>
      </c>
      <c r="P18" s="11">
        <v>232</v>
      </c>
      <c r="Q18" s="11">
        <f t="shared" si="15"/>
        <v>-7.7838792300527757</v>
      </c>
      <c r="R18" s="7">
        <v>43130</v>
      </c>
      <c r="S18" s="11">
        <f t="shared" si="16"/>
        <v>126.92461625388454</v>
      </c>
      <c r="T18" s="13">
        <f t="shared" si="17"/>
        <v>7.3380477625782516</v>
      </c>
      <c r="U18" s="7">
        <v>69920</v>
      </c>
      <c r="V18" s="11">
        <f t="shared" si="18"/>
        <v>205.76325454374236</v>
      </c>
      <c r="W18" s="11">
        <f t="shared" si="19"/>
        <v>1.6211453744493394</v>
      </c>
      <c r="X18" s="11">
        <v>287.37</v>
      </c>
      <c r="Y18" s="11">
        <f t="shared" si="20"/>
        <v>136.27602767859966</v>
      </c>
      <c r="Z18" s="11">
        <f t="shared" si="21"/>
        <v>39.16164207399919</v>
      </c>
      <c r="AA18" s="7">
        <v>1685</v>
      </c>
      <c r="AB18" s="15">
        <f>IFERROR(AA18/1725,0)</f>
        <v>0.97681159420289854</v>
      </c>
      <c r="AC18" s="11">
        <v>0</v>
      </c>
      <c r="AD18" s="15">
        <f>IFERROR(AC18/63,0)</f>
        <v>0</v>
      </c>
      <c r="AE18" s="11">
        <v>22</v>
      </c>
      <c r="AF18" s="11">
        <v>27</v>
      </c>
      <c r="AG18" s="7">
        <f t="shared" si="22"/>
        <v>2167.5999999999749</v>
      </c>
      <c r="AH18" s="7">
        <v>21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IFERROR(150/F18,0)</f>
        <v>3.0899802241265654E-3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104</v>
      </c>
      <c r="C19" s="7">
        <v>34</v>
      </c>
      <c r="D19" s="7">
        <v>7</v>
      </c>
      <c r="E19" s="7">
        <v>51311</v>
      </c>
      <c r="F19" s="7">
        <v>39380</v>
      </c>
      <c r="G19" s="7">
        <v>133</v>
      </c>
      <c r="H19" s="9">
        <f t="shared" si="12"/>
        <v>3.377348908075165E-3</v>
      </c>
      <c r="I19" s="9">
        <f>IFERROR((51311-F19)/51311,0)</f>
        <v>0.23252324063066399</v>
      </c>
      <c r="J19" s="7">
        <v>231180</v>
      </c>
      <c r="K19" s="11">
        <f t="shared" si="13"/>
        <v>83.86418051222519</v>
      </c>
      <c r="L19" s="11">
        <f>K19-84.4568</f>
        <v>-0.59261948777481166</v>
      </c>
      <c r="M19" s="11">
        <v>72</v>
      </c>
      <c r="N19" s="11">
        <f t="shared" si="14"/>
        <v>11.86418051222519</v>
      </c>
      <c r="O19" s="11">
        <f>IFERROR(22930409/51311,0)</f>
        <v>446.89070569663426</v>
      </c>
      <c r="P19" s="11">
        <v>0</v>
      </c>
      <c r="Q19" s="11">
        <f t="shared" si="15"/>
        <v>446.89070569663426</v>
      </c>
      <c r="R19" s="7">
        <v>32637</v>
      </c>
      <c r="S19" s="11">
        <f t="shared" si="16"/>
        <v>118.39584996009577</v>
      </c>
      <c r="T19" s="13">
        <f t="shared" si="17"/>
        <v>7.0833716334221899</v>
      </c>
      <c r="U19" s="7">
        <v>54770</v>
      </c>
      <c r="V19" s="11">
        <f t="shared" si="18"/>
        <v>198.68678807226294</v>
      </c>
      <c r="W19" s="11">
        <f t="shared" si="19"/>
        <v>1.6781566933235286</v>
      </c>
      <c r="X19" s="11">
        <v>297.11</v>
      </c>
      <c r="Y19" s="11">
        <f t="shared" si="20"/>
        <v>141.17570724111087</v>
      </c>
      <c r="Z19" s="11">
        <f t="shared" si="21"/>
        <v>41.944714378406452</v>
      </c>
      <c r="AA19" s="7">
        <v>1725</v>
      </c>
      <c r="AB19" s="15">
        <f>IFERROR(AA19/0,0)</f>
        <v>0</v>
      </c>
      <c r="AC19" s="11">
        <v>0</v>
      </c>
      <c r="AD19" s="15">
        <f>IFERROR(AC19/0,0)</f>
        <v>0</v>
      </c>
      <c r="AE19" s="11">
        <v>20</v>
      </c>
      <c r="AF19" s="11">
        <v>29</v>
      </c>
      <c r="AG19" s="7">
        <f t="shared" si="22"/>
        <v>32704.799999999959</v>
      </c>
      <c r="AH19" s="7">
        <v>30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IFERROR(200/F19,0)</f>
        <v>5.0787201625190452E-3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35</v>
      </c>
      <c r="C20" s="7"/>
      <c r="D20" s="7">
        <v>7</v>
      </c>
      <c r="E20" s="7">
        <v>52424</v>
      </c>
      <c r="F20" s="7">
        <v>51030</v>
      </c>
      <c r="G20" s="7">
        <v>79</v>
      </c>
      <c r="H20" s="9">
        <f t="shared" si="12"/>
        <v>1.5481089555163629E-3</v>
      </c>
      <c r="I20" s="9">
        <f>IFERROR((52424-F20)/52424,0)</f>
        <v>2.6590874408667784E-2</v>
      </c>
      <c r="J20" s="7">
        <v>337820</v>
      </c>
      <c r="K20" s="11">
        <f t="shared" si="13"/>
        <v>94.57182049774643</v>
      </c>
      <c r="L20" s="11">
        <f>K20-94.3921</f>
        <v>0.1797204977464304</v>
      </c>
      <c r="M20" s="11">
        <v>95.55</v>
      </c>
      <c r="N20" s="11">
        <f t="shared" si="14"/>
        <v>-0.97817950225356753</v>
      </c>
      <c r="O20" s="11">
        <f>IFERROR(4867520/52424,0)</f>
        <v>92.849076758736459</v>
      </c>
      <c r="P20" s="11">
        <v>99</v>
      </c>
      <c r="Q20" s="11">
        <f t="shared" si="15"/>
        <v>-6.1509232412635413</v>
      </c>
      <c r="R20" s="7">
        <v>39419</v>
      </c>
      <c r="S20" s="11">
        <f t="shared" si="16"/>
        <v>110.35245373869714</v>
      </c>
      <c r="T20" s="13">
        <f t="shared" si="17"/>
        <v>8.5699789441639815</v>
      </c>
      <c r="U20" s="7">
        <v>65861</v>
      </c>
      <c r="V20" s="11">
        <f t="shared" si="18"/>
        <v>184.37613728619021</v>
      </c>
      <c r="W20" s="11">
        <f t="shared" si="19"/>
        <v>1.6707932722798651</v>
      </c>
      <c r="X20" s="11">
        <v>327.99</v>
      </c>
      <c r="Y20" s="11">
        <f t="shared" si="20"/>
        <v>116.68640104197503</v>
      </c>
      <c r="Z20" s="11">
        <f t="shared" si="21"/>
        <v>38.27197267775739</v>
      </c>
      <c r="AA20" s="7">
        <v>1704</v>
      </c>
      <c r="AB20" s="15">
        <f>IFERROR(AA20/1695,0)</f>
        <v>1.0053097345132744</v>
      </c>
      <c r="AC20" s="11">
        <v>60.61</v>
      </c>
      <c r="AD20" s="15">
        <f>IFERROR(AC20/60.9,0)</f>
        <v>0.99523809523809526</v>
      </c>
      <c r="AE20" s="11">
        <v>23</v>
      </c>
      <c r="AF20" s="11">
        <v>26</v>
      </c>
      <c r="AG20" s="7">
        <f t="shared" si="22"/>
        <v>-3494.1549999999688</v>
      </c>
      <c r="AH20" s="7">
        <v>31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63</v>
      </c>
      <c r="B21" s="5">
        <v>25</v>
      </c>
      <c r="C21" s="7"/>
      <c r="D21" s="7">
        <v>7</v>
      </c>
      <c r="E21" s="7">
        <v>50525</v>
      </c>
      <c r="F21" s="7">
        <v>50019</v>
      </c>
      <c r="G21" s="7">
        <v>54</v>
      </c>
      <c r="H21" s="9">
        <f t="shared" si="12"/>
        <v>1.0795897558927607E-3</v>
      </c>
      <c r="I21" s="9">
        <f>IFERROR((50525-F21)/50525,0)</f>
        <v>1.0014844136566057E-2</v>
      </c>
      <c r="J21" s="7">
        <v>314180</v>
      </c>
      <c r="K21" s="11">
        <f t="shared" si="13"/>
        <v>89.731616271531109</v>
      </c>
      <c r="L21" s="11">
        <f>K21-85.7662</f>
        <v>3.9654162715311116</v>
      </c>
      <c r="M21" s="11">
        <v>94</v>
      </c>
      <c r="N21" s="11">
        <f t="shared" si="14"/>
        <v>-4.2683837284688906</v>
      </c>
      <c r="O21" s="11">
        <f>IFERROR(1411720/50525,0)</f>
        <v>27.941019297377537</v>
      </c>
      <c r="P21" s="11">
        <v>34</v>
      </c>
      <c r="Q21" s="11">
        <f t="shared" si="15"/>
        <v>-6.0589807026224634</v>
      </c>
      <c r="R21" s="7">
        <v>37634</v>
      </c>
      <c r="S21" s="11">
        <f t="shared" si="16"/>
        <v>107.48487003510095</v>
      </c>
      <c r="T21" s="13">
        <f t="shared" si="17"/>
        <v>8.3483020672795885</v>
      </c>
      <c r="U21" s="7">
        <v>70363</v>
      </c>
      <c r="V21" s="11">
        <f t="shared" si="18"/>
        <v>200.96077776159345</v>
      </c>
      <c r="W21" s="11">
        <f t="shared" si="19"/>
        <v>1.8696657277993303</v>
      </c>
      <c r="X21" s="11">
        <v>302.5457142857</v>
      </c>
      <c r="Y21" s="11">
        <f t="shared" si="20"/>
        <v>119.78483671780509</v>
      </c>
      <c r="Z21" s="11">
        <f t="shared" si="21"/>
        <v>36.240388985384286</v>
      </c>
      <c r="AA21" s="7">
        <v>1540</v>
      </c>
      <c r="AB21" s="15">
        <f>IFERROR(AA21/1500,0)</f>
        <v>1.0266666666666666</v>
      </c>
      <c r="AC21" s="11">
        <v>54</v>
      </c>
      <c r="AD21" s="15">
        <f>IFERROR(AC21/53.7,0)</f>
        <v>1.005586592178771</v>
      </c>
      <c r="AE21" s="11">
        <v>22</v>
      </c>
      <c r="AF21" s="11">
        <v>27</v>
      </c>
      <c r="AG21" s="7">
        <f t="shared" si="22"/>
        <v>-14945.019999999982</v>
      </c>
      <c r="AH21" s="7">
        <v>18</v>
      </c>
      <c r="AI21" s="7">
        <v>24.444444444399998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64</v>
      </c>
      <c r="B22" s="5">
        <v>44</v>
      </c>
      <c r="C22" s="7"/>
      <c r="D22" s="7">
        <v>7</v>
      </c>
      <c r="E22" s="7">
        <v>50845</v>
      </c>
      <c r="F22" s="7">
        <v>49454</v>
      </c>
      <c r="G22" s="7">
        <v>43</v>
      </c>
      <c r="H22" s="9">
        <f t="shared" si="12"/>
        <v>8.6949488413475147E-4</v>
      </c>
      <c r="I22" s="9">
        <f>IFERROR((50845-F22)/50845,0)</f>
        <v>2.7357655620021633E-2</v>
      </c>
      <c r="J22" s="7">
        <v>324300</v>
      </c>
      <c r="K22" s="11">
        <f t="shared" si="13"/>
        <v>93.680129875382022</v>
      </c>
      <c r="L22" s="11">
        <f>K22-94.075</f>
        <v>-0.39487012461798088</v>
      </c>
      <c r="M22" s="11">
        <v>95.15</v>
      </c>
      <c r="N22" s="11">
        <f t="shared" si="14"/>
        <v>-1.4698701246179837</v>
      </c>
      <c r="O22" s="11">
        <f>IFERROR(7754100/50845,0)</f>
        <v>152.50467105910118</v>
      </c>
      <c r="P22" s="11">
        <v>157</v>
      </c>
      <c r="Q22" s="11">
        <f t="shared" si="15"/>
        <v>-4.4953289408988155</v>
      </c>
      <c r="R22" s="7">
        <v>39774</v>
      </c>
      <c r="S22" s="11">
        <f t="shared" si="16"/>
        <v>114.89464957334087</v>
      </c>
      <c r="T22" s="13">
        <f t="shared" si="17"/>
        <v>8.1535676572635385</v>
      </c>
      <c r="U22" s="7">
        <v>66400</v>
      </c>
      <c r="V22" s="11">
        <f t="shared" si="18"/>
        <v>191.80883822773256</v>
      </c>
      <c r="W22" s="11">
        <f t="shared" si="19"/>
        <v>1.6694322924523561</v>
      </c>
      <c r="X22" s="11">
        <v>289.2071428571</v>
      </c>
      <c r="Y22" s="11">
        <f t="shared" si="20"/>
        <v>122.64569842738204</v>
      </c>
      <c r="Z22" s="11">
        <f t="shared" si="21"/>
        <v>35.470012025896686</v>
      </c>
      <c r="AA22" s="7">
        <v>1759</v>
      </c>
      <c r="AB22" s="15">
        <f>IFERROR(AA22/1715,0)</f>
        <v>1.0256559766763849</v>
      </c>
      <c r="AC22" s="11">
        <v>61.9</v>
      </c>
      <c r="AD22" s="15">
        <f>IFERROR(AC22/62.25,0)</f>
        <v>0.99437751004016062</v>
      </c>
      <c r="AE22" s="11">
        <v>19</v>
      </c>
      <c r="AF22" s="11">
        <v>26</v>
      </c>
      <c r="AG22" s="7">
        <f t="shared" si="22"/>
        <v>-5088.3670000000438</v>
      </c>
      <c r="AH22" s="7">
        <v>29</v>
      </c>
      <c r="AI22" s="7">
        <v>22.758620689699999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65</v>
      </c>
      <c r="B23" s="5">
        <v>94</v>
      </c>
      <c r="C23" s="7">
        <v>31</v>
      </c>
      <c r="D23" s="7">
        <v>7</v>
      </c>
      <c r="E23" s="7">
        <v>20160</v>
      </c>
      <c r="F23" s="7">
        <v>15418</v>
      </c>
      <c r="G23" s="7">
        <v>50</v>
      </c>
      <c r="H23" s="9">
        <f t="shared" si="12"/>
        <v>3.2429627707873912E-3</v>
      </c>
      <c r="I23" s="9">
        <f>IFERROR((20160-F23)/20160,0)</f>
        <v>0.23521825396825397</v>
      </c>
      <c r="J23" s="7">
        <v>84830</v>
      </c>
      <c r="K23" s="11">
        <f t="shared" si="13"/>
        <v>78.600151955969835</v>
      </c>
      <c r="L23" s="11">
        <f>K23-77.9859</f>
        <v>0.61425195596983428</v>
      </c>
      <c r="M23" s="11">
        <v>74</v>
      </c>
      <c r="N23" s="11">
        <f t="shared" si="14"/>
        <v>4.6001519559698352</v>
      </c>
      <c r="O23" s="11">
        <f>IFERROR(6225184/20160,0)</f>
        <v>308.78888888888889</v>
      </c>
      <c r="P23" s="11">
        <v>0</v>
      </c>
      <c r="Q23" s="11">
        <f t="shared" si="15"/>
        <v>308.78888888888889</v>
      </c>
      <c r="R23" s="7">
        <v>16200</v>
      </c>
      <c r="S23" s="11">
        <f t="shared" si="16"/>
        <v>150.10284824787354</v>
      </c>
      <c r="T23" s="13">
        <f t="shared" si="17"/>
        <v>5.2364197530864196</v>
      </c>
      <c r="U23" s="7">
        <v>21210</v>
      </c>
      <c r="V23" s="11">
        <f t="shared" si="18"/>
        <v>196.5235439097159</v>
      </c>
      <c r="W23" s="11">
        <f t="shared" si="19"/>
        <v>1.3092592592592591</v>
      </c>
      <c r="X23" s="11">
        <v>304.32</v>
      </c>
      <c r="Y23" s="11">
        <f t="shared" si="20"/>
        <v>190.97017564540843</v>
      </c>
      <c r="Z23" s="11">
        <f t="shared" si="21"/>
        <v>58.116043852410691</v>
      </c>
      <c r="AA23" s="7">
        <v>2160</v>
      </c>
      <c r="AB23" s="15">
        <f>IFERROR(AA23/1980,0)</f>
        <v>1.0909090909090908</v>
      </c>
      <c r="AC23" s="11">
        <v>0</v>
      </c>
      <c r="AD23" s="15">
        <f>IFERROR(AC23/65.2,0)</f>
        <v>0</v>
      </c>
      <c r="AE23" s="11">
        <v>22</v>
      </c>
      <c r="AF23" s="11">
        <v>25</v>
      </c>
      <c r="AG23" s="7">
        <f t="shared" si="22"/>
        <v>4964.7600000000048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35</v>
      </c>
      <c r="C24" s="7"/>
      <c r="D24" s="7">
        <v>7</v>
      </c>
      <c r="E24" s="7">
        <v>21875</v>
      </c>
      <c r="F24" s="7">
        <v>21445</v>
      </c>
      <c r="G24" s="7">
        <v>18</v>
      </c>
      <c r="H24" s="9">
        <f t="shared" si="12"/>
        <v>8.3935649335509439E-4</v>
      </c>
      <c r="I24" s="9">
        <f>IFERROR((21875-F24)/21875,0)</f>
        <v>1.9657142857142856E-2</v>
      </c>
      <c r="J24" s="7">
        <v>141480</v>
      </c>
      <c r="K24" s="11">
        <f t="shared" si="13"/>
        <v>94.247743396729177</v>
      </c>
      <c r="L24" s="11">
        <f>K24-96.6847</f>
        <v>-2.4369566032708292</v>
      </c>
      <c r="M24" s="11">
        <v>94.5</v>
      </c>
      <c r="N24" s="11">
        <f t="shared" si="14"/>
        <v>-0.25225660327082267</v>
      </c>
      <c r="O24" s="11">
        <f>IFERROR(2305590/21875,0)</f>
        <v>105.3984</v>
      </c>
      <c r="P24" s="11">
        <v>104</v>
      </c>
      <c r="Q24" s="11">
        <f t="shared" si="15"/>
        <v>1.3983999999999952</v>
      </c>
      <c r="R24" s="7">
        <v>17850</v>
      </c>
      <c r="S24" s="11">
        <f t="shared" si="16"/>
        <v>118.90883655863837</v>
      </c>
      <c r="T24" s="13">
        <f t="shared" si="17"/>
        <v>7.9260504201680675</v>
      </c>
      <c r="U24" s="7">
        <v>32930</v>
      </c>
      <c r="V24" s="11">
        <f t="shared" si="18"/>
        <v>219.36515338240685</v>
      </c>
      <c r="W24" s="11">
        <f t="shared" si="19"/>
        <v>1.8448179271708687</v>
      </c>
      <c r="X24" s="11">
        <v>296.29714285710003</v>
      </c>
      <c r="Y24" s="11">
        <f t="shared" si="20"/>
        <v>126.16624257845631</v>
      </c>
      <c r="Z24" s="11">
        <f t="shared" si="21"/>
        <v>37.382697201012398</v>
      </c>
      <c r="AA24" s="7">
        <v>1910</v>
      </c>
      <c r="AB24" s="15">
        <f>IFERROR(AA24/1910,0)</f>
        <v>1</v>
      </c>
      <c r="AC24" s="11">
        <v>61.8</v>
      </c>
      <c r="AD24" s="15">
        <f>IFERROR(AC24/61.8,0)</f>
        <v>1</v>
      </c>
      <c r="AE24" s="11">
        <v>23</v>
      </c>
      <c r="AF24" s="11">
        <v>26</v>
      </c>
      <c r="AG24" s="7">
        <f t="shared" si="22"/>
        <v>-378.67499999999546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67</v>
      </c>
      <c r="B25" s="5">
        <v>94</v>
      </c>
      <c r="C25" s="7">
        <v>27</v>
      </c>
      <c r="D25" s="7">
        <v>7</v>
      </c>
      <c r="E25" s="7">
        <v>51833</v>
      </c>
      <c r="F25" s="7">
        <v>41758</v>
      </c>
      <c r="G25" s="7">
        <v>162</v>
      </c>
      <c r="H25" s="9">
        <f t="shared" si="12"/>
        <v>3.8794961444513624E-3</v>
      </c>
      <c r="I25" s="9">
        <f>IFERROR((51833-F25)/51833,0)</f>
        <v>0.19437424034881254</v>
      </c>
      <c r="J25" s="7">
        <v>208040</v>
      </c>
      <c r="K25" s="11">
        <f t="shared" si="13"/>
        <v>71.171990995737346</v>
      </c>
      <c r="L25" s="11">
        <f>K25-71.6058</f>
        <v>-0.43380900426265612</v>
      </c>
      <c r="M25" s="11">
        <v>76</v>
      </c>
      <c r="N25" s="11">
        <f t="shared" si="14"/>
        <v>-4.828009004262654</v>
      </c>
      <c r="O25" s="11">
        <f>IFERROR(19170548/51833,0)</f>
        <v>369.85217911369205</v>
      </c>
      <c r="P25" s="11">
        <v>0</v>
      </c>
      <c r="Q25" s="11">
        <f t="shared" si="15"/>
        <v>369.85217911369205</v>
      </c>
      <c r="R25" s="7">
        <v>34833</v>
      </c>
      <c r="S25" s="11">
        <f t="shared" si="16"/>
        <v>119.16621622546235</v>
      </c>
      <c r="T25" s="13">
        <f t="shared" si="17"/>
        <v>5.9724973444721963</v>
      </c>
      <c r="U25" s="7">
        <v>49542</v>
      </c>
      <c r="V25" s="11">
        <f t="shared" si="18"/>
        <v>169.48677071288307</v>
      </c>
      <c r="W25" s="11">
        <f t="shared" si="19"/>
        <v>1.4222719834639566</v>
      </c>
      <c r="X25" s="11">
        <v>278.44</v>
      </c>
      <c r="Y25" s="11">
        <f t="shared" si="20"/>
        <v>167.43414727936931</v>
      </c>
      <c r="Z25" s="11">
        <f t="shared" si="21"/>
        <v>46.620363968467593</v>
      </c>
      <c r="AA25" s="7">
        <v>1757</v>
      </c>
      <c r="AB25" s="15">
        <f>IFERROR(AA25/1980,0)</f>
        <v>0.88737373737373737</v>
      </c>
      <c r="AC25" s="11">
        <v>0</v>
      </c>
      <c r="AD25" s="15">
        <f>IFERROR(AC25/65.2,0)</f>
        <v>0</v>
      </c>
      <c r="AE25" s="11">
        <v>23</v>
      </c>
      <c r="AF25" s="11">
        <v>27</v>
      </c>
      <c r="AG25" s="7">
        <f t="shared" si="22"/>
        <v>-14112.559999999992</v>
      </c>
      <c r="AH25" s="7">
        <v>40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IFERROR(700/F25,0)</f>
        <v>1.6763254945160209E-2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81</v>
      </c>
      <c r="B26" s="5">
        <v>93</v>
      </c>
      <c r="C26" s="7">
        <v>26</v>
      </c>
      <c r="D26" s="7">
        <v>7</v>
      </c>
      <c r="E26" s="7">
        <v>21623</v>
      </c>
      <c r="F26" s="7">
        <v>18223</v>
      </c>
      <c r="G26" s="7">
        <v>66</v>
      </c>
      <c r="H26" s="9">
        <f t="shared" si="12"/>
        <v>3.6217966306316195E-3</v>
      </c>
      <c r="I26" s="9">
        <f>IFERROR((21623-F26)/21623,0)</f>
        <v>0.15723997595153308</v>
      </c>
      <c r="J26" s="7">
        <v>94140</v>
      </c>
      <c r="K26" s="11">
        <f t="shared" si="13"/>
        <v>73.799985889104036</v>
      </c>
      <c r="L26" s="11">
        <f>K26-74.9397</f>
        <v>-1.1397141108959659</v>
      </c>
      <c r="M26" s="11">
        <v>81</v>
      </c>
      <c r="N26" s="11">
        <f t="shared" si="14"/>
        <v>-7.2000141108959639</v>
      </c>
      <c r="O26" s="11">
        <f>IFERROR(7977005/21623,0)</f>
        <v>368.91296304860566</v>
      </c>
      <c r="P26" s="11">
        <v>0</v>
      </c>
      <c r="Q26" s="11">
        <f t="shared" si="15"/>
        <v>368.91296304860566</v>
      </c>
      <c r="R26" s="7">
        <v>14643</v>
      </c>
      <c r="S26" s="11">
        <f t="shared" si="16"/>
        <v>114.79213866307099</v>
      </c>
      <c r="T26" s="13">
        <f t="shared" si="17"/>
        <v>6.4290104486785493</v>
      </c>
      <c r="U26" s="7">
        <v>24770</v>
      </c>
      <c r="V26" s="11">
        <f t="shared" si="18"/>
        <v>194.18160723105024</v>
      </c>
      <c r="W26" s="11">
        <f t="shared" si="19"/>
        <v>1.6915932527487538</v>
      </c>
      <c r="X26" s="11">
        <v>270.33857142860001</v>
      </c>
      <c r="Y26" s="11">
        <f t="shared" si="20"/>
        <v>155.54493307839383</v>
      </c>
      <c r="Z26" s="11">
        <f t="shared" si="21"/>
        <v>42.049795001370178</v>
      </c>
      <c r="AA26" s="7">
        <v>2169</v>
      </c>
      <c r="AB26" s="15">
        <f>IFERROR(AA26/1980,0)</f>
        <v>1.0954545454545455</v>
      </c>
      <c r="AC26" s="11">
        <v>65.53</v>
      </c>
      <c r="AD26" s="15">
        <f>IFERROR(AC26/65.1,0)</f>
        <v>1.006605222734255</v>
      </c>
      <c r="AE26" s="11">
        <v>23</v>
      </c>
      <c r="AF26" s="11">
        <v>30</v>
      </c>
      <c r="AG26" s="7">
        <f t="shared" si="22"/>
        <v>-9184.41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IFERROR(100/F26,0)</f>
        <v>5.4875706524721507E-3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68</v>
      </c>
      <c r="B27" s="5">
        <v>25</v>
      </c>
      <c r="C27" s="7"/>
      <c r="D27" s="7">
        <v>7</v>
      </c>
      <c r="E27" s="7">
        <v>21339</v>
      </c>
      <c r="F27" s="7">
        <v>21129</v>
      </c>
      <c r="G27" s="7">
        <v>21</v>
      </c>
      <c r="H27" s="9">
        <f t="shared" si="12"/>
        <v>9.9389464716740034E-4</v>
      </c>
      <c r="I27" s="9">
        <f>IFERROR((21339-F27)/21339,0)</f>
        <v>9.8411359482637427E-3</v>
      </c>
      <c r="J27" s="7">
        <v>133200</v>
      </c>
      <c r="K27" s="11">
        <f t="shared" si="13"/>
        <v>90.059025171903201</v>
      </c>
      <c r="L27" s="11">
        <f>K27-85.4711</f>
        <v>4.5879251719031942</v>
      </c>
      <c r="M27" s="11">
        <v>94</v>
      </c>
      <c r="N27" s="11">
        <f t="shared" si="14"/>
        <v>-3.9409748280967989</v>
      </c>
      <c r="O27" s="11">
        <f>IFERROR(757290/21339,0)</f>
        <v>35.488542106003095</v>
      </c>
      <c r="P27" s="11">
        <v>38</v>
      </c>
      <c r="Q27" s="11">
        <f t="shared" si="15"/>
        <v>-2.511457893996905</v>
      </c>
      <c r="R27" s="7">
        <v>17660</v>
      </c>
      <c r="S27" s="11">
        <f t="shared" si="16"/>
        <v>119.40258142160739</v>
      </c>
      <c r="T27" s="13">
        <f t="shared" si="17"/>
        <v>7.5424688561721407</v>
      </c>
      <c r="U27" s="7">
        <v>35182</v>
      </c>
      <c r="V27" s="11">
        <f t="shared" si="18"/>
        <v>237.87211888873114</v>
      </c>
      <c r="W27" s="11">
        <f t="shared" si="19"/>
        <v>1.9921857304643265</v>
      </c>
      <c r="X27" s="11">
        <v>295.0314285714</v>
      </c>
      <c r="Y27" s="11">
        <f t="shared" si="20"/>
        <v>132.58258258258257</v>
      </c>
      <c r="Z27" s="11">
        <f t="shared" si="21"/>
        <v>39.116028743024955</v>
      </c>
      <c r="AA27" s="7">
        <v>1752</v>
      </c>
      <c r="AB27" s="15">
        <f>IFERROR(AA27/1850,0)</f>
        <v>0.94702702702702701</v>
      </c>
      <c r="AC27" s="11">
        <v>57.81</v>
      </c>
      <c r="AD27" s="15">
        <f>IFERROR(AC27/57.8,0)</f>
        <v>1.000173010380623</v>
      </c>
      <c r="AE27" s="11">
        <v>22</v>
      </c>
      <c r="AF27" s="11">
        <v>26</v>
      </c>
      <c r="AG27" s="7">
        <f t="shared" si="22"/>
        <v>-5828.8200000000079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83</v>
      </c>
      <c r="C28" s="7">
        <v>11</v>
      </c>
      <c r="D28" s="7">
        <v>7</v>
      </c>
      <c r="E28" s="7">
        <v>47224</v>
      </c>
      <c r="F28" s="7">
        <v>37890</v>
      </c>
      <c r="G28" s="7">
        <v>95</v>
      </c>
      <c r="H28" s="9">
        <f t="shared" si="12"/>
        <v>2.507257851675904E-3</v>
      </c>
      <c r="I28" s="9">
        <f>IFERROR((47224-F28)/47224,0)</f>
        <v>0.19765373538878536</v>
      </c>
      <c r="J28" s="7">
        <v>199020</v>
      </c>
      <c r="K28" s="11">
        <f t="shared" si="13"/>
        <v>75.03676054744939</v>
      </c>
      <c r="L28" s="11">
        <f>K28-71.374</f>
        <v>3.6627605474493947</v>
      </c>
      <c r="M28" s="11">
        <v>82</v>
      </c>
      <c r="N28" s="11">
        <f t="shared" si="14"/>
        <v>-6.9632394525506101</v>
      </c>
      <c r="O28" s="11">
        <f>IFERROR(14750270/47224,0)</f>
        <v>312.34689988141622</v>
      </c>
      <c r="P28" s="11">
        <v>0</v>
      </c>
      <c r="Q28" s="11">
        <f t="shared" si="15"/>
        <v>312.34689988141622</v>
      </c>
      <c r="R28" s="7">
        <v>29710</v>
      </c>
      <c r="S28" s="11">
        <f t="shared" si="16"/>
        <v>112.0159861252498</v>
      </c>
      <c r="T28" s="13">
        <f t="shared" si="17"/>
        <v>6.6987546280713568</v>
      </c>
      <c r="U28" s="7">
        <v>51000</v>
      </c>
      <c r="V28" s="11">
        <f t="shared" si="18"/>
        <v>192.28594050446782</v>
      </c>
      <c r="W28" s="11">
        <f t="shared" si="19"/>
        <v>1.7165937394816557</v>
      </c>
      <c r="X28" s="11">
        <v>286.76857142860001</v>
      </c>
      <c r="Y28" s="11">
        <f t="shared" si="20"/>
        <v>149.28147924831677</v>
      </c>
      <c r="Z28" s="11">
        <f t="shared" si="21"/>
        <v>42.809236544788</v>
      </c>
      <c r="AA28" s="7">
        <v>1581</v>
      </c>
      <c r="AB28" s="15">
        <f>IFERROR(AA28/1580,0)</f>
        <v>1.0006329113924051</v>
      </c>
      <c r="AC28" s="11">
        <v>0</v>
      </c>
      <c r="AD28" s="15">
        <f>IFERROR(AC28/63.6,0)</f>
        <v>0</v>
      </c>
      <c r="AE28" s="11">
        <v>0</v>
      </c>
      <c r="AF28" s="11">
        <v>31</v>
      </c>
      <c r="AG28" s="7">
        <f t="shared" si="22"/>
        <v>-18468.599999999984</v>
      </c>
      <c r="AH28" s="7">
        <v>25</v>
      </c>
      <c r="AI28" s="7">
        <v>24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113</v>
      </c>
      <c r="C29" s="7">
        <v>15</v>
      </c>
      <c r="D29" s="7">
        <v>7</v>
      </c>
      <c r="E29" s="7">
        <v>33376</v>
      </c>
      <c r="F29" s="7">
        <v>29529</v>
      </c>
      <c r="G29" s="7">
        <v>91</v>
      </c>
      <c r="H29" s="9">
        <f t="shared" si="12"/>
        <v>3.0817162789122557E-3</v>
      </c>
      <c r="I29" s="9">
        <f>IFERROR((33376-F29)/33376,0)</f>
        <v>0.1152624640460211</v>
      </c>
      <c r="J29" s="7">
        <v>148660</v>
      </c>
      <c r="K29" s="11">
        <f t="shared" si="13"/>
        <v>71.919614132354155</v>
      </c>
      <c r="L29" s="11">
        <f>K29-70.4061</f>
        <v>1.5135141323541603</v>
      </c>
      <c r="M29" s="11">
        <v>80</v>
      </c>
      <c r="N29" s="11">
        <f t="shared" si="14"/>
        <v>-8.0803858676458447</v>
      </c>
      <c r="O29" s="11">
        <f>IFERROR(14636173/33376,0)</f>
        <v>438.52387943432404</v>
      </c>
      <c r="P29" s="11">
        <v>0</v>
      </c>
      <c r="Q29" s="11">
        <f t="shared" si="15"/>
        <v>438.52387943432404</v>
      </c>
      <c r="R29" s="7">
        <v>23660</v>
      </c>
      <c r="S29" s="11">
        <f t="shared" si="16"/>
        <v>114.46374750245521</v>
      </c>
      <c r="T29" s="13">
        <f t="shared" si="17"/>
        <v>6.283178360101437</v>
      </c>
      <c r="U29" s="7">
        <v>35700</v>
      </c>
      <c r="V29" s="11">
        <f t="shared" si="18"/>
        <v>172.71157167530225</v>
      </c>
      <c r="W29" s="11">
        <f t="shared" si="19"/>
        <v>1.5088757396449706</v>
      </c>
      <c r="X29" s="11">
        <v>337.79428571429997</v>
      </c>
      <c r="Y29" s="11">
        <f t="shared" si="20"/>
        <v>159.15511906363514</v>
      </c>
      <c r="Z29" s="11">
        <f t="shared" si="21"/>
        <v>53.761689761874997</v>
      </c>
      <c r="AA29" s="7">
        <v>1691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16</v>
      </c>
      <c r="AF29" s="11">
        <v>32</v>
      </c>
      <c r="AG29" s="7">
        <f t="shared" si="22"/>
        <v>-16702.399999999991</v>
      </c>
      <c r="AH29" s="7">
        <v>47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IFERROR(820/F29,0)</f>
        <v>2.7769311524264283E-2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113</v>
      </c>
      <c r="C30" s="7">
        <v>15</v>
      </c>
      <c r="D30" s="7">
        <v>7</v>
      </c>
      <c r="E30" s="7">
        <v>12390</v>
      </c>
      <c r="F30" s="7">
        <v>10076</v>
      </c>
      <c r="G30" s="7">
        <v>32</v>
      </c>
      <c r="H30" s="9">
        <f t="shared" si="12"/>
        <v>3.1758634378721714E-3</v>
      </c>
      <c r="I30" s="9">
        <f>IFERROR((12390-F30)/12390,0)</f>
        <v>0.18676351896690879</v>
      </c>
      <c r="J30" s="7">
        <v>57070</v>
      </c>
      <c r="K30" s="11">
        <f t="shared" si="13"/>
        <v>80.913627856859307</v>
      </c>
      <c r="L30" s="11">
        <f>K30-80.7847</f>
        <v>0.12892785685930619</v>
      </c>
      <c r="M30" s="11">
        <v>80</v>
      </c>
      <c r="N30" s="11">
        <f t="shared" si="14"/>
        <v>0.91362785685930703</v>
      </c>
      <c r="O30" s="11">
        <f>IFERROR(5954178/12390,0)</f>
        <v>480.56319612590801</v>
      </c>
      <c r="P30" s="11">
        <v>0</v>
      </c>
      <c r="Q30" s="11">
        <f t="shared" si="15"/>
        <v>480.56319612590801</v>
      </c>
      <c r="R30" s="7">
        <v>9080</v>
      </c>
      <c r="S30" s="11">
        <f t="shared" si="16"/>
        <v>128.73589292803268</v>
      </c>
      <c r="T30" s="13">
        <f t="shared" si="17"/>
        <v>6.285242290748899</v>
      </c>
      <c r="U30" s="7">
        <v>17300</v>
      </c>
      <c r="V30" s="11">
        <f t="shared" si="18"/>
        <v>245.27873872852041</v>
      </c>
      <c r="W30" s="11">
        <f t="shared" si="19"/>
        <v>1.9052863436123346</v>
      </c>
      <c r="X30" s="11">
        <v>279.2</v>
      </c>
      <c r="Y30" s="11">
        <f t="shared" si="20"/>
        <v>159.1028561415805</v>
      </c>
      <c r="Z30" s="11">
        <f t="shared" si="21"/>
        <v>44.421517434729274</v>
      </c>
      <c r="AA30" s="7">
        <v>2011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16</v>
      </c>
      <c r="AF30" s="11">
        <v>32</v>
      </c>
      <c r="AG30" s="7">
        <f t="shared" si="22"/>
        <v>644.40000000000634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IFERROR(410/F30,0)</f>
        <v>4.0690750297737201E-2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591557</v>
      </c>
      <c r="F31" s="17">
        <f>SUM(F14:F30)</f>
        <v>526741</v>
      </c>
      <c r="G31" s="17">
        <f>SUM(G14:G30)</f>
        <v>1283</v>
      </c>
      <c r="H31" s="18">
        <f t="shared" si="12"/>
        <v>2.4357321719782588E-3</v>
      </c>
      <c r="I31" s="18"/>
      <c r="J31" s="17">
        <f>SUM(J14:J30)</f>
        <v>3126640</v>
      </c>
      <c r="K31" s="19">
        <f t="shared" si="13"/>
        <v>84.797435009398768</v>
      </c>
      <c r="L31" s="19"/>
      <c r="M31" s="19">
        <f>IFERROR(SUMPRODUCT($F14:$F30,M14:M30)/$F31, 0)</f>
        <v>86.980743287498029</v>
      </c>
      <c r="N31" s="19">
        <f t="shared" si="14"/>
        <v>-2.1833082780992612</v>
      </c>
      <c r="O31" s="19">
        <f>IFERROR(SUMPRODUCT($E14:$E30,O14:O30)/$E31, 0)</f>
        <v>240.76625582995382</v>
      </c>
      <c r="P31" s="19">
        <f>IFERROR(SUMPRODUCT($E14:$E30,P14:P30)/$E31, 0)</f>
        <v>78.903174165803122</v>
      </c>
      <c r="Q31" s="19">
        <f>IFERROR(SUMPRODUCT($E14:$E30,Q14:Q30)/$E31, 0)</f>
        <v>161.86308166415071</v>
      </c>
      <c r="R31" s="17">
        <f>SUM(R14:R30)</f>
        <v>430980</v>
      </c>
      <c r="S31" s="19">
        <f>IFERROR(R31/D31/$F31*1000,0)</f>
        <v>116.8858536331355</v>
      </c>
      <c r="T31" s="20">
        <f t="shared" si="17"/>
        <v>7.2547217968351196</v>
      </c>
      <c r="U31" s="17">
        <f>SUM(U14:U30)</f>
        <v>719898</v>
      </c>
      <c r="V31" s="19">
        <f>IFERROR(U31/D31/$F31*1000,0)</f>
        <v>195.2431487743909</v>
      </c>
      <c r="W31" s="19">
        <f t="shared" si="19"/>
        <v>1.6703744953362107</v>
      </c>
      <c r="X31" s="19">
        <f>IFERROR(SUMPRODUCT(R14:R30,X14:X30)/R31,0)</f>
        <v>298.10187489309743</v>
      </c>
      <c r="Y31" s="19">
        <f>IFERROR(($F31*S31)/($F31*K31)*100,0)</f>
        <v>137.84126090627637</v>
      </c>
      <c r="Z31" s="19">
        <f t="shared" si="21"/>
        <v>41.090738313789601</v>
      </c>
      <c r="AA31" s="17"/>
      <c r="AB31" s="21">
        <f>IFERROR(SUMPRODUCT($F14:$F30,AB14:AB30)/$F31,0)</f>
        <v>0.81584420070085129</v>
      </c>
      <c r="AC31" s="19"/>
      <c r="AD31" s="21">
        <f>AVERAGE(AD14:AD30)</f>
        <v>0.35305767238658264</v>
      </c>
      <c r="AE31" s="19"/>
      <c r="AF31" s="19"/>
      <c r="AG31" s="17">
        <f>SUM(AG14:AG30)</f>
        <v>-80502.659000000043</v>
      </c>
      <c r="AH31" s="17">
        <f>SUM(AH14:AH30)</f>
        <v>286</v>
      </c>
      <c r="AI31" s="17">
        <f>IFERROR(SUMPRODUCT(AH14:AH30,AI14:AI30)/AH31, 0)</f>
        <v>17.762237762239511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637762</v>
      </c>
      <c r="F33" s="23">
        <f>F12+F31</f>
        <v>566109</v>
      </c>
      <c r="G33" s="23">
        <f>G12+G31</f>
        <v>1405</v>
      </c>
      <c r="H33" s="24">
        <f>IFERROR(G33/F33,0)</f>
        <v>2.4818542012227328E-3</v>
      </c>
      <c r="I33" s="23"/>
      <c r="J33" s="23">
        <f>J12+J31</f>
        <v>3229880</v>
      </c>
      <c r="K33" s="25">
        <f>IFERROR(J33/D33/F33*100,0)</f>
        <v>81.505757472753231</v>
      </c>
      <c r="L33" s="23"/>
      <c r="M33" s="25">
        <f>IFERROR($F$12/$F33*M$12,0)+IFERROR($F$31/$F33*M$31,0)</f>
        <v>82.841903591004552</v>
      </c>
      <c r="N33" s="25">
        <f>K33-M33</f>
        <v>-1.336146118251321</v>
      </c>
      <c r="O33" s="23">
        <f>IFERROR($E$12/$E33*O$12,0)+IFERROR($E$31/$E33*O$31,0)</f>
        <v>240.25760393375586</v>
      </c>
      <c r="P33" s="23">
        <f>IFERROR($E$12/$E33*P$12,0)+IFERROR($E$31/$E33*P$31,0)</f>
        <v>74.736727807552029</v>
      </c>
      <c r="Q33" s="23">
        <f>IFERROR($E$12/$E33*Q$12,0)+IFERROR($E$31/$E33*Q$31,0)</f>
        <v>165.52087612620383</v>
      </c>
      <c r="R33" s="23">
        <f>R12+R31</f>
        <v>466939</v>
      </c>
      <c r="S33" s="25">
        <f>IFERROR(R33/D33/$F33*1000,0)</f>
        <v>117.83167451598797</v>
      </c>
      <c r="T33" s="26">
        <f>IFERROR(J33/R33,0)</f>
        <v>6.9171347863425412</v>
      </c>
      <c r="U33" s="23">
        <f>U12+U31</f>
        <v>735018</v>
      </c>
      <c r="V33" s="25">
        <f>IFERROR(U33/D33/$F33*1000,0)</f>
        <v>185.48119077522426</v>
      </c>
      <c r="W33" s="25">
        <f>IFERROR(V33/S33,0)</f>
        <v>1.5741199599947744</v>
      </c>
      <c r="X33" s="25">
        <f>IFERROR($F$12/$F33*X$12,0)+IFERROR($F$31/$F33*X$31,0)</f>
        <v>301.9116186662809</v>
      </c>
      <c r="Y33" s="25">
        <f>IFERROR(($F33*S33)/($F33*K33)*100,0)</f>
        <v>144.56852886175338</v>
      </c>
      <c r="Z33" s="25">
        <f>IFERROR(Y33*X33/1000,0)</f>
        <v>43.646918556854907</v>
      </c>
      <c r="AA33" s="23"/>
      <c r="AB33" s="27"/>
      <c r="AC33" s="23"/>
      <c r="AD33" s="27"/>
      <c r="AE33" s="23"/>
      <c r="AF33" s="23"/>
      <c r="AG33" s="23">
        <f>AG12+AG31</f>
        <v>-75268.304000000047</v>
      </c>
      <c r="AH33" s="23">
        <f>AH12+AH31</f>
        <v>286</v>
      </c>
      <c r="AI33" s="23">
        <f>IFERROR(AH$12/AH33*AI$12,0)+IFERROR(AH$31/AH33*AI$31,0)</f>
        <v>17.762237762239511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61</v>
      </c>
      <c r="T36" s="32" t="s">
        <v>70</v>
      </c>
      <c r="U36" s="32" t="s">
        <v>71</v>
      </c>
      <c r="V36" s="32" t="s">
        <v>72</v>
      </c>
      <c r="W36" s="32" t="s">
        <v>62</v>
      </c>
      <c r="X36" s="32" t="s">
        <v>66</v>
      </c>
      <c r="Y36" s="32" t="s">
        <v>67</v>
      </c>
      <c r="Z36" s="32" t="s">
        <v>81</v>
      </c>
      <c r="AA36" s="32" t="s">
        <v>63</v>
      </c>
      <c r="AB36" s="32" t="s">
        <v>68</v>
      </c>
      <c r="AC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>
        <v>2.5000000000000001E-3</v>
      </c>
      <c r="T37" s="8">
        <v>5.3E-3</v>
      </c>
      <c r="U37" s="8">
        <v>6.3E-3</v>
      </c>
      <c r="V37" s="8">
        <v>2.7000000000000001E-3</v>
      </c>
      <c r="W37" s="8">
        <v>1.5E-3</v>
      </c>
      <c r="X37" s="8">
        <v>1.4E-3</v>
      </c>
      <c r="Y37" s="8">
        <v>2.8E-3</v>
      </c>
      <c r="Z37" s="8">
        <v>1.6999999999999999E-3</v>
      </c>
      <c r="AA37" s="8"/>
      <c r="AB37" s="8"/>
      <c r="AC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>
        <v>2.5000000000000001E-3</v>
      </c>
      <c r="T38" s="9">
        <v>5.7999999999999996E-3</v>
      </c>
      <c r="U38" s="9">
        <v>3.5999999999999999E-3</v>
      </c>
      <c r="V38" s="9">
        <v>2.3E-3</v>
      </c>
      <c r="W38" s="9">
        <v>1.5E-3</v>
      </c>
      <c r="X38" s="9">
        <v>1E-3</v>
      </c>
      <c r="Y38" s="9">
        <v>3.0000000000000001E-3</v>
      </c>
      <c r="Z38" s="9">
        <v>1.8E-3</v>
      </c>
      <c r="AA38" s="9"/>
      <c r="AB38" s="9"/>
      <c r="AC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>
        <v>2.5000000000000001E-3</v>
      </c>
      <c r="T39" s="9">
        <v>5.4999999999999997E-3</v>
      </c>
      <c r="U39" s="9">
        <v>3.5000000000000001E-3</v>
      </c>
      <c r="V39" s="9">
        <v>2.5000000000000001E-3</v>
      </c>
      <c r="W39" s="9">
        <v>1.6999999999999999E-3</v>
      </c>
      <c r="X39" s="9">
        <v>6.9999999999999999E-4</v>
      </c>
      <c r="Y39" s="9">
        <v>2.8E-3</v>
      </c>
      <c r="Z39" s="9">
        <v>1.4E-3</v>
      </c>
      <c r="AA39" s="9"/>
      <c r="AB39" s="9"/>
      <c r="AC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>
        <v>2.5999999999999999E-3</v>
      </c>
      <c r="T40" s="9">
        <v>3.2000000000000002E-3</v>
      </c>
      <c r="U40" s="9">
        <v>3.7000000000000002E-3</v>
      </c>
      <c r="V40" s="9">
        <v>2.5000000000000001E-3</v>
      </c>
      <c r="W40" s="9">
        <v>1.6000000000000001E-3</v>
      </c>
      <c r="X40" s="9">
        <v>8.9999999999999998E-4</v>
      </c>
      <c r="Y40" s="9">
        <v>3.5000000000000001E-3</v>
      </c>
      <c r="Z40" s="9">
        <v>1.6000000000000001E-3</v>
      </c>
      <c r="AA40" s="9"/>
      <c r="AB40" s="9"/>
      <c r="AC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>
        <v>2.3E-3</v>
      </c>
      <c r="T41" s="9">
        <v>2.2000000000000001E-3</v>
      </c>
      <c r="U41" s="9">
        <v>4.4000000000000003E-3</v>
      </c>
      <c r="V41" s="9">
        <v>2.3E-3</v>
      </c>
      <c r="W41" s="9">
        <v>1.6000000000000001E-3</v>
      </c>
      <c r="X41" s="9">
        <v>8.9999999999999998E-4</v>
      </c>
      <c r="Y41" s="9">
        <v>3.0999999999999999E-3</v>
      </c>
      <c r="Z41" s="9">
        <v>1.5E-3</v>
      </c>
      <c r="AA41" s="9"/>
      <c r="AB41" s="9"/>
      <c r="AC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>
        <v>1.6999999999999999E-3</v>
      </c>
      <c r="T42" s="9">
        <v>3.0000000000000001E-3</v>
      </c>
      <c r="U42" s="9">
        <v>3.5999999999999999E-3</v>
      </c>
      <c r="V42" s="9">
        <v>1.8E-3</v>
      </c>
      <c r="W42" s="9">
        <v>8.9999999999999998E-4</v>
      </c>
      <c r="X42" s="9">
        <v>5.9999999999999995E-4</v>
      </c>
      <c r="Y42" s="9">
        <v>1.6999999999999999E-3</v>
      </c>
      <c r="Z42" s="9">
        <v>1E-3</v>
      </c>
      <c r="AA42" s="9">
        <v>0</v>
      </c>
      <c r="AB42" s="9">
        <v>0</v>
      </c>
      <c r="AC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>
        <v>1.9E-3</v>
      </c>
      <c r="T43" s="9">
        <v>4.3E-3</v>
      </c>
      <c r="U43" s="9">
        <v>4.1999999999999997E-3</v>
      </c>
      <c r="V43" s="9">
        <v>4.4000000000000003E-3</v>
      </c>
      <c r="W43" s="9">
        <v>1.1000000000000001E-3</v>
      </c>
      <c r="X43" s="9">
        <v>5.0000000000000001E-4</v>
      </c>
      <c r="Y43" s="9">
        <v>2.0999999999999999E-3</v>
      </c>
      <c r="Z43" s="9">
        <v>1.1999999999999999E-3</v>
      </c>
      <c r="AA43" s="9">
        <v>8.9999999999999998E-4</v>
      </c>
      <c r="AB43" s="9">
        <v>8.0000000000000004E-4</v>
      </c>
      <c r="AC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>
        <v>1.9E-3</v>
      </c>
      <c r="T44" s="9">
        <v>3.0999999999999999E-3</v>
      </c>
      <c r="U44" s="9">
        <v>3.2000000000000002E-3</v>
      </c>
      <c r="V44" s="9">
        <v>2.3E-3</v>
      </c>
      <c r="W44" s="9">
        <v>1.1000000000000001E-3</v>
      </c>
      <c r="X44" s="9">
        <v>5.0000000000000001E-4</v>
      </c>
      <c r="Y44" s="9">
        <v>2.8E-3</v>
      </c>
      <c r="Z44" s="9">
        <v>1.2999999999999999E-3</v>
      </c>
      <c r="AA44" s="9">
        <v>1.1999999999999999E-3</v>
      </c>
      <c r="AB44" s="9">
        <v>6.9999999999999999E-4</v>
      </c>
      <c r="AC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>
        <v>2.5000000000000001E-3</v>
      </c>
      <c r="T45" s="9">
        <v>3.0999999999999999E-3</v>
      </c>
      <c r="U45" s="9">
        <v>4.5999999999999999E-3</v>
      </c>
      <c r="V45" s="9">
        <v>2.8E-3</v>
      </c>
      <c r="W45" s="9">
        <v>1.6999999999999999E-3</v>
      </c>
      <c r="X45" s="9">
        <v>1E-3</v>
      </c>
      <c r="Y45" s="9">
        <v>3.5999999999999999E-3</v>
      </c>
      <c r="Z45" s="9">
        <v>1.6000000000000001E-3</v>
      </c>
      <c r="AA45" s="9">
        <v>2.3E-3</v>
      </c>
      <c r="AB45" s="9">
        <v>1.1999999999999999E-3</v>
      </c>
      <c r="AC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>
        <v>2.5000000000000001E-3</v>
      </c>
      <c r="T46" s="9">
        <v>2.5999999999999999E-3</v>
      </c>
      <c r="U46" s="9">
        <v>3.3999999999999998E-3</v>
      </c>
      <c r="V46" s="9">
        <v>2.5000000000000001E-3</v>
      </c>
      <c r="W46" s="9">
        <v>2E-3</v>
      </c>
      <c r="X46" s="9">
        <v>1E-3</v>
      </c>
      <c r="Y46" s="9">
        <v>3.5000000000000001E-3</v>
      </c>
      <c r="Z46" s="9">
        <v>1.6999999999999999E-3</v>
      </c>
      <c r="AA46" s="9">
        <v>1.6999999999999999E-3</v>
      </c>
      <c r="AB46" s="9">
        <v>1.6000000000000001E-3</v>
      </c>
      <c r="AC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>
        <v>3.0000000000000001E-3</v>
      </c>
      <c r="T47" s="9">
        <v>2.3E-3</v>
      </c>
      <c r="U47" s="9">
        <v>3.0999999999999999E-3</v>
      </c>
      <c r="V47" s="9">
        <v>2.8E-3</v>
      </c>
      <c r="W47" s="9">
        <v>1.9E-3</v>
      </c>
      <c r="X47" s="9">
        <v>8.9999999999999998E-4</v>
      </c>
      <c r="Y47" s="9">
        <v>3.5000000000000001E-3</v>
      </c>
      <c r="Z47" s="9">
        <v>1.5E-3</v>
      </c>
      <c r="AA47" s="9">
        <v>1.1000000000000001E-3</v>
      </c>
      <c r="AB47" s="9">
        <v>1.1999999999999999E-3</v>
      </c>
      <c r="AC47" s="9">
        <v>1.4E-3</v>
      </c>
    </row>
    <row r="48" spans="1:46" ht="15" thickBot="1" x14ac:dyDescent="0.35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>
        <v>3.3999999999999998E-3</v>
      </c>
      <c r="T48" s="9">
        <v>2.5000000000000001E-3</v>
      </c>
      <c r="U48" s="9">
        <v>3.0999999999999999E-3</v>
      </c>
      <c r="V48" s="9">
        <v>3.2000000000000002E-3</v>
      </c>
      <c r="W48" s="9">
        <v>1.5E-3</v>
      </c>
      <c r="X48" s="9">
        <v>8.0000000000000004E-4</v>
      </c>
      <c r="Y48" s="9">
        <v>3.8999999999999998E-3</v>
      </c>
      <c r="Z48" s="9">
        <v>3.5999999999999999E-3</v>
      </c>
      <c r="AA48" s="9">
        <v>1.1000000000000001E-3</v>
      </c>
      <c r="AB48" s="9">
        <v>1E-3</v>
      </c>
      <c r="AC48" s="9">
        <v>8.9999999999999998E-4</v>
      </c>
    </row>
    <row r="49" spans="2:29" ht="15" thickBot="1" x14ac:dyDescent="0.35">
      <c r="B49" s="22" t="s">
        <v>82</v>
      </c>
      <c r="C49" s="22"/>
      <c r="D49" s="24">
        <f t="shared" ref="D49:AC49" si="23">AVERAGE(D37:D48)</f>
        <v>2.5500000000000002E-3</v>
      </c>
      <c r="E49" s="24">
        <f t="shared" si="23"/>
        <v>5.0500000000000007E-3</v>
      </c>
      <c r="F49" s="24">
        <f t="shared" si="23"/>
        <v>2.3333333333333331E-3</v>
      </c>
      <c r="G49" s="24">
        <f t="shared" si="23"/>
        <v>7.4916666666666673E-3</v>
      </c>
      <c r="H49" s="24">
        <f t="shared" si="23"/>
        <v>4.9166666666666673E-3</v>
      </c>
      <c r="I49" s="24">
        <f t="shared" si="23"/>
        <v>5.3249999999999999E-3</v>
      </c>
      <c r="J49" s="24">
        <f t="shared" si="23"/>
        <v>2.9416666666666666E-3</v>
      </c>
      <c r="K49" s="24">
        <f t="shared" si="23"/>
        <v>3.5749999999999996E-3</v>
      </c>
      <c r="L49" s="24">
        <f t="shared" si="23"/>
        <v>2.4750000000000002E-3</v>
      </c>
      <c r="M49" s="24">
        <f t="shared" si="23"/>
        <v>2.9833333333333331E-3</v>
      </c>
      <c r="N49" s="24">
        <f t="shared" si="23"/>
        <v>2.7500000000000003E-3</v>
      </c>
      <c r="O49" s="24">
        <f t="shared" si="23"/>
        <v>6.0750000000000005E-3</v>
      </c>
      <c r="P49" s="24">
        <f t="shared" si="23"/>
        <v>2.6916666666666664E-3</v>
      </c>
      <c r="Q49" s="24">
        <f t="shared" si="23"/>
        <v>3.833333333333334E-3</v>
      </c>
      <c r="R49" s="24">
        <f t="shared" si="23"/>
        <v>1.8333333333333333E-3</v>
      </c>
      <c r="S49" s="24">
        <f t="shared" si="23"/>
        <v>2.4416666666666662E-3</v>
      </c>
      <c r="T49" s="24">
        <f t="shared" si="23"/>
        <v>3.5749999999999996E-3</v>
      </c>
      <c r="U49" s="24">
        <f t="shared" si="23"/>
        <v>3.8916666666666661E-3</v>
      </c>
      <c r="V49" s="24">
        <f t="shared" si="23"/>
        <v>2.6749999999999999E-3</v>
      </c>
      <c r="W49" s="24">
        <f t="shared" si="23"/>
        <v>1.5083333333333335E-3</v>
      </c>
      <c r="X49" s="24">
        <f t="shared" si="23"/>
        <v>8.5000000000000006E-4</v>
      </c>
      <c r="Y49" s="24">
        <f t="shared" si="23"/>
        <v>3.0249999999999999E-3</v>
      </c>
      <c r="Z49" s="24">
        <f t="shared" si="23"/>
        <v>1.6583333333333335E-3</v>
      </c>
      <c r="AA49" s="24">
        <f t="shared" si="23"/>
        <v>1.1857142857142858E-3</v>
      </c>
      <c r="AB49" s="24">
        <f t="shared" si="23"/>
        <v>9.2857142857142856E-4</v>
      </c>
      <c r="AC49" s="24">
        <f t="shared" si="23"/>
        <v>9.7499999999999985E-4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50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8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45739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115</v>
      </c>
      <c r="C6" s="7">
        <v>5</v>
      </c>
      <c r="D6" s="7">
        <v>7</v>
      </c>
      <c r="E6" s="7">
        <v>1197</v>
      </c>
      <c r="F6" s="7">
        <v>1058</v>
      </c>
      <c r="G6" s="7">
        <v>5</v>
      </c>
      <c r="H6" s="9">
        <f t="shared" ref="H6:H12" si="0">IFERROR(G6/F6,0)</f>
        <v>4.725897920604915E-3</v>
      </c>
      <c r="I6" s="9">
        <f>IFERROR((1197-F6)/1197,0)</f>
        <v>0.11612364243943191</v>
      </c>
      <c r="J6" s="7">
        <v>4050</v>
      </c>
      <c r="K6" s="11">
        <f t="shared" ref="K6:K12" si="1">IFERROR(J6/D6/F6*100,0)</f>
        <v>54.68539022414258</v>
      </c>
      <c r="L6" s="11">
        <f>K6-24.1903</f>
        <v>30.495090224142579</v>
      </c>
      <c r="M6" s="11">
        <v>27</v>
      </c>
      <c r="N6" s="11">
        <f t="shared" ref="N6:N12" si="2">K6-M6</f>
        <v>27.68539022414258</v>
      </c>
      <c r="O6" s="11">
        <f>IFERROR(105890/1197,0)</f>
        <v>88.462823725981622</v>
      </c>
      <c r="P6" s="11">
        <v>0</v>
      </c>
      <c r="Q6" s="11">
        <f t="shared" ref="Q6:Q11" si="3">IFERROR(O6-P6,0)</f>
        <v>88.462823725981622</v>
      </c>
      <c r="R6" s="7">
        <v>924</v>
      </c>
      <c r="S6" s="11">
        <f t="shared" ref="S6:S11" si="4">IFERROR(R6/D6/F6*1000,0)</f>
        <v>124.76370510396976</v>
      </c>
      <c r="T6" s="13">
        <f t="shared" ref="T6:T12" si="5">IFERROR(J6/R6,0)</f>
        <v>4.383116883116883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228.14814814814815</v>
      </c>
      <c r="Z6" s="11">
        <f t="shared" ref="Z6:Z12" si="9">IFERROR(Y6*X6/1000,0)</f>
        <v>67.732622222222233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9</v>
      </c>
      <c r="AF6" s="11">
        <v>29</v>
      </c>
      <c r="AG6" s="7">
        <f t="shared" ref="AG6:AG11" si="10">IF(M6=0,0,IFERROR(N6/100*7*F6,0))</f>
        <v>2050.3799999999997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75</v>
      </c>
      <c r="C7" s="7">
        <v>5</v>
      </c>
      <c r="D7" s="7">
        <v>7</v>
      </c>
      <c r="E7" s="7">
        <v>14440</v>
      </c>
      <c r="F7" s="7">
        <v>11596</v>
      </c>
      <c r="G7" s="7">
        <v>35</v>
      </c>
      <c r="H7" s="9">
        <f t="shared" si="0"/>
        <v>3.0182821662642291E-3</v>
      </c>
      <c r="I7" s="9">
        <f>IFERROR((14440-F7)/14440,0)</f>
        <v>0.19695290858725761</v>
      </c>
      <c r="J7" s="7">
        <v>33060</v>
      </c>
      <c r="K7" s="11">
        <f t="shared" si="1"/>
        <v>40.728329965998128</v>
      </c>
      <c r="L7" s="11">
        <f>K7-14.1494</f>
        <v>26.578929965998128</v>
      </c>
      <c r="M7" s="11">
        <v>27</v>
      </c>
      <c r="N7" s="11">
        <f t="shared" si="2"/>
        <v>13.728329965998128</v>
      </c>
      <c r="O7" s="11">
        <f>IFERROR(4137700/14440,0)</f>
        <v>286.5443213296399</v>
      </c>
      <c r="P7" s="11">
        <v>0</v>
      </c>
      <c r="Q7" s="11">
        <f t="shared" si="3"/>
        <v>286.5443213296399</v>
      </c>
      <c r="R7" s="7">
        <v>10290</v>
      </c>
      <c r="S7" s="11">
        <f t="shared" si="4"/>
        <v>126.76785098309762</v>
      </c>
      <c r="T7" s="13">
        <f t="shared" si="5"/>
        <v>3.2128279883381925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311.25226860254082</v>
      </c>
      <c r="Z7" s="11">
        <f t="shared" si="9"/>
        <v>116.1437840290381</v>
      </c>
      <c r="AA7" s="7">
        <v>0</v>
      </c>
      <c r="AB7" s="15">
        <f>IFERROR(AA7/1970,0)</f>
        <v>0</v>
      </c>
      <c r="AC7" s="11">
        <v>0</v>
      </c>
      <c r="AD7" s="15">
        <f>IFERROR(AC7/64.5,0)</f>
        <v>0</v>
      </c>
      <c r="AE7" s="11">
        <v>9</v>
      </c>
      <c r="AF7" s="11">
        <v>26</v>
      </c>
      <c r="AG7" s="7">
        <f t="shared" si="10"/>
        <v>11143.560000000001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75</v>
      </c>
      <c r="C8" s="7">
        <v>5</v>
      </c>
      <c r="D8" s="7">
        <v>7</v>
      </c>
      <c r="E8" s="7">
        <v>16063</v>
      </c>
      <c r="F8" s="7">
        <v>13462</v>
      </c>
      <c r="G8" s="7">
        <v>39</v>
      </c>
      <c r="H8" s="9">
        <f t="shared" si="0"/>
        <v>2.8970435299361164E-3</v>
      </c>
      <c r="I8" s="9">
        <f>IFERROR((16063-F8)/16063,0)</f>
        <v>0.16192492062503891</v>
      </c>
      <c r="J8" s="7">
        <v>39210</v>
      </c>
      <c r="K8" s="11">
        <f t="shared" si="1"/>
        <v>41.609185644247297</v>
      </c>
      <c r="L8" s="11">
        <f>K8-9.5231</f>
        <v>32.086085644247298</v>
      </c>
      <c r="M8" s="11">
        <v>5</v>
      </c>
      <c r="N8" s="11">
        <f t="shared" si="2"/>
        <v>36.609185644247297</v>
      </c>
      <c r="O8" s="11">
        <f>IFERROR(4291860/16063,0)</f>
        <v>267.1891925543174</v>
      </c>
      <c r="P8" s="11">
        <v>0</v>
      </c>
      <c r="Q8" s="11">
        <f t="shared" si="3"/>
        <v>267.1891925543174</v>
      </c>
      <c r="R8" s="7">
        <v>10710</v>
      </c>
      <c r="S8" s="11">
        <f t="shared" si="4"/>
        <v>113.65324617441688</v>
      </c>
      <c r="T8" s="13">
        <f t="shared" si="5"/>
        <v>3.661064425770308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273.14460596786535</v>
      </c>
      <c r="Z8" s="11">
        <f t="shared" si="9"/>
        <v>101.06350420811017</v>
      </c>
      <c r="AA8" s="7">
        <v>0</v>
      </c>
      <c r="AB8" s="15">
        <f>IFERROR(AA8/1580,0)</f>
        <v>0</v>
      </c>
      <c r="AC8" s="11">
        <v>0</v>
      </c>
      <c r="AD8" s="15">
        <f>IFERROR(AC8/63.4,0)</f>
        <v>0</v>
      </c>
      <c r="AE8" s="11">
        <v>9</v>
      </c>
      <c r="AF8" s="11">
        <v>29</v>
      </c>
      <c r="AG8" s="7">
        <f t="shared" si="10"/>
        <v>34498.300000000003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36</v>
      </c>
      <c r="C9" s="7"/>
      <c r="D9" s="7">
        <v>7</v>
      </c>
      <c r="E9" s="7">
        <v>4686</v>
      </c>
      <c r="F9" s="7">
        <v>4274</v>
      </c>
      <c r="G9" s="7">
        <v>11</v>
      </c>
      <c r="H9" s="9">
        <f t="shared" si="0"/>
        <v>2.5737014506317267E-3</v>
      </c>
      <c r="I9" s="9">
        <f>IFERROR((4686-F9)/4686,0)</f>
        <v>8.792146820315834E-2</v>
      </c>
      <c r="J9" s="7">
        <v>29940</v>
      </c>
      <c r="K9" s="11">
        <f t="shared" si="1"/>
        <v>100.0735343271609</v>
      </c>
      <c r="L9" s="11">
        <f>K9-100.4167</f>
        <v>-0.34316567283910615</v>
      </c>
      <c r="M9" s="11">
        <v>93.5</v>
      </c>
      <c r="N9" s="11">
        <f t="shared" si="2"/>
        <v>6.5735343271608997</v>
      </c>
      <c r="O9" s="11">
        <f>IFERROR(462360/4686,0)</f>
        <v>98.668373879641479</v>
      </c>
      <c r="P9" s="11">
        <v>111</v>
      </c>
      <c r="Q9" s="11">
        <f t="shared" si="3"/>
        <v>-12.331626120358521</v>
      </c>
      <c r="R9" s="7">
        <v>4597</v>
      </c>
      <c r="S9" s="11">
        <f t="shared" si="4"/>
        <v>153.65331907213047</v>
      </c>
      <c r="T9" s="13">
        <f t="shared" si="5"/>
        <v>6.5129432238416358</v>
      </c>
      <c r="U9" s="7">
        <v>5040</v>
      </c>
      <c r="V9" s="11">
        <f t="shared" si="6"/>
        <v>168.46045858680392</v>
      </c>
      <c r="W9" s="11">
        <f t="shared" si="7"/>
        <v>1.0963671959973897</v>
      </c>
      <c r="X9" s="11">
        <v>362.76</v>
      </c>
      <c r="Y9" s="11">
        <f t="shared" si="8"/>
        <v>153.54041416165666</v>
      </c>
      <c r="Z9" s="11">
        <f t="shared" si="9"/>
        <v>55.698320641282571</v>
      </c>
      <c r="AA9" s="7">
        <v>1822</v>
      </c>
      <c r="AB9" s="15">
        <f>IFERROR(AA9/1920,0)</f>
        <v>0.94895833333333335</v>
      </c>
      <c r="AC9" s="11">
        <v>0</v>
      </c>
      <c r="AD9" s="15">
        <f>IFERROR(AC9/61.9,0)</f>
        <v>0</v>
      </c>
      <c r="AE9" s="11">
        <v>15</v>
      </c>
      <c r="AF9" s="11">
        <v>30</v>
      </c>
      <c r="AG9" s="7">
        <f t="shared" si="10"/>
        <v>1966.669999999998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75</v>
      </c>
      <c r="C10" s="7">
        <v>6</v>
      </c>
      <c r="D10" s="7">
        <v>7</v>
      </c>
      <c r="E10" s="7">
        <v>5000</v>
      </c>
      <c r="F10" s="7">
        <v>4231</v>
      </c>
      <c r="G10" s="7">
        <v>19</v>
      </c>
      <c r="H10" s="9">
        <f t="shared" si="0"/>
        <v>4.4906641455920585E-3</v>
      </c>
      <c r="I10" s="9">
        <f>IFERROR((5000-F10)/5000,0)</f>
        <v>0.15379999999999999</v>
      </c>
      <c r="J10" s="7">
        <v>24780</v>
      </c>
      <c r="K10" s="11">
        <f t="shared" si="1"/>
        <v>83.668163554715207</v>
      </c>
      <c r="L10" s="11">
        <f>K10-66.5882</f>
        <v>17.079963554715206</v>
      </c>
      <c r="M10" s="11">
        <v>56</v>
      </c>
      <c r="N10" s="11">
        <f t="shared" si="2"/>
        <v>27.668163554715207</v>
      </c>
      <c r="O10" s="11">
        <f>IFERROR(1472000/5000,0)</f>
        <v>294.39999999999998</v>
      </c>
      <c r="P10" s="11">
        <v>0</v>
      </c>
      <c r="Q10" s="11">
        <f t="shared" si="3"/>
        <v>294.39999999999998</v>
      </c>
      <c r="R10" s="7">
        <v>4660</v>
      </c>
      <c r="S10" s="11">
        <f t="shared" si="4"/>
        <v>157.34206705608264</v>
      </c>
      <c r="T10" s="13">
        <f t="shared" si="5"/>
        <v>5.3175965665236049</v>
      </c>
      <c r="U10" s="7">
        <v>5040</v>
      </c>
      <c r="V10" s="11">
        <f t="shared" si="6"/>
        <v>170.17253604348852</v>
      </c>
      <c r="W10" s="11">
        <f t="shared" si="7"/>
        <v>1.0815450643776825</v>
      </c>
      <c r="X10" s="11">
        <v>374.81</v>
      </c>
      <c r="Y10" s="11">
        <f t="shared" si="8"/>
        <v>188.05488297013716</v>
      </c>
      <c r="Z10" s="11">
        <f t="shared" si="9"/>
        <v>70.484850686037106</v>
      </c>
      <c r="AA10" s="7">
        <v>0</v>
      </c>
      <c r="AB10" s="15">
        <f>IFERROR(AA10/1970,0)</f>
        <v>0</v>
      </c>
      <c r="AC10" s="11">
        <v>0</v>
      </c>
      <c r="AD10" s="15">
        <f>IFERROR(AC10/64.5,0)</f>
        <v>0</v>
      </c>
      <c r="AE10" s="11">
        <v>15</v>
      </c>
      <c r="AF10" s="11">
        <v>29</v>
      </c>
      <c r="AG10" s="7">
        <f t="shared" si="10"/>
        <v>8194.4800000000032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35</v>
      </c>
      <c r="C11" s="7"/>
      <c r="D11" s="7">
        <v>7</v>
      </c>
      <c r="E11" s="7">
        <v>4819</v>
      </c>
      <c r="F11" s="7">
        <v>4630</v>
      </c>
      <c r="G11" s="7">
        <v>8</v>
      </c>
      <c r="H11" s="9">
        <f t="shared" si="0"/>
        <v>1.7278617710583153E-3</v>
      </c>
      <c r="I11" s="9">
        <f>IFERROR((4819-F11)/4819,0)</f>
        <v>3.9219755135920319E-2</v>
      </c>
      <c r="J11" s="7">
        <v>31350</v>
      </c>
      <c r="K11" s="11">
        <f t="shared" si="1"/>
        <v>96.729404504782465</v>
      </c>
      <c r="L11" s="11">
        <f>K11-95.4537</f>
        <v>1.2757045047824676</v>
      </c>
      <c r="M11" s="11">
        <v>94.5</v>
      </c>
      <c r="N11" s="11">
        <f t="shared" si="2"/>
        <v>2.2294045047824653</v>
      </c>
      <c r="O11" s="11">
        <f>IFERROR(492786/4819,0)</f>
        <v>102.25897489105624</v>
      </c>
      <c r="P11" s="11">
        <v>104</v>
      </c>
      <c r="Q11" s="11">
        <f t="shared" si="3"/>
        <v>-1.7410251089437594</v>
      </c>
      <c r="R11" s="7">
        <v>5049</v>
      </c>
      <c r="S11" s="11">
        <f t="shared" si="4"/>
        <v>155.78525146559704</v>
      </c>
      <c r="T11" s="13">
        <f t="shared" si="5"/>
        <v>6.2091503267973858</v>
      </c>
      <c r="U11" s="7">
        <v>5040</v>
      </c>
      <c r="V11" s="11">
        <f t="shared" si="6"/>
        <v>155.50755939524839</v>
      </c>
      <c r="W11" s="11">
        <f t="shared" si="7"/>
        <v>0.99821746880570417</v>
      </c>
      <c r="X11" s="11">
        <v>362.76</v>
      </c>
      <c r="Y11" s="11">
        <f t="shared" si="8"/>
        <v>161.05263157894737</v>
      </c>
      <c r="Z11" s="11">
        <f t="shared" si="9"/>
        <v>58.423452631578947</v>
      </c>
      <c r="AA11" s="7">
        <v>1508</v>
      </c>
      <c r="AB11" s="15">
        <f>IFERROR(AA11/1910,0)</f>
        <v>0.78952879581151836</v>
      </c>
      <c r="AC11" s="11">
        <v>0</v>
      </c>
      <c r="AD11" s="15">
        <f>IFERROR(AC11/61.8,0)</f>
        <v>0</v>
      </c>
      <c r="AE11" s="11">
        <v>15</v>
      </c>
      <c r="AF11" s="11">
        <v>28</v>
      </c>
      <c r="AG11" s="7">
        <f t="shared" si="10"/>
        <v>722.549999999997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39251</v>
      </c>
      <c r="G12" s="17">
        <f>SUM(G6:G11)</f>
        <v>117</v>
      </c>
      <c r="H12" s="18">
        <f t="shared" si="0"/>
        <v>2.9808157753942574E-3</v>
      </c>
      <c r="I12" s="18"/>
      <c r="J12" s="17">
        <f>SUM(J6:J11)</f>
        <v>162390</v>
      </c>
      <c r="K12" s="19">
        <f t="shared" si="1"/>
        <v>59.103134769996757</v>
      </c>
      <c r="L12" s="19"/>
      <c r="M12" s="19">
        <f>IFERROR(SUMPRODUCT($F6:$F11,M6:M11)/$F12, 0)</f>
        <v>37.783954548928691</v>
      </c>
      <c r="N12" s="19">
        <f t="shared" si="2"/>
        <v>21.319180221068066</v>
      </c>
      <c r="O12" s="19">
        <f>IFERROR(SUMPRODUCT($E6:$E11,O6:O11)/$E12, 0)</f>
        <v>237.25995022183747</v>
      </c>
      <c r="P12" s="19">
        <f>IFERROR(SUMPRODUCT($E6:$E11,P6:P11)/$E12, 0)</f>
        <v>22.10414457309815</v>
      </c>
      <c r="Q12" s="19">
        <f>IFERROR(SUMPRODUCT($E6:$E11,Q6:Q11)/$E12, 0)</f>
        <v>215.15580564873932</v>
      </c>
      <c r="R12" s="17">
        <f>SUM(R6:R11)</f>
        <v>36230</v>
      </c>
      <c r="S12" s="19">
        <f>IFERROR(R12/D12/$F12*1000,0)</f>
        <v>131.86197257940651</v>
      </c>
      <c r="T12" s="20">
        <f t="shared" si="5"/>
        <v>4.4821970742478605</v>
      </c>
      <c r="U12" s="17">
        <f>SUM(U6:U11)</f>
        <v>15120</v>
      </c>
      <c r="V12" s="19">
        <f>IFERROR(U12/D12/$F12*1000,0)</f>
        <v>55.030445084201681</v>
      </c>
      <c r="W12" s="19">
        <f t="shared" si="7"/>
        <v>0.41733370135247044</v>
      </c>
      <c r="X12" s="19">
        <f>IFERROR(SUMPRODUCT(R6:R11,X6:X11)/R12,0)</f>
        <v>367.72089925476126</v>
      </c>
      <c r="Y12" s="19">
        <f>IFERROR(($F12*S12)/($F12*K12)*100,0)</f>
        <v>223.10487098959294</v>
      </c>
      <c r="Z12" s="19">
        <f t="shared" si="9"/>
        <v>82.040323788410618</v>
      </c>
      <c r="AA12" s="17"/>
      <c r="AB12" s="21">
        <f>IFERROR(SUMPRODUCT($F6:$F11,AB6:AB11)/$F12,0)</f>
        <v>0.19646292428916454</v>
      </c>
      <c r="AC12" s="19"/>
      <c r="AD12" s="21">
        <f>AVERAGE(AD6:AD11)</f>
        <v>0</v>
      </c>
      <c r="AE12" s="19"/>
      <c r="AF12" s="19"/>
      <c r="AG12" s="17">
        <f>SUM(AG6:AG11)</f>
        <v>58575.94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75</v>
      </c>
      <c r="C14" s="6">
        <v>12</v>
      </c>
      <c r="D14" s="6">
        <v>7</v>
      </c>
      <c r="E14" s="6">
        <v>21388</v>
      </c>
      <c r="F14" s="6">
        <v>16852</v>
      </c>
      <c r="G14" s="6">
        <v>34</v>
      </c>
      <c r="H14" s="8">
        <f t="shared" ref="H14:H31" si="12">IFERROR(G14/F14,0)</f>
        <v>2.0175646807500595E-3</v>
      </c>
      <c r="I14" s="8">
        <f>IFERROR((21388-F14)/21388,0)</f>
        <v>0.21208154105105667</v>
      </c>
      <c r="J14" s="6">
        <v>92220</v>
      </c>
      <c r="K14" s="10">
        <f t="shared" ref="K14:K31" si="13">IFERROR(J14/D14/F14*100,0)</f>
        <v>78.17639279780272</v>
      </c>
      <c r="L14" s="10">
        <f>K14-73.5521</f>
        <v>4.624292797802724</v>
      </c>
      <c r="M14" s="10">
        <v>86</v>
      </c>
      <c r="N14" s="10">
        <f t="shared" ref="N14:N31" si="14">K14-M14</f>
        <v>-7.8236072021972802</v>
      </c>
      <c r="O14" s="10">
        <f>IFERROR(4708470/21388,0)</f>
        <v>220.14540864035908</v>
      </c>
      <c r="P14" s="10">
        <v>0</v>
      </c>
      <c r="Q14" s="10">
        <f t="shared" ref="Q14:Q30" si="15">IFERROR(O14-P14,0)</f>
        <v>220.14540864035908</v>
      </c>
      <c r="R14" s="6">
        <v>8990</v>
      </c>
      <c r="S14" s="10">
        <f t="shared" ref="S14:S30" si="16">IFERROR(R14/D14/F14*1000,0)</f>
        <v>76.209691092197616</v>
      </c>
      <c r="T14" s="12">
        <f t="shared" ref="T14:T31" si="17">IFERROR(J14/R14,0)</f>
        <v>10.258064516129032</v>
      </c>
      <c r="U14" s="6">
        <v>21300</v>
      </c>
      <c r="V14" s="10">
        <f t="shared" ref="V14:V30" si="18">IFERROR(U14/D14/F14*1000,0)</f>
        <v>180.56356176460613</v>
      </c>
      <c r="W14" s="10">
        <f t="shared" ref="W14:W31" si="19">IFERROR(V14/S14,0)</f>
        <v>2.3692992213570632</v>
      </c>
      <c r="X14" s="10">
        <v>299.89571428570002</v>
      </c>
      <c r="Y14" s="10">
        <f t="shared" ref="Y14:Y30" si="20">IFERROR((F14*S14)/(F14*K14)*100,0)</f>
        <v>97.484276729559767</v>
      </c>
      <c r="Z14" s="10">
        <f t="shared" ref="Z14:Z31" si="21">IFERROR(Y14*X14/1000,0)</f>
        <v>29.23511680143617</v>
      </c>
      <c r="AA14" s="6">
        <v>2120</v>
      </c>
      <c r="AB14" s="14">
        <f>IFERROR(AA14/1580,0)</f>
        <v>1.3417721518987342</v>
      </c>
      <c r="AC14" s="10">
        <v>64.5</v>
      </c>
      <c r="AD14" s="14">
        <f>IFERROR(AC14/63.4,0)</f>
        <v>1.0173501577287067</v>
      </c>
      <c r="AE14" s="10">
        <v>22</v>
      </c>
      <c r="AF14" s="10">
        <v>25</v>
      </c>
      <c r="AG14" s="6">
        <f t="shared" ref="AG14:AG30" si="22">IF(M14=0,0,IFERROR(N14/100*7*F14,0))</f>
        <v>-9229.0399999999991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36</v>
      </c>
      <c r="C15" s="7"/>
      <c r="D15" s="7">
        <v>7</v>
      </c>
      <c r="E15" s="7">
        <v>10225</v>
      </c>
      <c r="F15" s="7">
        <v>9266</v>
      </c>
      <c r="G15" s="7">
        <v>49</v>
      </c>
      <c r="H15" s="9">
        <f t="shared" si="12"/>
        <v>5.2881502266350095E-3</v>
      </c>
      <c r="I15" s="9">
        <f>IFERROR((10225-F15)/10225,0)</f>
        <v>9.3789731051344749E-2</v>
      </c>
      <c r="J15" s="7">
        <v>55380</v>
      </c>
      <c r="K15" s="11">
        <f t="shared" si="13"/>
        <v>85.381271006136103</v>
      </c>
      <c r="L15" s="11">
        <f>K15-83.7819</f>
        <v>1.5993710061361099</v>
      </c>
      <c r="M15" s="11">
        <v>93.5</v>
      </c>
      <c r="N15" s="11">
        <f t="shared" si="14"/>
        <v>-8.1187289938638969</v>
      </c>
      <c r="O15" s="11">
        <f>IFERROR(902360/10225,0)</f>
        <v>88.250366748166257</v>
      </c>
      <c r="P15" s="11">
        <v>111</v>
      </c>
      <c r="Q15" s="11">
        <f t="shared" si="15"/>
        <v>-22.749633251833743</v>
      </c>
      <c r="R15" s="7">
        <v>9520</v>
      </c>
      <c r="S15" s="11">
        <f t="shared" si="16"/>
        <v>146.77314914742067</v>
      </c>
      <c r="T15" s="13">
        <f t="shared" si="17"/>
        <v>5.8172268907563023</v>
      </c>
      <c r="U15" s="7">
        <v>12750</v>
      </c>
      <c r="V15" s="11">
        <f t="shared" si="18"/>
        <v>196.57118189386696</v>
      </c>
      <c r="W15" s="11">
        <f t="shared" si="19"/>
        <v>1.3392857142857142</v>
      </c>
      <c r="X15" s="11">
        <v>301.50571428569998</v>
      </c>
      <c r="Y15" s="11">
        <f t="shared" si="20"/>
        <v>171.90321415673529</v>
      </c>
      <c r="Z15" s="11">
        <f t="shared" si="21"/>
        <v>51.829801372334131</v>
      </c>
      <c r="AA15" s="7">
        <v>0</v>
      </c>
      <c r="AB15" s="15">
        <f>IFERROR(AA15/1920,0)</f>
        <v>0</v>
      </c>
      <c r="AC15" s="11">
        <v>0</v>
      </c>
      <c r="AD15" s="15">
        <f>IFERROR(AC15/61.9,0)</f>
        <v>0</v>
      </c>
      <c r="AE15" s="11">
        <v>23</v>
      </c>
      <c r="AF15" s="11">
        <v>30</v>
      </c>
      <c r="AG15" s="7">
        <f t="shared" si="22"/>
        <v>-5265.97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64</v>
      </c>
      <c r="C16" s="7"/>
      <c r="D16" s="7">
        <v>7</v>
      </c>
      <c r="E16" s="7">
        <v>56050</v>
      </c>
      <c r="F16" s="7">
        <v>50670</v>
      </c>
      <c r="G16" s="7">
        <v>128</v>
      </c>
      <c r="H16" s="9">
        <f t="shared" si="12"/>
        <v>2.5261495954213538E-3</v>
      </c>
      <c r="I16" s="9">
        <f>IFERROR((56050-F16)/56050,0)</f>
        <v>9.5985727029438001E-2</v>
      </c>
      <c r="J16" s="7">
        <v>329480</v>
      </c>
      <c r="K16" s="11">
        <f t="shared" si="13"/>
        <v>92.892384899489684</v>
      </c>
      <c r="L16" s="11">
        <f>K16-92.5346</f>
        <v>0.35778489948968684</v>
      </c>
      <c r="M16" s="11">
        <v>90.2</v>
      </c>
      <c r="N16" s="11">
        <f t="shared" si="14"/>
        <v>2.6923848994896815</v>
      </c>
      <c r="O16" s="11">
        <f>IFERROR(15497121/56050,0)</f>
        <v>276.48743978590545</v>
      </c>
      <c r="P16" s="11">
        <v>280</v>
      </c>
      <c r="Q16" s="11">
        <f t="shared" si="15"/>
        <v>-3.5125602140945489</v>
      </c>
      <c r="R16" s="7">
        <v>40510</v>
      </c>
      <c r="S16" s="11">
        <f t="shared" si="16"/>
        <v>114.21241083763286</v>
      </c>
      <c r="T16" s="13">
        <f t="shared" si="17"/>
        <v>8.1333004196494691</v>
      </c>
      <c r="U16" s="7">
        <v>61200</v>
      </c>
      <c r="V16" s="11">
        <f t="shared" si="18"/>
        <v>172.54503933011927</v>
      </c>
      <c r="W16" s="11">
        <f t="shared" si="19"/>
        <v>1.5107380893606519</v>
      </c>
      <c r="X16" s="11">
        <v>299.05</v>
      </c>
      <c r="Y16" s="11">
        <f t="shared" si="20"/>
        <v>122.95131722714581</v>
      </c>
      <c r="Z16" s="11">
        <f t="shared" si="21"/>
        <v>36.768591416777959</v>
      </c>
      <c r="AA16" s="7">
        <v>1780</v>
      </c>
      <c r="AB16" s="15">
        <f>IFERROR(AA16/1725,0)</f>
        <v>1.0318840579710145</v>
      </c>
      <c r="AC16" s="11">
        <v>0</v>
      </c>
      <c r="AD16" s="15">
        <f>IFERROR(AC16/63.4,0)</f>
        <v>0</v>
      </c>
      <c r="AE16" s="11">
        <v>20</v>
      </c>
      <c r="AF16" s="11">
        <v>25</v>
      </c>
      <c r="AG16" s="7">
        <f t="shared" si="22"/>
        <v>9549.6199999999517</v>
      </c>
      <c r="AH16" s="7">
        <v>34</v>
      </c>
      <c r="AI16" s="7">
        <v>4.1176470588000003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IFERROR(630/F16,0)</f>
        <v>1.2433392539964476E-2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138</v>
      </c>
      <c r="C17" s="7">
        <v>22</v>
      </c>
      <c r="D17" s="7">
        <v>7</v>
      </c>
      <c r="E17" s="7">
        <v>17433</v>
      </c>
      <c r="F17" s="7">
        <v>15787</v>
      </c>
      <c r="G17" s="7">
        <v>60</v>
      </c>
      <c r="H17" s="9">
        <f t="shared" si="12"/>
        <v>3.8005954266168368E-3</v>
      </c>
      <c r="I17" s="9">
        <f>IFERROR((17433-F17)/17433,0)</f>
        <v>9.4418631331383007E-2</v>
      </c>
      <c r="J17" s="7">
        <v>64190</v>
      </c>
      <c r="K17" s="11">
        <f t="shared" si="13"/>
        <v>58.085766770127321</v>
      </c>
      <c r="L17" s="11">
        <f>K17-59.155</f>
        <v>-1.0692332298726797</v>
      </c>
      <c r="M17" s="11">
        <v>76</v>
      </c>
      <c r="N17" s="11">
        <f t="shared" si="14"/>
        <v>-17.914233229872679</v>
      </c>
      <c r="O17" s="11">
        <f>IFERROR(1565094/17433,0)</f>
        <v>89.777663052830832</v>
      </c>
      <c r="P17" s="11">
        <v>0</v>
      </c>
      <c r="Q17" s="11">
        <f t="shared" si="15"/>
        <v>89.777663052830832</v>
      </c>
      <c r="R17" s="7">
        <v>15870</v>
      </c>
      <c r="S17" s="11">
        <f t="shared" si="16"/>
        <v>143.6082129057362</v>
      </c>
      <c r="T17" s="13">
        <f t="shared" si="17"/>
        <v>4.0447385003150602</v>
      </c>
      <c r="U17" s="7">
        <v>26130</v>
      </c>
      <c r="V17" s="11">
        <f t="shared" si="18"/>
        <v>236.45132975594746</v>
      </c>
      <c r="W17" s="11">
        <f t="shared" si="19"/>
        <v>1.6465028355387521</v>
      </c>
      <c r="X17" s="11">
        <v>291.72428571429998</v>
      </c>
      <c r="Y17" s="11">
        <f t="shared" si="20"/>
        <v>247.23477177130397</v>
      </c>
      <c r="Z17" s="11">
        <f t="shared" si="21"/>
        <v>72.124387198721621</v>
      </c>
      <c r="AA17" s="7">
        <v>0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17</v>
      </c>
      <c r="AF17" s="11">
        <v>31</v>
      </c>
      <c r="AG17" s="7">
        <f t="shared" si="22"/>
        <v>-19796.839999999997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 t="shared" ref="AO17:AO24" si="23"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57</v>
      </c>
      <c r="C18" s="7"/>
      <c r="D18" s="7">
        <v>7</v>
      </c>
      <c r="E18" s="7">
        <v>51536</v>
      </c>
      <c r="F18" s="7">
        <v>48398</v>
      </c>
      <c r="G18" s="7">
        <v>146</v>
      </c>
      <c r="H18" s="9">
        <f t="shared" si="12"/>
        <v>3.0166535807264762E-3</v>
      </c>
      <c r="I18" s="9">
        <f>IFERROR((51536-F18)/51536,0)</f>
        <v>6.0889475318224154E-2</v>
      </c>
      <c r="J18" s="7">
        <v>315000</v>
      </c>
      <c r="K18" s="11">
        <f t="shared" si="13"/>
        <v>92.979048721021528</v>
      </c>
      <c r="L18" s="11">
        <f>K18-93.1379</f>
        <v>-0.1588512789784744</v>
      </c>
      <c r="M18" s="11">
        <v>92.15</v>
      </c>
      <c r="N18" s="11">
        <f t="shared" si="14"/>
        <v>0.82904872102152183</v>
      </c>
      <c r="O18" s="11">
        <f>IFERROR(11870202/51536,0)</f>
        <v>230.328352995964</v>
      </c>
      <c r="P18" s="11">
        <v>238</v>
      </c>
      <c r="Q18" s="11">
        <f t="shared" si="15"/>
        <v>-7.6716470040360036</v>
      </c>
      <c r="R18" s="7">
        <v>40500</v>
      </c>
      <c r="S18" s="11">
        <f t="shared" si="16"/>
        <v>119.54449121274196</v>
      </c>
      <c r="T18" s="13">
        <f t="shared" si="17"/>
        <v>7.7777777777777777</v>
      </c>
      <c r="U18" s="7">
        <v>68676</v>
      </c>
      <c r="V18" s="11">
        <f t="shared" si="18"/>
        <v>202.71203650682142</v>
      </c>
      <c r="W18" s="11">
        <f t="shared" si="19"/>
        <v>1.6957037037037039</v>
      </c>
      <c r="X18" s="11">
        <v>289.88857142860002</v>
      </c>
      <c r="Y18" s="11">
        <f t="shared" si="20"/>
        <v>128.57142857142856</v>
      </c>
      <c r="Z18" s="11">
        <f t="shared" si="21"/>
        <v>37.271387755105707</v>
      </c>
      <c r="AA18" s="7">
        <v>1690</v>
      </c>
      <c r="AB18" s="15">
        <f>IFERROR(AA18/1725,0)</f>
        <v>0.97971014492753628</v>
      </c>
      <c r="AC18" s="11">
        <v>62.8</v>
      </c>
      <c r="AD18" s="15">
        <f>IFERROR(AC18/63.05,0)</f>
        <v>0.99603489294210945</v>
      </c>
      <c r="AE18" s="11">
        <v>21</v>
      </c>
      <c r="AF18" s="11">
        <v>26</v>
      </c>
      <c r="AG18" s="7">
        <f t="shared" si="22"/>
        <v>2808.7009999999727</v>
      </c>
      <c r="AH18" s="7">
        <v>21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 t="shared" si="23"/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105</v>
      </c>
      <c r="C19" s="7">
        <v>35</v>
      </c>
      <c r="D19" s="7">
        <v>7</v>
      </c>
      <c r="E19" s="7">
        <v>51311</v>
      </c>
      <c r="F19" s="7">
        <v>39238</v>
      </c>
      <c r="G19" s="7">
        <v>142</v>
      </c>
      <c r="H19" s="9">
        <f t="shared" si="12"/>
        <v>3.6189408226718995E-3</v>
      </c>
      <c r="I19" s="9">
        <f>IFERROR((51311-F19)/51311,0)</f>
        <v>0.23529067841203641</v>
      </c>
      <c r="J19" s="7">
        <v>232580</v>
      </c>
      <c r="K19" s="11">
        <f t="shared" si="13"/>
        <v>84.677389993665017</v>
      </c>
      <c r="L19" s="11">
        <f>K19-83.8642</f>
        <v>0.81318999366501998</v>
      </c>
      <c r="M19" s="11">
        <v>72</v>
      </c>
      <c r="N19" s="11">
        <f t="shared" si="14"/>
        <v>12.677389993665017</v>
      </c>
      <c r="O19" s="11">
        <f>IFERROR(23162989/51311,0)</f>
        <v>451.42345695854692</v>
      </c>
      <c r="P19" s="11">
        <v>0</v>
      </c>
      <c r="Q19" s="11">
        <f t="shared" si="15"/>
        <v>451.42345695854692</v>
      </c>
      <c r="R19" s="7">
        <v>33040</v>
      </c>
      <c r="S19" s="11">
        <f t="shared" si="16"/>
        <v>120.29155410571384</v>
      </c>
      <c r="T19" s="13">
        <f t="shared" si="17"/>
        <v>7.0393462469733654</v>
      </c>
      <c r="U19" s="7">
        <v>52850</v>
      </c>
      <c r="V19" s="11">
        <f t="shared" si="18"/>
        <v>192.41551557163976</v>
      </c>
      <c r="W19" s="11">
        <f t="shared" si="19"/>
        <v>1.599576271186441</v>
      </c>
      <c r="X19" s="11">
        <v>297.33999999999997</v>
      </c>
      <c r="Y19" s="11">
        <f t="shared" si="20"/>
        <v>142.05864648723022</v>
      </c>
      <c r="Z19" s="11">
        <f t="shared" si="21"/>
        <v>42.239717946513032</v>
      </c>
      <c r="AA19" s="7">
        <v>1720</v>
      </c>
      <c r="AB19" s="15">
        <f>IFERROR(AA19/0,0)</f>
        <v>0</v>
      </c>
      <c r="AC19" s="11">
        <v>0</v>
      </c>
      <c r="AD19" s="15">
        <f>IFERROR(AC19/0,0)</f>
        <v>0</v>
      </c>
      <c r="AE19" s="11">
        <v>21</v>
      </c>
      <c r="AF19" s="11">
        <v>26</v>
      </c>
      <c r="AG19" s="7">
        <f t="shared" si="22"/>
        <v>34820.47999999996</v>
      </c>
      <c r="AH19" s="7">
        <v>28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 t="shared" si="23"/>
        <v>0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36</v>
      </c>
      <c r="C20" s="7"/>
      <c r="D20" s="7">
        <v>7</v>
      </c>
      <c r="E20" s="7">
        <v>52424</v>
      </c>
      <c r="F20" s="7">
        <v>50929</v>
      </c>
      <c r="G20" s="7">
        <v>101</v>
      </c>
      <c r="H20" s="9">
        <f t="shared" si="12"/>
        <v>1.9831530169451589E-3</v>
      </c>
      <c r="I20" s="9">
        <f>IFERROR((52424-F20)/52424,0)</f>
        <v>2.8517472913169542E-2</v>
      </c>
      <c r="J20" s="7">
        <v>332500</v>
      </c>
      <c r="K20" s="11">
        <f t="shared" si="13"/>
        <v>93.267097331579265</v>
      </c>
      <c r="L20" s="11">
        <f>K20-94.5718</f>
        <v>-1.304702668420731</v>
      </c>
      <c r="M20" s="11">
        <v>95.55</v>
      </c>
      <c r="N20" s="11">
        <f t="shared" si="14"/>
        <v>-2.2829026684207321</v>
      </c>
      <c r="O20" s="11">
        <f>IFERROR(5200020/52424,0)</f>
        <v>99.191591637417972</v>
      </c>
      <c r="P20" s="11">
        <v>105</v>
      </c>
      <c r="Q20" s="11">
        <f t="shared" si="15"/>
        <v>-5.8084083625820284</v>
      </c>
      <c r="R20" s="7">
        <v>39514</v>
      </c>
      <c r="S20" s="11">
        <f t="shared" si="16"/>
        <v>110.8377769612037</v>
      </c>
      <c r="T20" s="13">
        <f t="shared" si="17"/>
        <v>8.4147390798198103</v>
      </c>
      <c r="U20" s="7">
        <v>64863</v>
      </c>
      <c r="V20" s="11">
        <f t="shared" si="18"/>
        <v>181.94236794641279</v>
      </c>
      <c r="W20" s="11">
        <f t="shared" si="19"/>
        <v>1.6415194614566988</v>
      </c>
      <c r="X20" s="11">
        <v>336.46428571429999</v>
      </c>
      <c r="Y20" s="11">
        <f t="shared" si="20"/>
        <v>118.83909774436093</v>
      </c>
      <c r="Z20" s="11">
        <f t="shared" si="21"/>
        <v>39.985112137488279</v>
      </c>
      <c r="AA20" s="7">
        <v>1691</v>
      </c>
      <c r="AB20" s="15">
        <f>IFERROR(AA20/1695,0)</f>
        <v>0.99764011799410024</v>
      </c>
      <c r="AC20" s="11">
        <v>61.03</v>
      </c>
      <c r="AD20" s="15">
        <f>IFERROR(AC20/61.1,0)</f>
        <v>0.9988543371522095</v>
      </c>
      <c r="AE20" s="11">
        <v>23</v>
      </c>
      <c r="AF20" s="11">
        <v>26</v>
      </c>
      <c r="AG20" s="7">
        <f t="shared" si="22"/>
        <v>-8138.6164999999619</v>
      </c>
      <c r="AH20" s="7">
        <v>32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 t="shared" si="23"/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63</v>
      </c>
      <c r="B21" s="5">
        <v>26</v>
      </c>
      <c r="C21" s="7"/>
      <c r="D21" s="7">
        <v>7</v>
      </c>
      <c r="E21" s="7">
        <v>50525</v>
      </c>
      <c r="F21" s="7">
        <v>49935</v>
      </c>
      <c r="G21" s="7">
        <v>84</v>
      </c>
      <c r="H21" s="9">
        <f t="shared" si="12"/>
        <v>1.6821868428957645E-3</v>
      </c>
      <c r="I21" s="9">
        <f>IFERROR((50525-F21)/50525,0)</f>
        <v>1.1677387431964375E-2</v>
      </c>
      <c r="J21" s="7">
        <v>292260</v>
      </c>
      <c r="K21" s="11">
        <f t="shared" si="13"/>
        <v>83.611552160666008</v>
      </c>
      <c r="L21" s="11">
        <f>K21-89.7316</f>
        <v>-6.1200478393339921</v>
      </c>
      <c r="M21" s="11">
        <v>95</v>
      </c>
      <c r="N21" s="11">
        <f t="shared" si="14"/>
        <v>-11.388447839333992</v>
      </c>
      <c r="O21" s="11">
        <f>IFERROR(1703980/50525,0)</f>
        <v>33.725482434438398</v>
      </c>
      <c r="P21" s="11">
        <v>41</v>
      </c>
      <c r="Q21" s="11">
        <f t="shared" si="15"/>
        <v>-7.2745175655616023</v>
      </c>
      <c r="R21" s="7">
        <v>37539</v>
      </c>
      <c r="S21" s="11">
        <f t="shared" si="16"/>
        <v>107.39389778140153</v>
      </c>
      <c r="T21" s="13">
        <f t="shared" si="17"/>
        <v>7.7855030768001274</v>
      </c>
      <c r="U21" s="7">
        <v>68545</v>
      </c>
      <c r="V21" s="11">
        <f t="shared" si="18"/>
        <v>196.09778426239828</v>
      </c>
      <c r="W21" s="11">
        <f t="shared" si="19"/>
        <v>1.8259676602999548</v>
      </c>
      <c r="X21" s="11">
        <v>307.44571428569998</v>
      </c>
      <c r="Y21" s="11">
        <f t="shared" si="20"/>
        <v>128.44385136522274</v>
      </c>
      <c r="Z21" s="11">
        <f t="shared" si="21"/>
        <v>39.489511628587188</v>
      </c>
      <c r="AA21" s="7">
        <v>1611</v>
      </c>
      <c r="AB21" s="15">
        <f>IFERROR(AA21/1510,0)</f>
        <v>1.066887417218543</v>
      </c>
      <c r="AC21" s="11">
        <v>55.71</v>
      </c>
      <c r="AD21" s="15">
        <f>IFERROR(AC21/54.7,0)</f>
        <v>1.0184643510054845</v>
      </c>
      <c r="AE21" s="11">
        <v>20</v>
      </c>
      <c r="AF21" s="11">
        <v>26</v>
      </c>
      <c r="AG21" s="7">
        <f t="shared" si="22"/>
        <v>-39807.75</v>
      </c>
      <c r="AH21" s="7">
        <v>22</v>
      </c>
      <c r="AI21" s="7">
        <v>19.090909090899999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 t="shared" si="23"/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64</v>
      </c>
      <c r="B22" s="5">
        <v>45</v>
      </c>
      <c r="C22" s="7"/>
      <c r="D22" s="7">
        <v>7</v>
      </c>
      <c r="E22" s="7">
        <v>50845</v>
      </c>
      <c r="F22" s="7">
        <v>49404</v>
      </c>
      <c r="G22" s="7">
        <v>50</v>
      </c>
      <c r="H22" s="9">
        <f t="shared" si="12"/>
        <v>1.0120638005019836E-3</v>
      </c>
      <c r="I22" s="9">
        <f>IFERROR((50845-F22)/50845,0)</f>
        <v>2.8341036483430032E-2</v>
      </c>
      <c r="J22" s="7">
        <v>323380</v>
      </c>
      <c r="K22" s="11">
        <f t="shared" si="13"/>
        <v>93.508911944666124</v>
      </c>
      <c r="L22" s="11">
        <f>K22-93.6801</f>
        <v>-0.1711880553338716</v>
      </c>
      <c r="M22" s="11">
        <v>95.05</v>
      </c>
      <c r="N22" s="11">
        <f t="shared" si="14"/>
        <v>-1.5410880553338728</v>
      </c>
      <c r="O22" s="11">
        <f>IFERROR(8077480/50845,0)</f>
        <v>158.86478513128134</v>
      </c>
      <c r="P22" s="11">
        <v>163</v>
      </c>
      <c r="Q22" s="11">
        <f t="shared" si="15"/>
        <v>-4.1352148687186627</v>
      </c>
      <c r="R22" s="7">
        <v>39607</v>
      </c>
      <c r="S22" s="11">
        <f t="shared" si="16"/>
        <v>114.52803127566304</v>
      </c>
      <c r="T22" s="13">
        <f t="shared" si="17"/>
        <v>8.1647183578660343</v>
      </c>
      <c r="U22" s="7">
        <v>66200</v>
      </c>
      <c r="V22" s="11">
        <f t="shared" si="18"/>
        <v>191.42463883780374</v>
      </c>
      <c r="W22" s="11">
        <f t="shared" si="19"/>
        <v>1.6714217183831139</v>
      </c>
      <c r="X22" s="11">
        <v>289.03571428570001</v>
      </c>
      <c r="Y22" s="11">
        <f t="shared" si="20"/>
        <v>122.47819902282144</v>
      </c>
      <c r="Z22" s="11">
        <f t="shared" si="21"/>
        <v>35.400573738987319</v>
      </c>
      <c r="AA22" s="7">
        <v>1774</v>
      </c>
      <c r="AB22" s="15">
        <f>IFERROR(AA22/1715,0)</f>
        <v>1.0344023323615161</v>
      </c>
      <c r="AC22" s="11">
        <v>62.01</v>
      </c>
      <c r="AD22" s="15">
        <f>IFERROR(AC22/62.3,0)</f>
        <v>0.99534510433386836</v>
      </c>
      <c r="AE22" s="11">
        <v>16</v>
      </c>
      <c r="AF22" s="11">
        <v>26</v>
      </c>
      <c r="AG22" s="7">
        <f t="shared" si="22"/>
        <v>-5329.5140000000265</v>
      </c>
      <c r="AH22" s="7">
        <v>39</v>
      </c>
      <c r="AI22" s="7">
        <v>17.948717948700001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 t="shared" si="23"/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65</v>
      </c>
      <c r="B23" s="5">
        <v>95</v>
      </c>
      <c r="C23" s="7">
        <v>32</v>
      </c>
      <c r="D23" s="7">
        <v>7</v>
      </c>
      <c r="E23" s="7">
        <v>20160</v>
      </c>
      <c r="F23" s="7">
        <v>15362</v>
      </c>
      <c r="G23" s="7">
        <v>56</v>
      </c>
      <c r="H23" s="9">
        <f t="shared" si="12"/>
        <v>3.6453586772555659E-3</v>
      </c>
      <c r="I23" s="9">
        <f>IFERROR((20160-F23)/20160,0)</f>
        <v>0.23799603174603173</v>
      </c>
      <c r="J23" s="7">
        <v>82240</v>
      </c>
      <c r="K23" s="11">
        <f t="shared" si="13"/>
        <v>76.478137147320851</v>
      </c>
      <c r="L23" s="11">
        <f>K23-78.6002</f>
        <v>-2.1220628526791501</v>
      </c>
      <c r="M23" s="11">
        <v>73</v>
      </c>
      <c r="N23" s="11">
        <f t="shared" si="14"/>
        <v>3.4781371473208509</v>
      </c>
      <c r="O23" s="11">
        <f>IFERROR(6307424/20160,0)</f>
        <v>312.86825396825395</v>
      </c>
      <c r="P23" s="11">
        <v>0</v>
      </c>
      <c r="Q23" s="11">
        <f t="shared" si="15"/>
        <v>312.86825396825395</v>
      </c>
      <c r="R23" s="7">
        <v>17917</v>
      </c>
      <c r="S23" s="11">
        <f t="shared" si="16"/>
        <v>166.61706994996931</v>
      </c>
      <c r="T23" s="13">
        <f t="shared" si="17"/>
        <v>4.5900541385276554</v>
      </c>
      <c r="U23" s="7">
        <v>21270</v>
      </c>
      <c r="V23" s="11">
        <f t="shared" si="18"/>
        <v>197.79790577863744</v>
      </c>
      <c r="W23" s="11">
        <f t="shared" si="19"/>
        <v>1.1871407043589886</v>
      </c>
      <c r="X23" s="11">
        <v>299.89571428570002</v>
      </c>
      <c r="Y23" s="11">
        <f t="shared" si="20"/>
        <v>217.8623540856031</v>
      </c>
      <c r="Z23" s="11">
        <f t="shared" si="21"/>
        <v>65.335986294466039</v>
      </c>
      <c r="AA23" s="7">
        <v>2180</v>
      </c>
      <c r="AB23" s="15">
        <f>IFERROR(AA23/1980,0)</f>
        <v>1.101010101010101</v>
      </c>
      <c r="AC23" s="11">
        <v>65.2</v>
      </c>
      <c r="AD23" s="15">
        <f>IFERROR(AC23/65.2,0)</f>
        <v>1</v>
      </c>
      <c r="AE23" s="11">
        <v>22</v>
      </c>
      <c r="AF23" s="11">
        <v>25</v>
      </c>
      <c r="AG23" s="7">
        <f t="shared" si="22"/>
        <v>3740.1800000000035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 t="shared" si="23"/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36</v>
      </c>
      <c r="C24" s="7"/>
      <c r="D24" s="7">
        <v>7</v>
      </c>
      <c r="E24" s="7">
        <v>21875</v>
      </c>
      <c r="F24" s="7">
        <v>21422</v>
      </c>
      <c r="G24" s="7">
        <v>23</v>
      </c>
      <c r="H24" s="9">
        <f t="shared" si="12"/>
        <v>1.0736625898608906E-3</v>
      </c>
      <c r="I24" s="9">
        <f>IFERROR((21875-F24)/21875,0)</f>
        <v>2.0708571428571427E-2</v>
      </c>
      <c r="J24" s="7">
        <v>138960</v>
      </c>
      <c r="K24" s="11">
        <f t="shared" si="13"/>
        <v>92.668418314949918</v>
      </c>
      <c r="L24" s="11">
        <f>K24-94.2477</f>
        <v>-1.579281685050077</v>
      </c>
      <c r="M24" s="11">
        <v>93.5</v>
      </c>
      <c r="N24" s="11">
        <f t="shared" si="14"/>
        <v>-0.83158168505008234</v>
      </c>
      <c r="O24" s="11">
        <f>IFERROR(2444550/21875,0)</f>
        <v>111.75085714285714</v>
      </c>
      <c r="P24" s="11">
        <v>111</v>
      </c>
      <c r="Q24" s="11">
        <f t="shared" si="15"/>
        <v>0.75085714285714289</v>
      </c>
      <c r="R24" s="7">
        <v>17790</v>
      </c>
      <c r="S24" s="11">
        <f t="shared" si="16"/>
        <v>118.63638182375929</v>
      </c>
      <c r="T24" s="13">
        <f t="shared" si="17"/>
        <v>7.8111298482293421</v>
      </c>
      <c r="U24" s="7">
        <v>32431</v>
      </c>
      <c r="V24" s="11">
        <f t="shared" si="18"/>
        <v>216.27299038371766</v>
      </c>
      <c r="W24" s="11">
        <f t="shared" si="19"/>
        <v>1.8229904440697018</v>
      </c>
      <c r="X24" s="11">
        <v>285.05571428569999</v>
      </c>
      <c r="Y24" s="11">
        <f t="shared" si="20"/>
        <v>128.02245250431778</v>
      </c>
      <c r="Z24" s="11">
        <f t="shared" si="21"/>
        <v>36.493531643225403</v>
      </c>
      <c r="AA24" s="7">
        <v>2062</v>
      </c>
      <c r="AB24" s="15">
        <f>IFERROR(AA24/1920,0)</f>
        <v>1.0739583333333333</v>
      </c>
      <c r="AC24" s="11">
        <v>61.91</v>
      </c>
      <c r="AD24" s="15">
        <f>IFERROR(AC24/61.9,0)</f>
        <v>1.0001615508885298</v>
      </c>
      <c r="AE24" s="11">
        <v>23</v>
      </c>
      <c r="AF24" s="11">
        <v>26</v>
      </c>
      <c r="AG24" s="7">
        <f t="shared" si="22"/>
        <v>-1246.9900000000002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 t="shared" si="23"/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67</v>
      </c>
      <c r="B25" s="5">
        <v>95</v>
      </c>
      <c r="C25" s="7">
        <v>28</v>
      </c>
      <c r="D25" s="7">
        <v>7</v>
      </c>
      <c r="E25" s="7">
        <v>51833</v>
      </c>
      <c r="F25" s="7">
        <v>41604</v>
      </c>
      <c r="G25" s="7">
        <v>154</v>
      </c>
      <c r="H25" s="9">
        <f t="shared" si="12"/>
        <v>3.7015671570041343E-3</v>
      </c>
      <c r="I25" s="9">
        <f>IFERROR((51833-F25)/51833,0)</f>
        <v>0.1973453205486852</v>
      </c>
      <c r="J25" s="7">
        <v>215600</v>
      </c>
      <c r="K25" s="11">
        <f t="shared" si="13"/>
        <v>74.031343140082683</v>
      </c>
      <c r="L25" s="11">
        <f>K25-71.172</f>
        <v>2.8593431400826859</v>
      </c>
      <c r="M25" s="11">
        <v>75</v>
      </c>
      <c r="N25" s="11">
        <f t="shared" si="14"/>
        <v>-0.96865685991731709</v>
      </c>
      <c r="O25" s="11">
        <f>IFERROR(19386148/51833,0)</f>
        <v>374.01169139351379</v>
      </c>
      <c r="P25" s="11">
        <v>0</v>
      </c>
      <c r="Q25" s="11">
        <f t="shared" si="15"/>
        <v>374.01169139351379</v>
      </c>
      <c r="R25" s="7">
        <v>33783</v>
      </c>
      <c r="S25" s="11">
        <f t="shared" si="16"/>
        <v>116.00189542214346</v>
      </c>
      <c r="T25" s="13">
        <f t="shared" si="17"/>
        <v>6.3819080602669978</v>
      </c>
      <c r="U25" s="7">
        <v>48754</v>
      </c>
      <c r="V25" s="11">
        <f t="shared" si="18"/>
        <v>167.40835359237434</v>
      </c>
      <c r="W25" s="11">
        <f t="shared" si="19"/>
        <v>1.4431518811236421</v>
      </c>
      <c r="X25" s="11">
        <v>269.72857142859999</v>
      </c>
      <c r="Y25" s="11">
        <f t="shared" si="20"/>
        <v>156.6929499072356</v>
      </c>
      <c r="Z25" s="11">
        <f t="shared" si="21"/>
        <v>42.26456553141184</v>
      </c>
      <c r="AA25" s="7">
        <v>1753</v>
      </c>
      <c r="AB25" s="15">
        <f>IFERROR(AA25/1980,0)</f>
        <v>0.88535353535353534</v>
      </c>
      <c r="AC25" s="11">
        <v>0</v>
      </c>
      <c r="AD25" s="15">
        <f>IFERROR(AC25/65.2,0)</f>
        <v>0</v>
      </c>
      <c r="AE25" s="11">
        <v>21</v>
      </c>
      <c r="AF25" s="11">
        <v>26</v>
      </c>
      <c r="AG25" s="7">
        <f t="shared" si="22"/>
        <v>-2821.0000000000041</v>
      </c>
      <c r="AH25" s="7">
        <v>40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IFERROR(900/F25,0)</f>
        <v>2.1632535333141044E-2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81</v>
      </c>
      <c r="B26" s="5">
        <v>93</v>
      </c>
      <c r="C26" s="7">
        <v>27</v>
      </c>
      <c r="D26" s="7">
        <v>7</v>
      </c>
      <c r="E26" s="7">
        <v>21623</v>
      </c>
      <c r="F26" s="7">
        <v>18191</v>
      </c>
      <c r="G26" s="7">
        <v>32</v>
      </c>
      <c r="H26" s="9">
        <f t="shared" si="12"/>
        <v>1.7591116486174482E-3</v>
      </c>
      <c r="I26" s="9">
        <f>IFERROR((21623-F26)/21623,0)</f>
        <v>0.15871988160754752</v>
      </c>
      <c r="J26" s="7">
        <v>94500</v>
      </c>
      <c r="K26" s="11">
        <f t="shared" si="13"/>
        <v>74.212522676048593</v>
      </c>
      <c r="L26" s="11">
        <f>K26-73.8</f>
        <v>0.41252267604859583</v>
      </c>
      <c r="M26" s="11">
        <v>80</v>
      </c>
      <c r="N26" s="11">
        <f t="shared" si="14"/>
        <v>-5.787477323951407</v>
      </c>
      <c r="O26" s="11">
        <f>IFERROR(8071505/21623,0)</f>
        <v>373.28330943902324</v>
      </c>
      <c r="P26" s="11">
        <v>0</v>
      </c>
      <c r="Q26" s="11">
        <f t="shared" si="15"/>
        <v>373.28330943902324</v>
      </c>
      <c r="R26" s="7">
        <v>15718</v>
      </c>
      <c r="S26" s="11">
        <f t="shared" si="16"/>
        <v>123.43623612932612</v>
      </c>
      <c r="T26" s="13">
        <f t="shared" si="17"/>
        <v>6.0122152945667384</v>
      </c>
      <c r="U26" s="7">
        <v>24423</v>
      </c>
      <c r="V26" s="11">
        <f t="shared" si="18"/>
        <v>191.79814193832115</v>
      </c>
      <c r="W26" s="11">
        <f t="shared" si="19"/>
        <v>1.5538236416846927</v>
      </c>
      <c r="X26" s="11">
        <v>272.17428571430003</v>
      </c>
      <c r="Y26" s="11">
        <f t="shared" si="20"/>
        <v>166.32804232804233</v>
      </c>
      <c r="Z26" s="11">
        <f t="shared" si="21"/>
        <v>45.270216114892783</v>
      </c>
      <c r="AA26" s="7">
        <v>2151</v>
      </c>
      <c r="AB26" s="15">
        <f>IFERROR(AA26/1980,0)</f>
        <v>1.0863636363636364</v>
      </c>
      <c r="AC26" s="11">
        <v>65.52</v>
      </c>
      <c r="AD26" s="15">
        <f>IFERROR(AC26/65.1,0)</f>
        <v>1.0064516129032259</v>
      </c>
      <c r="AE26" s="11">
        <v>21</v>
      </c>
      <c r="AF26" s="11">
        <v>26</v>
      </c>
      <c r="AG26" s="7">
        <f t="shared" si="22"/>
        <v>-7369.600000000004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IFERROR(450/F26,0)</f>
        <v>2.4737507558682866E-2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68</v>
      </c>
      <c r="B27" s="5">
        <v>26</v>
      </c>
      <c r="C27" s="7"/>
      <c r="D27" s="7">
        <v>7</v>
      </c>
      <c r="E27" s="7">
        <v>21339</v>
      </c>
      <c r="F27" s="7">
        <v>21109</v>
      </c>
      <c r="G27" s="7">
        <v>20</v>
      </c>
      <c r="H27" s="9">
        <f t="shared" si="12"/>
        <v>9.4746316736936853E-4</v>
      </c>
      <c r="I27" s="9">
        <f>IFERROR((21339-F27)/21339,0)</f>
        <v>1.0778386990955527E-2</v>
      </c>
      <c r="J27" s="7">
        <v>132840</v>
      </c>
      <c r="K27" s="11">
        <f t="shared" si="13"/>
        <v>89.900719395247805</v>
      </c>
      <c r="L27" s="11">
        <f>K27-90.059</f>
        <v>-0.15828060475219274</v>
      </c>
      <c r="M27" s="11">
        <v>95</v>
      </c>
      <c r="N27" s="11">
        <f t="shared" si="14"/>
        <v>-5.0992806047521952</v>
      </c>
      <c r="O27" s="11">
        <f>IFERROR(890130/21339,0)</f>
        <v>41.713763531561931</v>
      </c>
      <c r="P27" s="11">
        <v>45</v>
      </c>
      <c r="Q27" s="11">
        <f t="shared" si="15"/>
        <v>-3.2862364684380694</v>
      </c>
      <c r="R27" s="7">
        <v>16930</v>
      </c>
      <c r="S27" s="11">
        <f t="shared" si="16"/>
        <v>114.5753673111672</v>
      </c>
      <c r="T27" s="13">
        <f t="shared" si="17"/>
        <v>7.8464264619019488</v>
      </c>
      <c r="U27" s="7">
        <v>34271</v>
      </c>
      <c r="V27" s="11">
        <f t="shared" si="18"/>
        <v>231.93221577796879</v>
      </c>
      <c r="W27" s="11">
        <f t="shared" si="19"/>
        <v>2.0242764323685769</v>
      </c>
      <c r="X27" s="11">
        <v>289.77428571429999</v>
      </c>
      <c r="Y27" s="11">
        <f t="shared" si="20"/>
        <v>127.44655224330018</v>
      </c>
      <c r="Z27" s="11">
        <f t="shared" si="21"/>
        <v>36.930733643052527</v>
      </c>
      <c r="AA27" s="7">
        <v>1845</v>
      </c>
      <c r="AB27" s="15">
        <f>IFERROR(AA27/1860,0)</f>
        <v>0.99193548387096775</v>
      </c>
      <c r="AC27" s="11">
        <v>58.53</v>
      </c>
      <c r="AD27" s="15">
        <f>IFERROR(AC27/58.5,0)</f>
        <v>1.0005128205128204</v>
      </c>
      <c r="AE27" s="11">
        <v>20</v>
      </c>
      <c r="AF27" s="11">
        <v>26</v>
      </c>
      <c r="AG27" s="7">
        <f t="shared" si="22"/>
        <v>-7534.8499999999867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84</v>
      </c>
      <c r="C28" s="7">
        <v>12</v>
      </c>
      <c r="D28" s="7">
        <v>7</v>
      </c>
      <c r="E28" s="7">
        <v>47224</v>
      </c>
      <c r="F28" s="7">
        <v>37796</v>
      </c>
      <c r="G28" s="7">
        <v>94</v>
      </c>
      <c r="H28" s="9">
        <f t="shared" si="12"/>
        <v>2.4870356651497511E-3</v>
      </c>
      <c r="I28" s="9">
        <f>IFERROR((47224-F28)/47224,0)</f>
        <v>0.19964424868710826</v>
      </c>
      <c r="J28" s="7">
        <v>198680</v>
      </c>
      <c r="K28" s="11">
        <f t="shared" si="13"/>
        <v>75.09487020546392</v>
      </c>
      <c r="L28" s="11">
        <f>K28-75.0368</f>
        <v>5.8070205463920388E-2</v>
      </c>
      <c r="M28" s="11">
        <v>81</v>
      </c>
      <c r="N28" s="11">
        <f t="shared" si="14"/>
        <v>-5.9051297945360801</v>
      </c>
      <c r="O28" s="11">
        <f>IFERROR(14948950/47224,0)</f>
        <v>316.55408266982892</v>
      </c>
      <c r="P28" s="11">
        <v>0</v>
      </c>
      <c r="Q28" s="11">
        <f t="shared" si="15"/>
        <v>316.55408266982892</v>
      </c>
      <c r="R28" s="7">
        <v>30430</v>
      </c>
      <c r="S28" s="11">
        <f t="shared" si="16"/>
        <v>115.0159502895242</v>
      </c>
      <c r="T28" s="13">
        <f t="shared" si="17"/>
        <v>6.5290831416365425</v>
      </c>
      <c r="U28" s="7">
        <v>57400</v>
      </c>
      <c r="V28" s="11">
        <f t="shared" si="18"/>
        <v>216.95417504497829</v>
      </c>
      <c r="W28" s="11">
        <f t="shared" si="19"/>
        <v>1.8862964180085442</v>
      </c>
      <c r="X28" s="11">
        <v>293.19428571430001</v>
      </c>
      <c r="Y28" s="11">
        <f t="shared" si="20"/>
        <v>153.16086168713508</v>
      </c>
      <c r="Z28" s="11">
        <f t="shared" si="21"/>
        <v>44.905889441746268</v>
      </c>
      <c r="AA28" s="7">
        <v>1575</v>
      </c>
      <c r="AB28" s="15">
        <f>IFERROR(AA28/1580,0)</f>
        <v>0.99683544303797467</v>
      </c>
      <c r="AC28" s="11">
        <v>0</v>
      </c>
      <c r="AD28" s="15">
        <f>IFERROR(AC28/63.6,0)</f>
        <v>0</v>
      </c>
      <c r="AE28" s="11">
        <v>15</v>
      </c>
      <c r="AF28" s="11">
        <v>30</v>
      </c>
      <c r="AG28" s="7">
        <f t="shared" si="22"/>
        <v>-15623.319999999998</v>
      </c>
      <c r="AH28" s="7">
        <v>45</v>
      </c>
      <c r="AI28" s="7">
        <v>17.777777777800001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IFERROR(560/F28,0)</f>
        <v>1.4816382685998518E-2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114</v>
      </c>
      <c r="C29" s="7">
        <v>16</v>
      </c>
      <c r="D29" s="7">
        <v>7</v>
      </c>
      <c r="E29" s="7">
        <v>33376</v>
      </c>
      <c r="F29" s="7">
        <v>29427</v>
      </c>
      <c r="G29" s="7">
        <v>102</v>
      </c>
      <c r="H29" s="9">
        <f t="shared" si="12"/>
        <v>3.4662045060658577E-3</v>
      </c>
      <c r="I29" s="9">
        <f>IFERROR((33376-F29)/33376,0)</f>
        <v>0.11831855225311601</v>
      </c>
      <c r="J29" s="7">
        <v>145780</v>
      </c>
      <c r="K29" s="11">
        <f t="shared" si="13"/>
        <v>70.770769312924472</v>
      </c>
      <c r="L29" s="11">
        <f>K29-71.9196</f>
        <v>-1.1488306870755309</v>
      </c>
      <c r="M29" s="11">
        <v>79</v>
      </c>
      <c r="N29" s="11">
        <f t="shared" si="14"/>
        <v>-8.2292306870755283</v>
      </c>
      <c r="O29" s="11">
        <f>IFERROR(14781953/33376,0)</f>
        <v>442.89168863854269</v>
      </c>
      <c r="P29" s="11">
        <v>0</v>
      </c>
      <c r="Q29" s="11">
        <f t="shared" si="15"/>
        <v>442.89168863854269</v>
      </c>
      <c r="R29" s="7">
        <v>23970</v>
      </c>
      <c r="S29" s="11">
        <f t="shared" si="16"/>
        <v>116.3654369893538</v>
      </c>
      <c r="T29" s="13">
        <f t="shared" si="17"/>
        <v>6.0817688777638717</v>
      </c>
      <c r="U29" s="7">
        <v>34300</v>
      </c>
      <c r="V29" s="11">
        <f t="shared" si="18"/>
        <v>166.51374587963434</v>
      </c>
      <c r="W29" s="11">
        <f t="shared" si="19"/>
        <v>1.4309553608677514</v>
      </c>
      <c r="X29" s="11">
        <v>360.25285714289998</v>
      </c>
      <c r="Y29" s="11">
        <f t="shared" si="20"/>
        <v>164.42584716696391</v>
      </c>
      <c r="Z29" s="11">
        <f t="shared" si="21"/>
        <v>59.234881230040557</v>
      </c>
      <c r="AA29" s="7">
        <v>1669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16</v>
      </c>
      <c r="AF29" s="11">
        <v>31</v>
      </c>
      <c r="AG29" s="7">
        <f t="shared" si="22"/>
        <v>-16951.310000000009</v>
      </c>
      <c r="AH29" s="7">
        <v>59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IFERROR(910/F29,0)</f>
        <v>3.0923981377646379E-2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114</v>
      </c>
      <c r="C30" s="7">
        <v>16</v>
      </c>
      <c r="D30" s="7">
        <v>7</v>
      </c>
      <c r="E30" s="7">
        <v>12390</v>
      </c>
      <c r="F30" s="7">
        <v>10045</v>
      </c>
      <c r="G30" s="7">
        <v>31</v>
      </c>
      <c r="H30" s="9">
        <f t="shared" si="12"/>
        <v>3.0861124937779992E-3</v>
      </c>
      <c r="I30" s="9">
        <f>IFERROR((12390-F30)/12390,0)</f>
        <v>0.18926553672316385</v>
      </c>
      <c r="J30" s="7">
        <v>55880</v>
      </c>
      <c r="K30" s="11">
        <f t="shared" si="13"/>
        <v>79.470952143923782</v>
      </c>
      <c r="L30" s="11">
        <f>K30-80.9136</f>
        <v>-1.4426478560762206</v>
      </c>
      <c r="M30" s="11">
        <v>79</v>
      </c>
      <c r="N30" s="11">
        <f t="shared" si="14"/>
        <v>0.47095214392378182</v>
      </c>
      <c r="O30" s="11">
        <f>IFERROR(6010058/12390,0)</f>
        <v>485.07328490718322</v>
      </c>
      <c r="P30" s="11">
        <v>0</v>
      </c>
      <c r="Q30" s="11">
        <f t="shared" si="15"/>
        <v>485.07328490718322</v>
      </c>
      <c r="R30" s="7">
        <v>10400</v>
      </c>
      <c r="S30" s="11">
        <f t="shared" si="16"/>
        <v>147.90585223636492</v>
      </c>
      <c r="T30" s="13">
        <f t="shared" si="17"/>
        <v>5.3730769230769226</v>
      </c>
      <c r="U30" s="7">
        <v>16700</v>
      </c>
      <c r="V30" s="11">
        <f t="shared" si="18"/>
        <v>237.50266657185523</v>
      </c>
      <c r="W30" s="11">
        <f t="shared" si="19"/>
        <v>1.6057692307692308</v>
      </c>
      <c r="X30" s="11">
        <v>273.62857142860003</v>
      </c>
      <c r="Y30" s="11">
        <f t="shared" si="20"/>
        <v>186.11309949892623</v>
      </c>
      <c r="Z30" s="11">
        <f t="shared" si="21"/>
        <v>50.925861540040081</v>
      </c>
      <c r="AA30" s="7">
        <v>2008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15</v>
      </c>
      <c r="AF30" s="11">
        <v>31</v>
      </c>
      <c r="AG30" s="7">
        <f t="shared" si="22"/>
        <v>331.1500000000072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IFERROR(455/F30,0)</f>
        <v>4.5296167247386762E-2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591557</v>
      </c>
      <c r="F31" s="17">
        <f>SUM(F14:F30)</f>
        <v>525435</v>
      </c>
      <c r="G31" s="17">
        <f>SUM(G14:G30)</f>
        <v>1306</v>
      </c>
      <c r="H31" s="18">
        <f t="shared" si="12"/>
        <v>2.4855595839637632E-3</v>
      </c>
      <c r="I31" s="18"/>
      <c r="J31" s="17">
        <f>SUM(J14:J30)</f>
        <v>3101470</v>
      </c>
      <c r="K31" s="19">
        <f t="shared" si="13"/>
        <v>84.323873144564558</v>
      </c>
      <c r="L31" s="19"/>
      <c r="M31" s="19">
        <f>IFERROR(SUMPRODUCT($F14:$F30,M14:M30)/$F31, 0)</f>
        <v>86.712769134145987</v>
      </c>
      <c r="N31" s="19">
        <f t="shared" si="14"/>
        <v>-2.3888959895814281</v>
      </c>
      <c r="O31" s="19">
        <f>IFERROR(SUMPRODUCT($E14:$E30,O14:O30)/$E31, 0)</f>
        <v>246.00914873799144</v>
      </c>
      <c r="P31" s="19">
        <f>IFERROR(SUMPRODUCT($E14:$E30,P14:P30)/$E31, 0)</f>
        <v>81.727885901105054</v>
      </c>
      <c r="Q31" s="19">
        <f>IFERROR(SUMPRODUCT($E14:$E30,Q14:Q30)/$E31, 0)</f>
        <v>164.28126283688638</v>
      </c>
      <c r="R31" s="17">
        <f>SUM(R14:R30)</f>
        <v>432028</v>
      </c>
      <c r="S31" s="19">
        <f>IFERROR(R31/D31/$F31*1000,0)</f>
        <v>117.46131436673559</v>
      </c>
      <c r="T31" s="20">
        <f t="shared" si="17"/>
        <v>7.1788634070013977</v>
      </c>
      <c r="U31" s="17">
        <f>SUM(U14:U30)</f>
        <v>712063</v>
      </c>
      <c r="V31" s="19">
        <f>IFERROR(U31/D31/$F31*1000,0)</f>
        <v>193.59822949420138</v>
      </c>
      <c r="W31" s="19">
        <f t="shared" si="19"/>
        <v>1.6481871545362798</v>
      </c>
      <c r="X31" s="19">
        <f>IFERROR(SUMPRODUCT(R14:R30,X14:X30)/R31,0)</f>
        <v>299.29239965928895</v>
      </c>
      <c r="Y31" s="19">
        <f>IFERROR(($F31*S31)/($F31*K31)*100,0)</f>
        <v>139.29781684169123</v>
      </c>
      <c r="Z31" s="19">
        <f t="shared" si="21"/>
        <v>41.690777869849882</v>
      </c>
      <c r="AA31" s="17"/>
      <c r="AB31" s="21">
        <f>IFERROR(SUMPRODUCT($F14:$F30,AB14:AB30)/$F31,0)</f>
        <v>0.82337885981696735</v>
      </c>
      <c r="AC31" s="19"/>
      <c r="AD31" s="21">
        <f>AVERAGE(AD14:AD30)</f>
        <v>0.53136322514511491</v>
      </c>
      <c r="AE31" s="19"/>
      <c r="AF31" s="19"/>
      <c r="AG31" s="17">
        <f>SUM(AG14:AG30)</f>
        <v>-87864.669500000091</v>
      </c>
      <c r="AH31" s="17">
        <f>SUM(AH14:AH30)</f>
        <v>320</v>
      </c>
      <c r="AI31" s="17">
        <f>IFERROR(SUMPRODUCT(AH14:AH30,AI14:AI30)/AH31, 0)</f>
        <v>17.687499999997812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637762</v>
      </c>
      <c r="F33" s="23">
        <f>F12+F31</f>
        <v>564686</v>
      </c>
      <c r="G33" s="23">
        <f>G12+G31</f>
        <v>1423</v>
      </c>
      <c r="H33" s="24">
        <f>IFERROR(G33/F33,0)</f>
        <v>2.519984557789639E-3</v>
      </c>
      <c r="I33" s="23"/>
      <c r="J33" s="23">
        <f>J12+J31</f>
        <v>3263860</v>
      </c>
      <c r="K33" s="25">
        <f>IFERROR(J33/D33/F33*100,0)</f>
        <v>82.570794084803637</v>
      </c>
      <c r="L33" s="23"/>
      <c r="M33" s="25">
        <f>IFERROR($F$12/$F33*M$12,0)+IFERROR($F$31/$F33*M$31,0)</f>
        <v>83.311755294092634</v>
      </c>
      <c r="N33" s="25">
        <f>K33-M33</f>
        <v>-0.74096120928899722</v>
      </c>
      <c r="O33" s="23">
        <f>IFERROR($E$12/$E33*O$12,0)+IFERROR($E$31/$E33*O$31,0)</f>
        <v>245.37528106096005</v>
      </c>
      <c r="P33" s="23">
        <f>IFERROR($E$12/$E33*P$12,0)+IFERROR($E$31/$E33*P$31,0)</f>
        <v>77.408225952628101</v>
      </c>
      <c r="Q33" s="23">
        <f>IFERROR($E$12/$E33*Q$12,0)+IFERROR($E$31/$E33*Q$31,0)</f>
        <v>167.96705510833195</v>
      </c>
      <c r="R33" s="23">
        <f>R12+R31</f>
        <v>468258</v>
      </c>
      <c r="S33" s="25">
        <f>IFERROR(R33/D33/$F33*1000,0)</f>
        <v>118.46229586000007</v>
      </c>
      <c r="T33" s="26">
        <f>IFERROR(J33/R33,0)</f>
        <v>6.9702172733834766</v>
      </c>
      <c r="U33" s="23">
        <f>U12+U31</f>
        <v>727183</v>
      </c>
      <c r="V33" s="25">
        <f>IFERROR(U33/D33/$F33*1000,0)</f>
        <v>183.96646227157342</v>
      </c>
      <c r="W33" s="25">
        <f>IFERROR(V33/S33,0)</f>
        <v>1.5529537135510765</v>
      </c>
      <c r="X33" s="25">
        <f>IFERROR($F$12/$F33*X$12,0)+IFERROR($F$31/$F33*X$31,0)</f>
        <v>304.04882542090138</v>
      </c>
      <c r="Y33" s="25">
        <f>IFERROR(($F33*S33)/($F33*K33)*100,0)</f>
        <v>143.46755069151251</v>
      </c>
      <c r="Z33" s="25">
        <f>IFERROR(Y33*X33/1000,0)</f>
        <v>43.621140273768013</v>
      </c>
      <c r="AA33" s="23"/>
      <c r="AB33" s="27"/>
      <c r="AC33" s="23"/>
      <c r="AD33" s="27"/>
      <c r="AE33" s="23"/>
      <c r="AF33" s="23"/>
      <c r="AG33" s="23">
        <f>AG12+AG31</f>
        <v>-29288.729500000089</v>
      </c>
      <c r="AH33" s="23">
        <f>AH12+AH31</f>
        <v>320</v>
      </c>
      <c r="AI33" s="23">
        <f>IFERROR(AH$12/AH33*AI$12,0)+IFERROR(AH$31/AH33*AI$31,0)</f>
        <v>17.687499999997812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61</v>
      </c>
      <c r="T36" s="32" t="s">
        <v>70</v>
      </c>
      <c r="U36" s="32" t="s">
        <v>71</v>
      </c>
      <c r="V36" s="32" t="s">
        <v>72</v>
      </c>
      <c r="W36" s="32" t="s">
        <v>62</v>
      </c>
      <c r="X36" s="32" t="s">
        <v>66</v>
      </c>
      <c r="Y36" s="32" t="s">
        <v>67</v>
      </c>
      <c r="Z36" s="32" t="s">
        <v>81</v>
      </c>
      <c r="AA36" s="32" t="s">
        <v>63</v>
      </c>
      <c r="AB36" s="32" t="s">
        <v>68</v>
      </c>
      <c r="AC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>
        <v>2.5000000000000001E-3</v>
      </c>
      <c r="T37" s="8">
        <v>5.3E-3</v>
      </c>
      <c r="U37" s="8">
        <v>6.3E-3</v>
      </c>
      <c r="V37" s="8">
        <v>2.7000000000000001E-3</v>
      </c>
      <c r="W37" s="8">
        <v>1.5E-3</v>
      </c>
      <c r="X37" s="8">
        <v>1.4E-3</v>
      </c>
      <c r="Y37" s="8">
        <v>2.8E-3</v>
      </c>
      <c r="Z37" s="8">
        <v>1.6999999999999999E-3</v>
      </c>
      <c r="AA37" s="8"/>
      <c r="AB37" s="8"/>
      <c r="AC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>
        <v>2.5000000000000001E-3</v>
      </c>
      <c r="T38" s="9">
        <v>5.7999999999999996E-3</v>
      </c>
      <c r="U38" s="9">
        <v>3.5999999999999999E-3</v>
      </c>
      <c r="V38" s="9">
        <v>2.3E-3</v>
      </c>
      <c r="W38" s="9">
        <v>1.5E-3</v>
      </c>
      <c r="X38" s="9">
        <v>1E-3</v>
      </c>
      <c r="Y38" s="9">
        <v>3.0000000000000001E-3</v>
      </c>
      <c r="Z38" s="9">
        <v>1.8E-3</v>
      </c>
      <c r="AA38" s="9"/>
      <c r="AB38" s="9"/>
      <c r="AC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>
        <v>2.5000000000000001E-3</v>
      </c>
      <c r="T39" s="9">
        <v>5.4999999999999997E-3</v>
      </c>
      <c r="U39" s="9">
        <v>3.5000000000000001E-3</v>
      </c>
      <c r="V39" s="9">
        <v>2.5000000000000001E-3</v>
      </c>
      <c r="W39" s="9">
        <v>1.6999999999999999E-3</v>
      </c>
      <c r="X39" s="9">
        <v>6.9999999999999999E-4</v>
      </c>
      <c r="Y39" s="9">
        <v>2.8E-3</v>
      </c>
      <c r="Z39" s="9">
        <v>1.4E-3</v>
      </c>
      <c r="AA39" s="9"/>
      <c r="AB39" s="9"/>
      <c r="AC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>
        <v>2.5999999999999999E-3</v>
      </c>
      <c r="T40" s="9">
        <v>3.2000000000000002E-3</v>
      </c>
      <c r="U40" s="9">
        <v>3.7000000000000002E-3</v>
      </c>
      <c r="V40" s="9">
        <v>2.5000000000000001E-3</v>
      </c>
      <c r="W40" s="9">
        <v>1.6000000000000001E-3</v>
      </c>
      <c r="X40" s="9">
        <v>8.9999999999999998E-4</v>
      </c>
      <c r="Y40" s="9">
        <v>3.5000000000000001E-3</v>
      </c>
      <c r="Z40" s="9">
        <v>1.6000000000000001E-3</v>
      </c>
      <c r="AA40" s="9"/>
      <c r="AB40" s="9"/>
      <c r="AC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>
        <v>2.3E-3</v>
      </c>
      <c r="T41" s="9">
        <v>2.2000000000000001E-3</v>
      </c>
      <c r="U41" s="9">
        <v>4.4000000000000003E-3</v>
      </c>
      <c r="V41" s="9">
        <v>2.3E-3</v>
      </c>
      <c r="W41" s="9">
        <v>1.6000000000000001E-3</v>
      </c>
      <c r="X41" s="9">
        <v>8.9999999999999998E-4</v>
      </c>
      <c r="Y41" s="9">
        <v>3.0999999999999999E-3</v>
      </c>
      <c r="Z41" s="9">
        <v>1.5E-3</v>
      </c>
      <c r="AA41" s="9"/>
      <c r="AB41" s="9"/>
      <c r="AC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>
        <v>1.6999999999999999E-3</v>
      </c>
      <c r="T42" s="9">
        <v>3.0000000000000001E-3</v>
      </c>
      <c r="U42" s="9">
        <v>3.5999999999999999E-3</v>
      </c>
      <c r="V42" s="9">
        <v>1.8E-3</v>
      </c>
      <c r="W42" s="9">
        <v>8.9999999999999998E-4</v>
      </c>
      <c r="X42" s="9">
        <v>5.9999999999999995E-4</v>
      </c>
      <c r="Y42" s="9">
        <v>1.6999999999999999E-3</v>
      </c>
      <c r="Z42" s="9">
        <v>1E-3</v>
      </c>
      <c r="AA42" s="9">
        <v>0</v>
      </c>
      <c r="AB42" s="9">
        <v>0</v>
      </c>
      <c r="AC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>
        <v>1.9E-3</v>
      </c>
      <c r="T43" s="9">
        <v>4.3E-3</v>
      </c>
      <c r="U43" s="9">
        <v>4.1999999999999997E-3</v>
      </c>
      <c r="V43" s="9">
        <v>4.4000000000000003E-3</v>
      </c>
      <c r="W43" s="9">
        <v>1.1000000000000001E-3</v>
      </c>
      <c r="X43" s="9">
        <v>5.0000000000000001E-4</v>
      </c>
      <c r="Y43" s="9">
        <v>2.0999999999999999E-3</v>
      </c>
      <c r="Z43" s="9">
        <v>1.1999999999999999E-3</v>
      </c>
      <c r="AA43" s="9">
        <v>8.9999999999999998E-4</v>
      </c>
      <c r="AB43" s="9">
        <v>8.0000000000000004E-4</v>
      </c>
      <c r="AC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>
        <v>1.9E-3</v>
      </c>
      <c r="T44" s="9">
        <v>3.0999999999999999E-3</v>
      </c>
      <c r="U44" s="9">
        <v>3.2000000000000002E-3</v>
      </c>
      <c r="V44" s="9">
        <v>2.3E-3</v>
      </c>
      <c r="W44" s="9">
        <v>1.1000000000000001E-3</v>
      </c>
      <c r="X44" s="9">
        <v>5.0000000000000001E-4</v>
      </c>
      <c r="Y44" s="9">
        <v>2.8E-3</v>
      </c>
      <c r="Z44" s="9">
        <v>1.2999999999999999E-3</v>
      </c>
      <c r="AA44" s="9">
        <v>1.1999999999999999E-3</v>
      </c>
      <c r="AB44" s="9">
        <v>6.9999999999999999E-4</v>
      </c>
      <c r="AC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>
        <v>2.5000000000000001E-3</v>
      </c>
      <c r="T45" s="9">
        <v>3.0999999999999999E-3</v>
      </c>
      <c r="U45" s="9">
        <v>4.5999999999999999E-3</v>
      </c>
      <c r="V45" s="9">
        <v>2.8E-3</v>
      </c>
      <c r="W45" s="9">
        <v>1.6999999999999999E-3</v>
      </c>
      <c r="X45" s="9">
        <v>1E-3</v>
      </c>
      <c r="Y45" s="9">
        <v>3.5999999999999999E-3</v>
      </c>
      <c r="Z45" s="9">
        <v>1.6000000000000001E-3</v>
      </c>
      <c r="AA45" s="9">
        <v>2.3E-3</v>
      </c>
      <c r="AB45" s="9">
        <v>1.1999999999999999E-3</v>
      </c>
      <c r="AC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>
        <v>2.5000000000000001E-3</v>
      </c>
      <c r="T46" s="9">
        <v>2.5999999999999999E-3</v>
      </c>
      <c r="U46" s="9">
        <v>3.3999999999999998E-3</v>
      </c>
      <c r="V46" s="9">
        <v>2.5000000000000001E-3</v>
      </c>
      <c r="W46" s="9">
        <v>2E-3</v>
      </c>
      <c r="X46" s="9">
        <v>1E-3</v>
      </c>
      <c r="Y46" s="9">
        <v>3.5000000000000001E-3</v>
      </c>
      <c r="Z46" s="9">
        <v>1.6999999999999999E-3</v>
      </c>
      <c r="AA46" s="9">
        <v>1.6999999999999999E-3</v>
      </c>
      <c r="AB46" s="9">
        <v>1.6000000000000001E-3</v>
      </c>
      <c r="AC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>
        <v>3.0000000000000001E-3</v>
      </c>
      <c r="T47" s="9">
        <v>2.3E-3</v>
      </c>
      <c r="U47" s="9">
        <v>3.0999999999999999E-3</v>
      </c>
      <c r="V47" s="9">
        <v>2.8E-3</v>
      </c>
      <c r="W47" s="9">
        <v>1.9E-3</v>
      </c>
      <c r="X47" s="9">
        <v>8.9999999999999998E-4</v>
      </c>
      <c r="Y47" s="9">
        <v>3.5000000000000001E-3</v>
      </c>
      <c r="Z47" s="9">
        <v>1.5E-3</v>
      </c>
      <c r="AA47" s="9">
        <v>1.1000000000000001E-3</v>
      </c>
      <c r="AB47" s="9">
        <v>1.1999999999999999E-3</v>
      </c>
      <c r="AC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>
        <v>3.3999999999999998E-3</v>
      </c>
      <c r="T48" s="9">
        <v>2.5000000000000001E-3</v>
      </c>
      <c r="U48" s="9">
        <v>3.0999999999999999E-3</v>
      </c>
      <c r="V48" s="9">
        <v>3.2000000000000002E-3</v>
      </c>
      <c r="W48" s="9">
        <v>1.5E-3</v>
      </c>
      <c r="X48" s="9">
        <v>8.0000000000000004E-4</v>
      </c>
      <c r="Y48" s="9">
        <v>3.8999999999999998E-3</v>
      </c>
      <c r="Z48" s="9">
        <v>3.5999999999999999E-3</v>
      </c>
      <c r="AA48" s="9">
        <v>1.1000000000000001E-3</v>
      </c>
      <c r="AB48" s="9">
        <v>1E-3</v>
      </c>
      <c r="AC48" s="9">
        <v>8.9999999999999998E-4</v>
      </c>
    </row>
    <row r="49" spans="2:29" ht="15" thickBot="1" x14ac:dyDescent="0.35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>
        <v>5.3E-3</v>
      </c>
      <c r="P49" s="9">
        <v>2.5000000000000001E-3</v>
      </c>
      <c r="Q49" s="9">
        <v>3.8E-3</v>
      </c>
      <c r="R49" s="9">
        <v>3.0000000000000001E-3</v>
      </c>
      <c r="S49" s="9">
        <v>3.5999999999999999E-3</v>
      </c>
      <c r="T49" s="9">
        <v>2.5000000000000001E-3</v>
      </c>
      <c r="U49" s="9">
        <v>3.5000000000000001E-3</v>
      </c>
      <c r="V49" s="9">
        <v>3.0999999999999999E-3</v>
      </c>
      <c r="W49" s="9">
        <v>2E-3</v>
      </c>
      <c r="X49" s="9">
        <v>1.1000000000000001E-3</v>
      </c>
      <c r="Y49" s="9">
        <v>3.7000000000000002E-3</v>
      </c>
      <c r="Z49" s="9">
        <v>1.8E-3</v>
      </c>
      <c r="AA49" s="9">
        <v>1.6999999999999999E-3</v>
      </c>
      <c r="AB49" s="9">
        <v>8.9999999999999998E-4</v>
      </c>
      <c r="AC49" s="9">
        <v>1E-3</v>
      </c>
    </row>
    <row r="50" spans="2:29" ht="15" thickBot="1" x14ac:dyDescent="0.35">
      <c r="B50" s="22" t="s">
        <v>82</v>
      </c>
      <c r="C50" s="22"/>
      <c r="D50" s="24">
        <f t="shared" ref="D50:AC50" si="24">AVERAGE(D37:D49)</f>
        <v>2.5461538461538464E-3</v>
      </c>
      <c r="E50" s="24">
        <f t="shared" si="24"/>
        <v>4.8923076923076923E-3</v>
      </c>
      <c r="F50" s="24">
        <f t="shared" si="24"/>
        <v>2.3461538461538459E-3</v>
      </c>
      <c r="G50" s="24">
        <f t="shared" si="24"/>
        <v>7.1461538461538472E-3</v>
      </c>
      <c r="H50" s="24">
        <f t="shared" si="24"/>
        <v>4.761538461538462E-3</v>
      </c>
      <c r="I50" s="24">
        <f t="shared" si="24"/>
        <v>5.2769230769230766E-3</v>
      </c>
      <c r="J50" s="24">
        <f t="shared" si="24"/>
        <v>2.9153846153846153E-3</v>
      </c>
      <c r="K50" s="24">
        <f t="shared" si="24"/>
        <v>3.6461538461538454E-3</v>
      </c>
      <c r="L50" s="24">
        <f t="shared" si="24"/>
        <v>2.4153846153846157E-3</v>
      </c>
      <c r="M50" s="24">
        <f t="shared" si="24"/>
        <v>2.9076923076923077E-3</v>
      </c>
      <c r="N50" s="24">
        <f t="shared" si="24"/>
        <v>2.8153846153846154E-3</v>
      </c>
      <c r="O50" s="24">
        <f t="shared" si="24"/>
        <v>6.015384615384616E-3</v>
      </c>
      <c r="P50" s="24">
        <f t="shared" si="24"/>
        <v>2.6769230769230767E-3</v>
      </c>
      <c r="Q50" s="24">
        <f t="shared" si="24"/>
        <v>3.8307692307692309E-3</v>
      </c>
      <c r="R50" s="24">
        <f t="shared" si="24"/>
        <v>1.923076923076923E-3</v>
      </c>
      <c r="S50" s="24">
        <f t="shared" si="24"/>
        <v>2.5307692307692305E-3</v>
      </c>
      <c r="T50" s="24">
        <f t="shared" si="24"/>
        <v>3.4923076923076921E-3</v>
      </c>
      <c r="U50" s="24">
        <f t="shared" si="24"/>
        <v>3.861538461538461E-3</v>
      </c>
      <c r="V50" s="24">
        <f t="shared" si="24"/>
        <v>2.7076923076923072E-3</v>
      </c>
      <c r="W50" s="24">
        <f t="shared" si="24"/>
        <v>1.5461538461538462E-3</v>
      </c>
      <c r="X50" s="24">
        <f t="shared" si="24"/>
        <v>8.6923076923076928E-4</v>
      </c>
      <c r="Y50" s="24">
        <f t="shared" si="24"/>
        <v>3.0769230769230769E-3</v>
      </c>
      <c r="Z50" s="24">
        <f t="shared" si="24"/>
        <v>1.6692307692307692E-3</v>
      </c>
      <c r="AA50" s="24">
        <f t="shared" si="24"/>
        <v>1.25E-3</v>
      </c>
      <c r="AB50" s="24">
        <f t="shared" si="24"/>
        <v>9.2499999999999993E-4</v>
      </c>
      <c r="AC50" s="24">
        <f t="shared" si="24"/>
        <v>9.7692307692307683E-4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T51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8.88671875" bestFit="1" customWidth="1"/>
    <col min="9" max="9" width="10.88671875" bestFit="1" customWidth="1"/>
    <col min="10" max="10" width="11.33203125" bestFit="1" customWidth="1"/>
    <col min="11" max="12" width="9.664062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8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45752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116</v>
      </c>
      <c r="C6" s="7">
        <v>6</v>
      </c>
      <c r="D6" s="7">
        <v>7</v>
      </c>
      <c r="E6" s="7">
        <v>1197</v>
      </c>
      <c r="F6" s="7">
        <v>1055</v>
      </c>
      <c r="G6" s="7">
        <v>3</v>
      </c>
      <c r="H6" s="9">
        <f t="shared" ref="H6:H12" si="0">IFERROR(G6/F6,0)</f>
        <v>2.843601895734597E-3</v>
      </c>
      <c r="I6" s="9">
        <f>IFERROR((1197-F6)/1197,0)</f>
        <v>0.11862990810359231</v>
      </c>
      <c r="J6" s="7">
        <v>4470</v>
      </c>
      <c r="K6" s="11">
        <f t="shared" ref="K6:K12" si="1">IFERROR(J6/D6/F6*100,0)</f>
        <v>60.528097494922136</v>
      </c>
      <c r="L6" s="11">
        <f>K6-54.6854</f>
        <v>5.8426974949221346</v>
      </c>
      <c r="M6" s="11">
        <v>56</v>
      </c>
      <c r="N6" s="11">
        <f t="shared" ref="N6:N12" si="2">K6-M6</f>
        <v>4.528097494922136</v>
      </c>
      <c r="O6" s="11">
        <f>IFERROR(110360/1197,0)</f>
        <v>92.19715956558062</v>
      </c>
      <c r="P6" s="11">
        <v>0</v>
      </c>
      <c r="Q6" s="11">
        <f t="shared" ref="Q6:Q11" si="3">IFERROR(O6-P6,0)</f>
        <v>92.19715956558062</v>
      </c>
      <c r="R6" s="7">
        <v>921</v>
      </c>
      <c r="S6" s="11">
        <f t="shared" ref="S6:S11" si="4">IFERROR(R6/D6/F6*1000,0)</f>
        <v>124.71225457007448</v>
      </c>
      <c r="T6" s="13">
        <f t="shared" ref="T6:T12" si="5">IFERROR(J6/R6,0)</f>
        <v>4.8534201954397398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206.04026845637583</v>
      </c>
      <c r="Z6" s="11">
        <f t="shared" ref="Z6:Z12" si="9">IFERROR(Y6*X6/1000,0)</f>
        <v>61.169234899328856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10</v>
      </c>
      <c r="AF6" s="11">
        <v>29</v>
      </c>
      <c r="AG6" s="7">
        <f t="shared" ref="AG6:AG11" si="10">IF(M6=0,0,IFERROR(N6/100*7*F6,0))</f>
        <v>334.39999999999981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76</v>
      </c>
      <c r="C7" s="7">
        <v>6</v>
      </c>
      <c r="D7" s="7">
        <v>7</v>
      </c>
      <c r="E7" s="7">
        <v>14440</v>
      </c>
      <c r="F7" s="7">
        <v>11539</v>
      </c>
      <c r="G7" s="7">
        <v>57</v>
      </c>
      <c r="H7" s="9">
        <f t="shared" si="0"/>
        <v>4.9397694774243866E-3</v>
      </c>
      <c r="I7" s="9">
        <f>IFERROR((14440-F7)/14440,0)</f>
        <v>0.20090027700831026</v>
      </c>
      <c r="J7" s="7">
        <v>48270</v>
      </c>
      <c r="K7" s="11">
        <f t="shared" si="1"/>
        <v>59.76006833966796</v>
      </c>
      <c r="L7" s="11">
        <f>K7-40.7283</f>
        <v>19.031768339667963</v>
      </c>
      <c r="M7" s="11">
        <v>56</v>
      </c>
      <c r="N7" s="11">
        <f t="shared" si="2"/>
        <v>3.7600683396679599</v>
      </c>
      <c r="O7" s="11">
        <f>IFERROR(4185970/14440,0)</f>
        <v>289.88711911357342</v>
      </c>
      <c r="P7" s="11">
        <v>0</v>
      </c>
      <c r="Q7" s="11">
        <f t="shared" si="3"/>
        <v>289.88711911357342</v>
      </c>
      <c r="R7" s="7">
        <v>10290</v>
      </c>
      <c r="S7" s="11">
        <f t="shared" si="4"/>
        <v>127.39405494410261</v>
      </c>
      <c r="T7" s="13">
        <f t="shared" si="5"/>
        <v>4.6909620991253647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213.17588564325666</v>
      </c>
      <c r="Z7" s="11">
        <f t="shared" si="9"/>
        <v>79.546581727781216</v>
      </c>
      <c r="AA7" s="7">
        <v>0</v>
      </c>
      <c r="AB7" s="15">
        <f>IFERROR(AA7/1970,0)</f>
        <v>0</v>
      </c>
      <c r="AC7" s="11">
        <v>0</v>
      </c>
      <c r="AD7" s="15">
        <f>IFERROR(AC7/64.5,0)</f>
        <v>0</v>
      </c>
      <c r="AE7" s="11">
        <v>10</v>
      </c>
      <c r="AF7" s="11">
        <v>29</v>
      </c>
      <c r="AG7" s="7">
        <f t="shared" si="10"/>
        <v>3037.1200000000013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76</v>
      </c>
      <c r="C8" s="7">
        <v>6</v>
      </c>
      <c r="D8" s="7">
        <v>7</v>
      </c>
      <c r="E8" s="7">
        <v>16063</v>
      </c>
      <c r="F8" s="7">
        <v>13419</v>
      </c>
      <c r="G8" s="7">
        <v>43</v>
      </c>
      <c r="H8" s="9">
        <f t="shared" si="0"/>
        <v>3.2044116551158803E-3</v>
      </c>
      <c r="I8" s="9">
        <f>IFERROR((16063-F8)/16063,0)</f>
        <v>0.1646018800971176</v>
      </c>
      <c r="J8" s="7">
        <v>50820</v>
      </c>
      <c r="K8" s="11">
        <f t="shared" si="1"/>
        <v>54.102392130561149</v>
      </c>
      <c r="L8" s="11">
        <f>K8-41.6092</f>
        <v>12.493192130561148</v>
      </c>
      <c r="M8" s="11">
        <v>35</v>
      </c>
      <c r="N8" s="11">
        <f t="shared" si="2"/>
        <v>19.102392130561149</v>
      </c>
      <c r="O8" s="11">
        <f>IFERROR(4342680/16063,0)</f>
        <v>270.35298512108574</v>
      </c>
      <c r="P8" s="11">
        <v>0</v>
      </c>
      <c r="Q8" s="11">
        <f t="shared" si="3"/>
        <v>270.35298512108574</v>
      </c>
      <c r="R8" s="7">
        <v>10710</v>
      </c>
      <c r="S8" s="11">
        <f t="shared" si="4"/>
        <v>114.01743796109993</v>
      </c>
      <c r="T8" s="13">
        <f t="shared" si="5"/>
        <v>4.7450980392156863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210.74380165289256</v>
      </c>
      <c r="Z8" s="11">
        <f t="shared" si="9"/>
        <v>77.975206611570243</v>
      </c>
      <c r="AA8" s="7">
        <v>0</v>
      </c>
      <c r="AB8" s="15">
        <f>IFERROR(AA8/1580,0)</f>
        <v>0</v>
      </c>
      <c r="AC8" s="11">
        <v>0</v>
      </c>
      <c r="AD8" s="15">
        <f>IFERROR(AC8/63.5,0)</f>
        <v>0</v>
      </c>
      <c r="AE8" s="11">
        <v>10</v>
      </c>
      <c r="AF8" s="11">
        <v>29</v>
      </c>
      <c r="AG8" s="7">
        <f t="shared" si="10"/>
        <v>17943.450000000004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36</v>
      </c>
      <c r="C9" s="7"/>
      <c r="D9" s="7">
        <v>7</v>
      </c>
      <c r="E9" s="7">
        <v>4686</v>
      </c>
      <c r="F9" s="7">
        <v>4248</v>
      </c>
      <c r="G9" s="7">
        <v>26</v>
      </c>
      <c r="H9" s="9">
        <f t="shared" si="0"/>
        <v>6.1205273069679846E-3</v>
      </c>
      <c r="I9" s="9">
        <f>IFERROR((4686-F9)/4686,0)</f>
        <v>9.3469910371318826E-2</v>
      </c>
      <c r="J9" s="7">
        <v>29940</v>
      </c>
      <c r="K9" s="11">
        <f t="shared" si="1"/>
        <v>100.68603712671509</v>
      </c>
      <c r="L9" s="11">
        <f>K9-100.0735</f>
        <v>0.61253712671509675</v>
      </c>
      <c r="M9" s="11">
        <v>93.5</v>
      </c>
      <c r="N9" s="11">
        <f t="shared" si="2"/>
        <v>7.1860371267150924</v>
      </c>
      <c r="O9" s="11">
        <f>IFERROR(492300/4686,0)</f>
        <v>105.05761843790013</v>
      </c>
      <c r="P9" s="11">
        <v>111</v>
      </c>
      <c r="Q9" s="11">
        <f t="shared" si="3"/>
        <v>-5.9423815620998681</v>
      </c>
      <c r="R9" s="7">
        <v>4603</v>
      </c>
      <c r="S9" s="11">
        <f t="shared" si="4"/>
        <v>154.79553403282216</v>
      </c>
      <c r="T9" s="13">
        <f t="shared" si="5"/>
        <v>6.5044536172061695</v>
      </c>
      <c r="U9" s="7">
        <v>5040</v>
      </c>
      <c r="V9" s="11">
        <f t="shared" si="6"/>
        <v>169.4915254237288</v>
      </c>
      <c r="W9" s="11">
        <f t="shared" si="7"/>
        <v>1.0949380838583533</v>
      </c>
      <c r="X9" s="11">
        <v>362.76</v>
      </c>
      <c r="Y9" s="11">
        <f t="shared" si="8"/>
        <v>153.74081496325985</v>
      </c>
      <c r="Z9" s="11">
        <f t="shared" si="9"/>
        <v>55.771018036072142</v>
      </c>
      <c r="AA9" s="7">
        <v>1932</v>
      </c>
      <c r="AB9" s="15">
        <f>IFERROR(AA9/1920,0)</f>
        <v>1.0062500000000001</v>
      </c>
      <c r="AC9" s="11">
        <v>0</v>
      </c>
      <c r="AD9" s="15">
        <f>IFERROR(AC9/61.9,0)</f>
        <v>0</v>
      </c>
      <c r="AE9" s="11">
        <v>14</v>
      </c>
      <c r="AF9" s="11">
        <v>27</v>
      </c>
      <c r="AG9" s="7">
        <f t="shared" si="10"/>
        <v>2136.8399999999997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76</v>
      </c>
      <c r="C10" s="7">
        <v>7</v>
      </c>
      <c r="D10" s="7">
        <v>7</v>
      </c>
      <c r="E10" s="7">
        <v>5000</v>
      </c>
      <c r="F10" s="7">
        <v>4201</v>
      </c>
      <c r="G10" s="7">
        <v>30</v>
      </c>
      <c r="H10" s="9">
        <f t="shared" si="0"/>
        <v>7.1411568674125212E-3</v>
      </c>
      <c r="I10" s="9">
        <f>IFERROR((5000-F10)/5000,0)</f>
        <v>0.1598</v>
      </c>
      <c r="J10" s="7">
        <v>26850</v>
      </c>
      <c r="K10" s="11">
        <f t="shared" si="1"/>
        <v>91.304791376202942</v>
      </c>
      <c r="L10" s="11">
        <f>K10-83.6682</f>
        <v>7.6365913762029436</v>
      </c>
      <c r="M10" s="11">
        <v>71</v>
      </c>
      <c r="N10" s="11">
        <f t="shared" si="2"/>
        <v>20.304791376202942</v>
      </c>
      <c r="O10" s="11">
        <f>IFERROR(1498850/5000,0)</f>
        <v>299.77</v>
      </c>
      <c r="P10" s="11">
        <v>0</v>
      </c>
      <c r="Q10" s="11">
        <f t="shared" si="3"/>
        <v>299.77</v>
      </c>
      <c r="R10" s="7">
        <v>4638</v>
      </c>
      <c r="S10" s="11">
        <f t="shared" si="4"/>
        <v>157.71755024313939</v>
      </c>
      <c r="T10" s="13">
        <f t="shared" si="5"/>
        <v>5.7891332470892625</v>
      </c>
      <c r="U10" s="7">
        <v>5040</v>
      </c>
      <c r="V10" s="11">
        <f t="shared" si="6"/>
        <v>171.38776481790049</v>
      </c>
      <c r="W10" s="11">
        <f t="shared" si="7"/>
        <v>1.0866752910737387</v>
      </c>
      <c r="X10" s="11">
        <v>374.81</v>
      </c>
      <c r="Y10" s="11">
        <f t="shared" si="8"/>
        <v>172.73743016759775</v>
      </c>
      <c r="Z10" s="11">
        <f t="shared" si="9"/>
        <v>64.743716201117309</v>
      </c>
      <c r="AA10" s="7">
        <v>1920</v>
      </c>
      <c r="AB10" s="15">
        <f>IFERROR(AA10/1970,0)</f>
        <v>0.97461928934010156</v>
      </c>
      <c r="AC10" s="11">
        <v>0</v>
      </c>
      <c r="AD10" s="15">
        <f>IFERROR(AC10/64.5,0)</f>
        <v>0</v>
      </c>
      <c r="AE10" s="11">
        <v>15</v>
      </c>
      <c r="AF10" s="11">
        <v>25</v>
      </c>
      <c r="AG10" s="7">
        <f t="shared" si="10"/>
        <v>5971.03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37</v>
      </c>
      <c r="C11" s="7"/>
      <c r="D11" s="7">
        <v>7</v>
      </c>
      <c r="E11" s="7">
        <v>4819</v>
      </c>
      <c r="F11" s="7">
        <v>4626</v>
      </c>
      <c r="G11" s="7">
        <v>4</v>
      </c>
      <c r="H11" s="9">
        <f t="shared" si="0"/>
        <v>8.6467790747946386E-4</v>
      </c>
      <c r="I11" s="9">
        <f>IFERROR((4819-F11)/4819,0)</f>
        <v>4.0049802863664663E-2</v>
      </c>
      <c r="J11" s="7">
        <v>31380</v>
      </c>
      <c r="K11" s="11">
        <f t="shared" si="1"/>
        <v>96.905688345377072</v>
      </c>
      <c r="L11" s="11">
        <f>K11-96.7294</f>
        <v>0.17628834537707405</v>
      </c>
      <c r="M11" s="11">
        <v>93.5</v>
      </c>
      <c r="N11" s="11">
        <f t="shared" si="2"/>
        <v>3.4056883453770723</v>
      </c>
      <c r="O11" s="11">
        <f>IFERROR(524166/4819,0)</f>
        <v>108.77069931521062</v>
      </c>
      <c r="P11" s="11">
        <v>117</v>
      </c>
      <c r="Q11" s="11">
        <f t="shared" si="3"/>
        <v>-8.2293006847893793</v>
      </c>
      <c r="R11" s="7">
        <v>4812</v>
      </c>
      <c r="S11" s="11">
        <f t="shared" si="4"/>
        <v>148.60107467111359</v>
      </c>
      <c r="T11" s="13">
        <f t="shared" si="5"/>
        <v>6.5211970074812964</v>
      </c>
      <c r="U11" s="7">
        <v>5040</v>
      </c>
      <c r="V11" s="11">
        <f t="shared" si="6"/>
        <v>155.64202334630352</v>
      </c>
      <c r="W11" s="11">
        <f t="shared" si="7"/>
        <v>1.0473815461346634</v>
      </c>
      <c r="X11" s="11">
        <v>362.76</v>
      </c>
      <c r="Y11" s="11">
        <f t="shared" si="8"/>
        <v>153.34608030592733</v>
      </c>
      <c r="Z11" s="11">
        <f t="shared" si="9"/>
        <v>55.627824091778194</v>
      </c>
      <c r="AA11" s="7">
        <v>1876</v>
      </c>
      <c r="AB11" s="15">
        <f>IFERROR(AA11/1920,0)</f>
        <v>0.9770833333333333</v>
      </c>
      <c r="AC11" s="11">
        <v>0</v>
      </c>
      <c r="AD11" s="15">
        <f>IFERROR(AC11/62,0)</f>
        <v>0</v>
      </c>
      <c r="AE11" s="11">
        <v>13</v>
      </c>
      <c r="AF11" s="11">
        <v>29</v>
      </c>
      <c r="AG11" s="7">
        <f t="shared" si="10"/>
        <v>1102.8300000000036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39088</v>
      </c>
      <c r="G12" s="17">
        <f>SUM(G6:G11)</f>
        <v>163</v>
      </c>
      <c r="H12" s="18">
        <f t="shared" si="0"/>
        <v>4.170077773229636E-3</v>
      </c>
      <c r="I12" s="18"/>
      <c r="J12" s="17">
        <f>SUM(J6:J11)</f>
        <v>191730</v>
      </c>
      <c r="K12" s="19">
        <f t="shared" si="1"/>
        <v>70.072656569791235</v>
      </c>
      <c r="L12" s="19"/>
      <c r="M12" s="19">
        <f>IFERROR(SUMPRODUCT($F6:$F11,M6:M11)/$F12, 0)</f>
        <v>58.91626586164552</v>
      </c>
      <c r="N12" s="19">
        <f t="shared" si="2"/>
        <v>11.156390708145715</v>
      </c>
      <c r="O12" s="19">
        <f>IFERROR(SUMPRODUCT($E6:$E11,O6:O11)/$E12, 0)</f>
        <v>241.40950113624066</v>
      </c>
      <c r="P12" s="19">
        <f>IFERROR(SUMPRODUCT($E6:$E11,P6:P11)/$E12, 0)</f>
        <v>23.459993507196192</v>
      </c>
      <c r="Q12" s="19">
        <f>IFERROR(SUMPRODUCT($E6:$E11,Q6:Q11)/$E12, 0)</f>
        <v>217.94950762904446</v>
      </c>
      <c r="R12" s="17">
        <f>SUM(R6:R11)</f>
        <v>35974</v>
      </c>
      <c r="S12" s="19">
        <f>IFERROR(R12/D12/$F12*1000,0)</f>
        <v>131.47622946026547</v>
      </c>
      <c r="T12" s="20">
        <f t="shared" si="5"/>
        <v>5.3296825485072556</v>
      </c>
      <c r="U12" s="17">
        <f>SUM(U6:U11)</f>
        <v>15120</v>
      </c>
      <c r="V12" s="19">
        <f>IFERROR(U12/D12/$F12*1000,0)</f>
        <v>55.259926320098238</v>
      </c>
      <c r="W12" s="19">
        <f t="shared" si="7"/>
        <v>0.42030355256574192</v>
      </c>
      <c r="X12" s="19">
        <f>IFERROR(SUMPRODUCT(R6:R11,X6:X11)/R12,0)</f>
        <v>367.75432701395448</v>
      </c>
      <c r="Y12" s="19">
        <f>IFERROR(($F12*S12)/($F12*K12)*100,0)</f>
        <v>187.62843582120686</v>
      </c>
      <c r="Z12" s="19">
        <f t="shared" si="9"/>
        <v>69.001169144108871</v>
      </c>
      <c r="AA12" s="17"/>
      <c r="AB12" s="21">
        <f>IFERROR(SUMPRODUCT($F6:$F11,AB6:AB11)/$F12,0)</f>
        <v>0.32974092137018435</v>
      </c>
      <c r="AC12" s="19"/>
      <c r="AD12" s="21">
        <f>AVERAGE(AD6:AD11)</f>
        <v>0</v>
      </c>
      <c r="AE12" s="19"/>
      <c r="AF12" s="19"/>
      <c r="AG12" s="17">
        <f>SUM(AG6:AG11)</f>
        <v>30525.670000000006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76</v>
      </c>
      <c r="C14" s="6">
        <v>13</v>
      </c>
      <c r="D14" s="6">
        <v>7</v>
      </c>
      <c r="E14" s="6">
        <v>21388</v>
      </c>
      <c r="F14" s="6">
        <v>16816</v>
      </c>
      <c r="G14" s="6">
        <v>36</v>
      </c>
      <c r="H14" s="8">
        <f t="shared" ref="H14:H31" si="12">IFERROR(G14/F14,0)</f>
        <v>2.1408182683158895E-3</v>
      </c>
      <c r="I14" s="8">
        <f>IFERROR((21388-F14)/21388,0)</f>
        <v>0.21376472788479522</v>
      </c>
      <c r="J14" s="6">
        <v>92790</v>
      </c>
      <c r="K14" s="10">
        <f t="shared" ref="K14:K31" si="13">IFERROR(J14/D14/F14*100,0)</f>
        <v>78.827986951202945</v>
      </c>
      <c r="L14" s="10">
        <f>K14-78.1764</f>
        <v>0.65158695120294396</v>
      </c>
      <c r="M14" s="10">
        <v>86</v>
      </c>
      <c r="N14" s="10">
        <f t="shared" ref="N14:N31" si="14">K14-M14</f>
        <v>-7.172013048797055</v>
      </c>
      <c r="O14" s="10">
        <f>IFERROR(4801260/21388,0)</f>
        <v>224.48382270432018</v>
      </c>
      <c r="P14" s="10">
        <v>0</v>
      </c>
      <c r="Q14" s="10">
        <f t="shared" ref="Q14:Q30" si="15">IFERROR(O14-P14,0)</f>
        <v>224.48382270432018</v>
      </c>
      <c r="R14" s="6">
        <v>11500</v>
      </c>
      <c r="S14" s="10">
        <f t="shared" ref="S14:S30" si="16">IFERROR(R14/D14/F14*1000,0)</f>
        <v>97.696071768383845</v>
      </c>
      <c r="T14" s="12">
        <f t="shared" ref="T14:T31" si="17">IFERROR(J14/R14,0)</f>
        <v>8.068695652173913</v>
      </c>
      <c r="U14" s="6">
        <v>21190</v>
      </c>
      <c r="V14" s="10">
        <f t="shared" ref="V14:V30" si="18">IFERROR(U14/D14/F14*1000,0)</f>
        <v>180.01563137148295</v>
      </c>
      <c r="W14" s="10">
        <f t="shared" ref="W14:W31" si="19">IFERROR(V14/S14,0)</f>
        <v>1.8426086956521741</v>
      </c>
      <c r="X14" s="10">
        <v>283.13142857140002</v>
      </c>
      <c r="Y14" s="10">
        <f t="shared" ref="Y14:Y30" si="20">IFERROR((F14*S14)/(F14*K14)*100,0)</f>
        <v>123.9357689406186</v>
      </c>
      <c r="Z14" s="10">
        <f t="shared" ref="Z14:Z31" si="21">IFERROR(Y14*X14/1000,0)</f>
        <v>35.090111311252294</v>
      </c>
      <c r="AA14" s="6">
        <v>2100</v>
      </c>
      <c r="AB14" s="14">
        <f>IFERROR(AA14/1580,0)</f>
        <v>1.3291139240506329</v>
      </c>
      <c r="AC14" s="10">
        <v>64.5</v>
      </c>
      <c r="AD14" s="14">
        <f>IFERROR(AC14/63.5,0)</f>
        <v>1.015748031496063</v>
      </c>
      <c r="AE14" s="10">
        <v>22</v>
      </c>
      <c r="AF14" s="10">
        <v>25</v>
      </c>
      <c r="AG14" s="6">
        <f t="shared" ref="AG14:AG30" si="22">IF(M14=0,0,IFERROR(N14/100*7*F14,0))</f>
        <v>-8442.3199999999888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36</v>
      </c>
      <c r="C15" s="7"/>
      <c r="D15" s="7">
        <v>7</v>
      </c>
      <c r="E15" s="7">
        <v>10225</v>
      </c>
      <c r="F15" s="7">
        <v>9230</v>
      </c>
      <c r="G15" s="7">
        <v>36</v>
      </c>
      <c r="H15" s="9">
        <f t="shared" si="12"/>
        <v>3.9003250270855903E-3</v>
      </c>
      <c r="I15" s="9">
        <f>IFERROR((10225-F15)/10225,0)</f>
        <v>9.7310513447432759E-2</v>
      </c>
      <c r="J15" s="7">
        <v>56160</v>
      </c>
      <c r="K15" s="11">
        <f t="shared" si="13"/>
        <v>86.92152917505031</v>
      </c>
      <c r="L15" s="11">
        <f>K15-85.3813</f>
        <v>1.5402291750503139</v>
      </c>
      <c r="M15" s="11">
        <v>93.5</v>
      </c>
      <c r="N15" s="11">
        <f t="shared" si="14"/>
        <v>-6.5784708249496902</v>
      </c>
      <c r="O15" s="11">
        <f>IFERROR(958520/10225,0)</f>
        <v>93.742787286063574</v>
      </c>
      <c r="P15" s="11">
        <v>111</v>
      </c>
      <c r="Q15" s="11">
        <f t="shared" si="15"/>
        <v>-17.257212713936426</v>
      </c>
      <c r="R15" s="7">
        <v>9370</v>
      </c>
      <c r="S15" s="11">
        <f t="shared" si="16"/>
        <v>145.02399009441262</v>
      </c>
      <c r="T15" s="13">
        <f t="shared" si="17"/>
        <v>5.9935965848452506</v>
      </c>
      <c r="U15" s="7">
        <v>12680</v>
      </c>
      <c r="V15" s="11">
        <f t="shared" si="18"/>
        <v>196.25444977557652</v>
      </c>
      <c r="W15" s="11">
        <f t="shared" si="19"/>
        <v>1.3532550693703307</v>
      </c>
      <c r="X15" s="11">
        <v>290.82571428569997</v>
      </c>
      <c r="Y15" s="11">
        <f t="shared" si="20"/>
        <v>166.84472934472933</v>
      </c>
      <c r="Z15" s="11">
        <f t="shared" si="21"/>
        <v>48.522737586485192</v>
      </c>
      <c r="AA15" s="7">
        <v>2040</v>
      </c>
      <c r="AB15" s="15">
        <f>IFERROR(AA15/1920,0)</f>
        <v>1.0625</v>
      </c>
      <c r="AC15" s="11">
        <v>0</v>
      </c>
      <c r="AD15" s="15">
        <f>IFERROR(AC15/61.9,0)</f>
        <v>0</v>
      </c>
      <c r="AE15" s="11">
        <v>22</v>
      </c>
      <c r="AF15" s="11">
        <v>30</v>
      </c>
      <c r="AG15" s="7">
        <f t="shared" si="22"/>
        <v>-4250.3499999999949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65</v>
      </c>
      <c r="C16" s="7"/>
      <c r="D16" s="7">
        <v>7</v>
      </c>
      <c r="E16" s="7">
        <v>56050</v>
      </c>
      <c r="F16" s="7">
        <v>50543</v>
      </c>
      <c r="G16" s="7">
        <v>127</v>
      </c>
      <c r="H16" s="9">
        <f t="shared" si="12"/>
        <v>2.5127119482420907E-3</v>
      </c>
      <c r="I16" s="9">
        <f>IFERROR((56050-F16)/56050,0)</f>
        <v>9.8251561106155225E-2</v>
      </c>
      <c r="J16" s="7">
        <v>327960</v>
      </c>
      <c r="K16" s="11">
        <f t="shared" si="13"/>
        <v>92.69617666428303</v>
      </c>
      <c r="L16" s="11">
        <f>K16-92.8924</f>
        <v>-0.19622333571696515</v>
      </c>
      <c r="M16" s="11">
        <v>89.95</v>
      </c>
      <c r="N16" s="11">
        <f t="shared" si="14"/>
        <v>2.746176664283027</v>
      </c>
      <c r="O16" s="11">
        <f>IFERROR(15825081/56050,0)</f>
        <v>282.33864406779662</v>
      </c>
      <c r="P16" s="11">
        <v>286</v>
      </c>
      <c r="Q16" s="11">
        <f t="shared" si="15"/>
        <v>-3.661355932203378</v>
      </c>
      <c r="R16" s="7">
        <v>41430</v>
      </c>
      <c r="S16" s="11">
        <f t="shared" si="16"/>
        <v>117.09972555193455</v>
      </c>
      <c r="T16" s="13">
        <f t="shared" si="17"/>
        <v>7.9160028964518467</v>
      </c>
      <c r="U16" s="7">
        <v>62600</v>
      </c>
      <c r="V16" s="11">
        <f t="shared" si="18"/>
        <v>176.93562200219898</v>
      </c>
      <c r="W16" s="11">
        <f t="shared" si="19"/>
        <v>1.510982379917934</v>
      </c>
      <c r="X16" s="11">
        <v>292.73428571429997</v>
      </c>
      <c r="Y16" s="11">
        <f t="shared" si="20"/>
        <v>126.32638126600804</v>
      </c>
      <c r="Z16" s="11">
        <f t="shared" si="21"/>
        <v>36.980062986777192</v>
      </c>
      <c r="AA16" s="7">
        <v>1786</v>
      </c>
      <c r="AB16" s="15">
        <f>IFERROR(AA16/1725,0)</f>
        <v>1.0353623188405796</v>
      </c>
      <c r="AC16" s="11">
        <v>0</v>
      </c>
      <c r="AD16" s="15">
        <f>IFERROR(AC16/63.4,0)</f>
        <v>0</v>
      </c>
      <c r="AE16" s="11">
        <v>20</v>
      </c>
      <c r="AF16" s="11">
        <v>25</v>
      </c>
      <c r="AG16" s="7">
        <f t="shared" si="22"/>
        <v>9716.0004999999928</v>
      </c>
      <c r="AH16" s="7">
        <v>28</v>
      </c>
      <c r="AI16" s="7">
        <v>2.8571428570999999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IFERROR(1260/F16,0)</f>
        <v>2.4929268147913658E-2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80</v>
      </c>
      <c r="B17" s="5">
        <v>139</v>
      </c>
      <c r="C17" s="7">
        <v>23</v>
      </c>
      <c r="D17" s="7">
        <v>3</v>
      </c>
      <c r="E17" s="7">
        <v>17433</v>
      </c>
      <c r="F17" s="7">
        <v>-14</v>
      </c>
      <c r="G17" s="7">
        <v>14</v>
      </c>
      <c r="H17" s="9">
        <f t="shared" si="12"/>
        <v>-1</v>
      </c>
      <c r="I17" s="9">
        <f>IFERROR((17433-F17)/17433,0)</f>
        <v>1.0008030746285781</v>
      </c>
      <c r="J17" s="7">
        <v>17030</v>
      </c>
      <c r="K17" s="11">
        <f t="shared" si="13"/>
        <v>-40547.619047619046</v>
      </c>
      <c r="L17" s="11">
        <f>K17-58.0858</f>
        <v>-40605.704847619047</v>
      </c>
      <c r="M17" s="11">
        <v>76</v>
      </c>
      <c r="N17" s="11">
        <f t="shared" si="14"/>
        <v>-40623.619047619046</v>
      </c>
      <c r="O17" s="11">
        <f>IFERROR(1582124/17433,0)</f>
        <v>90.754545976022484</v>
      </c>
      <c r="P17" s="11">
        <v>0</v>
      </c>
      <c r="Q17" s="11">
        <f t="shared" si="15"/>
        <v>90.754545976022484</v>
      </c>
      <c r="R17" s="7">
        <v>0</v>
      </c>
      <c r="S17" s="11">
        <f t="shared" si="16"/>
        <v>0</v>
      </c>
      <c r="T17" s="13">
        <f t="shared" si="17"/>
        <v>0</v>
      </c>
      <c r="U17" s="7">
        <v>7520</v>
      </c>
      <c r="V17" s="11">
        <f t="shared" si="18"/>
        <v>-179047.61904761902</v>
      </c>
      <c r="W17" s="11">
        <f t="shared" si="19"/>
        <v>0</v>
      </c>
      <c r="X17" s="11">
        <v>0</v>
      </c>
      <c r="Y17" s="11">
        <f t="shared" si="20"/>
        <v>0</v>
      </c>
      <c r="Z17" s="11">
        <f t="shared" si="21"/>
        <v>0</v>
      </c>
      <c r="AA17" s="7">
        <v>0</v>
      </c>
      <c r="AB17" s="15">
        <f>IFERROR(AA17/0,0)</f>
        <v>0</v>
      </c>
      <c r="AC17" s="11">
        <v>0</v>
      </c>
      <c r="AD17" s="15">
        <f>IFERROR(AC17/0,0)</f>
        <v>0</v>
      </c>
      <c r="AE17" s="11">
        <v>0</v>
      </c>
      <c r="AF17" s="11">
        <v>24</v>
      </c>
      <c r="AG17" s="7">
        <f t="shared" si="22"/>
        <v>39811.146666666667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58</v>
      </c>
      <c r="C18" s="7"/>
      <c r="D18" s="7">
        <v>7</v>
      </c>
      <c r="E18" s="7">
        <v>51536</v>
      </c>
      <c r="F18" s="7">
        <v>48264</v>
      </c>
      <c r="G18" s="7">
        <v>134</v>
      </c>
      <c r="H18" s="9">
        <f t="shared" si="12"/>
        <v>2.7763964859937014E-3</v>
      </c>
      <c r="I18" s="9">
        <f>IFERROR((51536-F18)/51536,0)</f>
        <v>6.3489599503259858E-2</v>
      </c>
      <c r="J18" s="7">
        <v>305600</v>
      </c>
      <c r="K18" s="11">
        <f t="shared" si="13"/>
        <v>90.454879117236146</v>
      </c>
      <c r="L18" s="11">
        <f>K18-92.979</f>
        <v>-2.524120882763853</v>
      </c>
      <c r="M18" s="11">
        <v>91.9</v>
      </c>
      <c r="N18" s="11">
        <f t="shared" si="14"/>
        <v>-1.4451208827638595</v>
      </c>
      <c r="O18" s="11">
        <f>IFERROR(12175802/51536,0)</f>
        <v>236.25818845079169</v>
      </c>
      <c r="P18" s="11">
        <v>244</v>
      </c>
      <c r="Q18" s="11">
        <f t="shared" si="15"/>
        <v>-7.7418115492083075</v>
      </c>
      <c r="R18" s="7">
        <v>39840</v>
      </c>
      <c r="S18" s="11">
        <f t="shared" si="16"/>
        <v>117.92285288058535</v>
      </c>
      <c r="T18" s="13">
        <f t="shared" si="17"/>
        <v>7.6706827309236951</v>
      </c>
      <c r="U18" s="7">
        <v>62076</v>
      </c>
      <c r="V18" s="11">
        <f t="shared" si="18"/>
        <v>183.73943311785183</v>
      </c>
      <c r="W18" s="11">
        <f t="shared" si="19"/>
        <v>1.558132530120482</v>
      </c>
      <c r="X18" s="11">
        <v>282.8028571429</v>
      </c>
      <c r="Y18" s="11">
        <f t="shared" si="20"/>
        <v>130.36649214659687</v>
      </c>
      <c r="Z18" s="11">
        <f t="shared" si="21"/>
        <v>36.868016454755029</v>
      </c>
      <c r="AA18" s="7">
        <v>1699</v>
      </c>
      <c r="AB18" s="15">
        <f>IFERROR(AA18/1725,0)</f>
        <v>0.984927536231884</v>
      </c>
      <c r="AC18" s="11">
        <v>0</v>
      </c>
      <c r="AD18" s="15">
        <f>IFERROR(AC18/63.1,0)</f>
        <v>0</v>
      </c>
      <c r="AE18" s="11">
        <v>21</v>
      </c>
      <c r="AF18" s="11">
        <v>26</v>
      </c>
      <c r="AG18" s="7">
        <f t="shared" si="22"/>
        <v>-4882.3120000000445</v>
      </c>
      <c r="AH18" s="7">
        <v>19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IFERROR(150/F18,0)</f>
        <v>3.1079065141720536E-3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61</v>
      </c>
      <c r="B19" s="5">
        <v>106</v>
      </c>
      <c r="C19" s="7">
        <v>36</v>
      </c>
      <c r="D19" s="7">
        <v>7</v>
      </c>
      <c r="E19" s="7">
        <v>51311</v>
      </c>
      <c r="F19" s="7">
        <v>39097</v>
      </c>
      <c r="G19" s="7">
        <v>141</v>
      </c>
      <c r="H19" s="9">
        <f t="shared" si="12"/>
        <v>3.6064148144358903E-3</v>
      </c>
      <c r="I19" s="9">
        <f>IFERROR((51311-F19)/51311,0)</f>
        <v>0.23803862719494845</v>
      </c>
      <c r="J19" s="7">
        <v>226260</v>
      </c>
      <c r="K19" s="11">
        <f t="shared" si="13"/>
        <v>82.673497053116975</v>
      </c>
      <c r="L19" s="11">
        <f>K19-84.6774</f>
        <v>-2.0039029468830307</v>
      </c>
      <c r="M19" s="11">
        <v>71</v>
      </c>
      <c r="N19" s="11">
        <f t="shared" si="14"/>
        <v>11.673497053116975</v>
      </c>
      <c r="O19" s="11">
        <f>IFERROR(23389249/51311,0)</f>
        <v>455.83303775019004</v>
      </c>
      <c r="P19" s="11">
        <v>0</v>
      </c>
      <c r="Q19" s="11">
        <f t="shared" si="15"/>
        <v>455.83303775019004</v>
      </c>
      <c r="R19" s="7">
        <v>32570</v>
      </c>
      <c r="S19" s="11">
        <f t="shared" si="16"/>
        <v>119.0080349606656</v>
      </c>
      <c r="T19" s="13">
        <f t="shared" si="17"/>
        <v>6.9468836352471603</v>
      </c>
      <c r="U19" s="7">
        <v>50930</v>
      </c>
      <c r="V19" s="11">
        <f t="shared" si="18"/>
        <v>186.09392755746694</v>
      </c>
      <c r="W19" s="11">
        <f t="shared" si="19"/>
        <v>1.5637089346023947</v>
      </c>
      <c r="X19" s="11">
        <v>287.25571428569998</v>
      </c>
      <c r="Y19" s="11">
        <f t="shared" si="20"/>
        <v>143.94943869884202</v>
      </c>
      <c r="Z19" s="11">
        <f t="shared" si="21"/>
        <v>41.350298834461448</v>
      </c>
      <c r="AA19" s="7">
        <v>1711</v>
      </c>
      <c r="AB19" s="15">
        <f>IFERROR(AA19/0,0)</f>
        <v>0</v>
      </c>
      <c r="AC19" s="11">
        <v>0</v>
      </c>
      <c r="AD19" s="15">
        <f>IFERROR(AC19/0,0)</f>
        <v>0</v>
      </c>
      <c r="AE19" s="11">
        <v>21</v>
      </c>
      <c r="AF19" s="11">
        <v>26</v>
      </c>
      <c r="AG19" s="7">
        <f t="shared" si="22"/>
        <v>31947.910000000007</v>
      </c>
      <c r="AH19" s="7">
        <v>24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IFERROR(200/F19,0)</f>
        <v>5.1154820062920426E-3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62</v>
      </c>
      <c r="B20" s="5">
        <v>37</v>
      </c>
      <c r="C20" s="7"/>
      <c r="D20" s="7">
        <v>7</v>
      </c>
      <c r="E20" s="7">
        <v>52424</v>
      </c>
      <c r="F20" s="7">
        <v>50807</v>
      </c>
      <c r="G20" s="7">
        <v>122</v>
      </c>
      <c r="H20" s="9">
        <f t="shared" si="12"/>
        <v>2.401243923081465E-3</v>
      </c>
      <c r="I20" s="9">
        <f>IFERROR((52424-F20)/52424,0)</f>
        <v>3.0844651304745917E-2</v>
      </c>
      <c r="J20" s="7">
        <v>334740</v>
      </c>
      <c r="K20" s="11">
        <f t="shared" si="13"/>
        <v>94.120888853898094</v>
      </c>
      <c r="L20" s="11">
        <f>K20-93.2671</f>
        <v>0.85378885389809511</v>
      </c>
      <c r="M20" s="11">
        <v>95.45</v>
      </c>
      <c r="N20" s="11">
        <f t="shared" si="14"/>
        <v>-1.3291111461019085</v>
      </c>
      <c r="O20" s="11">
        <f>IFERROR(5534760/52424,0)</f>
        <v>105.57683503738745</v>
      </c>
      <c r="P20" s="11">
        <v>112</v>
      </c>
      <c r="Q20" s="11">
        <f t="shared" si="15"/>
        <v>-6.423164962612546</v>
      </c>
      <c r="R20" s="7">
        <v>40515</v>
      </c>
      <c r="S20" s="11">
        <f t="shared" si="16"/>
        <v>113.91849829466693</v>
      </c>
      <c r="T20" s="13">
        <f t="shared" si="17"/>
        <v>8.262125138837467</v>
      </c>
      <c r="U20" s="7">
        <v>64664</v>
      </c>
      <c r="V20" s="11">
        <f t="shared" si="18"/>
        <v>181.81971550601858</v>
      </c>
      <c r="W20" s="11">
        <f t="shared" si="19"/>
        <v>1.5960508453659139</v>
      </c>
      <c r="X20" s="11">
        <v>314.08428571429999</v>
      </c>
      <c r="Y20" s="11">
        <f t="shared" si="20"/>
        <v>121.03423552607993</v>
      </c>
      <c r="Z20" s="11">
        <f t="shared" si="21"/>
        <v>38.014951412185169</v>
      </c>
      <c r="AA20" s="7">
        <v>1768</v>
      </c>
      <c r="AB20" s="15">
        <f>IFERROR(AA20/1700,0)</f>
        <v>1.04</v>
      </c>
      <c r="AC20" s="11">
        <v>61.21</v>
      </c>
      <c r="AD20" s="15">
        <f>IFERROR(AC20/61.35,0)</f>
        <v>0.99771801140994298</v>
      </c>
      <c r="AE20" s="11">
        <v>23</v>
      </c>
      <c r="AF20" s="11">
        <v>26</v>
      </c>
      <c r="AG20" s="7">
        <f t="shared" si="22"/>
        <v>-4726.9704999999767</v>
      </c>
      <c r="AH20" s="7">
        <v>27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IFERROR(490/F20,0)</f>
        <v>9.6443403468026052E-3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63</v>
      </c>
      <c r="B21" s="5">
        <v>27</v>
      </c>
      <c r="C21" s="7"/>
      <c r="D21" s="7">
        <v>7</v>
      </c>
      <c r="E21" s="7">
        <v>50525</v>
      </c>
      <c r="F21" s="7">
        <v>49851</v>
      </c>
      <c r="G21" s="7">
        <v>84</v>
      </c>
      <c r="H21" s="9">
        <f t="shared" si="12"/>
        <v>1.6850213636637179E-3</v>
      </c>
      <c r="I21" s="9">
        <f>IFERROR((50525-F21)/50525,0)</f>
        <v>1.3339930727362692E-2</v>
      </c>
      <c r="J21" s="7">
        <v>340420</v>
      </c>
      <c r="K21" s="11">
        <f t="shared" si="13"/>
        <v>97.553566771837225</v>
      </c>
      <c r="L21" s="11">
        <f>K21-83.6116</f>
        <v>13.94196677183723</v>
      </c>
      <c r="M21" s="11">
        <v>95.5</v>
      </c>
      <c r="N21" s="11">
        <f t="shared" si="14"/>
        <v>2.0535667718372252</v>
      </c>
      <c r="O21" s="11">
        <f>IFERROR(2044400/50525,0)</f>
        <v>40.463137060860959</v>
      </c>
      <c r="P21" s="11">
        <v>47</v>
      </c>
      <c r="Q21" s="11">
        <f t="shared" si="15"/>
        <v>-6.5368629391390414</v>
      </c>
      <c r="R21" s="7">
        <v>37537</v>
      </c>
      <c r="S21" s="11">
        <f t="shared" si="16"/>
        <v>107.56912742830779</v>
      </c>
      <c r="T21" s="13">
        <f t="shared" si="17"/>
        <v>9.0689186669153106</v>
      </c>
      <c r="U21" s="7">
        <v>68884</v>
      </c>
      <c r="V21" s="11">
        <f t="shared" si="18"/>
        <v>197.39967961668631</v>
      </c>
      <c r="W21" s="11">
        <f t="shared" si="19"/>
        <v>1.8350960385752724</v>
      </c>
      <c r="X21" s="11">
        <v>291.43142857139998</v>
      </c>
      <c r="Y21" s="11">
        <f t="shared" si="20"/>
        <v>110.26672933435168</v>
      </c>
      <c r="Z21" s="11">
        <f t="shared" si="21"/>
        <v>32.135190453806011</v>
      </c>
      <c r="AA21" s="7">
        <v>1519</v>
      </c>
      <c r="AB21" s="15">
        <f>IFERROR(AA21/1515,0)</f>
        <v>1.0026402640264027</v>
      </c>
      <c r="AC21" s="11">
        <v>56.73</v>
      </c>
      <c r="AD21" s="15">
        <f>IFERROR(AC21/55.5,0)</f>
        <v>1.0221621621621622</v>
      </c>
      <c r="AE21" s="11">
        <v>23</v>
      </c>
      <c r="AF21" s="11">
        <v>26</v>
      </c>
      <c r="AG21" s="7">
        <f t="shared" si="22"/>
        <v>7166.0650000000251</v>
      </c>
      <c r="AH21" s="7">
        <v>26</v>
      </c>
      <c r="AI21" s="7">
        <v>17.692307692300002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64</v>
      </c>
      <c r="B22" s="5">
        <v>46</v>
      </c>
      <c r="C22" s="7"/>
      <c r="D22" s="7">
        <v>7</v>
      </c>
      <c r="E22" s="7">
        <v>50845</v>
      </c>
      <c r="F22" s="7">
        <v>49350</v>
      </c>
      <c r="G22" s="7">
        <v>54</v>
      </c>
      <c r="H22" s="9">
        <f t="shared" si="12"/>
        <v>1.094224924012158E-3</v>
      </c>
      <c r="I22" s="9">
        <f>IFERROR((50845-F22)/50845,0)</f>
        <v>2.9403087815911104E-2</v>
      </c>
      <c r="J22" s="7">
        <v>310660</v>
      </c>
      <c r="K22" s="11">
        <f t="shared" si="13"/>
        <v>89.929078014184398</v>
      </c>
      <c r="L22" s="11">
        <f>K22-93.5089</f>
        <v>-3.5798219858155989</v>
      </c>
      <c r="M22" s="11">
        <v>94.7</v>
      </c>
      <c r="N22" s="11">
        <f t="shared" si="14"/>
        <v>-4.7709219858156047</v>
      </c>
      <c r="O22" s="11">
        <f>IFERROR(8388140/50845,0)</f>
        <v>164.97472711181041</v>
      </c>
      <c r="P22" s="11">
        <v>170</v>
      </c>
      <c r="Q22" s="11">
        <f t="shared" si="15"/>
        <v>-5.0252728881895905</v>
      </c>
      <c r="R22" s="7">
        <v>39266</v>
      </c>
      <c r="S22" s="11">
        <f t="shared" si="16"/>
        <v>113.66623245042697</v>
      </c>
      <c r="T22" s="13">
        <f t="shared" si="17"/>
        <v>7.9116793154382927</v>
      </c>
      <c r="U22" s="7">
        <v>66500</v>
      </c>
      <c r="V22" s="11">
        <f t="shared" si="18"/>
        <v>192.50253292806485</v>
      </c>
      <c r="W22" s="11">
        <f t="shared" si="19"/>
        <v>1.6935771405287019</v>
      </c>
      <c r="X22" s="11">
        <v>283.33714285709999</v>
      </c>
      <c r="Y22" s="11">
        <f t="shared" si="20"/>
        <v>126.39541621064829</v>
      </c>
      <c r="Z22" s="11">
        <f t="shared" si="21"/>
        <v>35.812516099359065</v>
      </c>
      <c r="AA22" s="7">
        <v>1775</v>
      </c>
      <c r="AB22" s="15">
        <f>IFERROR(AA22/1715,0)</f>
        <v>1.0349854227405249</v>
      </c>
      <c r="AC22" s="11">
        <v>62.01</v>
      </c>
      <c r="AD22" s="15">
        <f>IFERROR(AC22/62.4,0)</f>
        <v>0.99375000000000002</v>
      </c>
      <c r="AE22" s="11">
        <v>20</v>
      </c>
      <c r="AF22" s="11">
        <v>26</v>
      </c>
      <c r="AG22" s="7">
        <f t="shared" si="22"/>
        <v>-16481.150000000005</v>
      </c>
      <c r="AH22" s="7">
        <v>29</v>
      </c>
      <c r="AI22" s="7">
        <v>20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IFERROR(500/F22,0)</f>
        <v>1.0131712259371834E-2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65</v>
      </c>
      <c r="B23" s="5">
        <v>96</v>
      </c>
      <c r="C23" s="7">
        <v>33</v>
      </c>
      <c r="D23" s="7">
        <v>7</v>
      </c>
      <c r="E23" s="7">
        <v>20160</v>
      </c>
      <c r="F23" s="7">
        <v>15306</v>
      </c>
      <c r="G23" s="7">
        <v>56</v>
      </c>
      <c r="H23" s="9">
        <f t="shared" si="12"/>
        <v>3.6586959362341566E-3</v>
      </c>
      <c r="I23" s="9">
        <f>IFERROR((20160-F23)/20160,0)</f>
        <v>0.24077380952380953</v>
      </c>
      <c r="J23" s="7">
        <v>79490</v>
      </c>
      <c r="K23" s="11">
        <f t="shared" si="13"/>
        <v>74.191260196748246</v>
      </c>
      <c r="L23" s="11">
        <f>K23-76.4781</f>
        <v>-2.2868398032517518</v>
      </c>
      <c r="M23" s="11">
        <v>73</v>
      </c>
      <c r="N23" s="11">
        <f t="shared" si="14"/>
        <v>1.1912601967482459</v>
      </c>
      <c r="O23" s="11">
        <f>IFERROR(6386914/20160,0)</f>
        <v>316.81121031746034</v>
      </c>
      <c r="P23" s="11">
        <v>0</v>
      </c>
      <c r="Q23" s="11">
        <f t="shared" si="15"/>
        <v>316.81121031746034</v>
      </c>
      <c r="R23" s="7">
        <v>14722</v>
      </c>
      <c r="S23" s="11">
        <f t="shared" si="16"/>
        <v>137.406432584794</v>
      </c>
      <c r="T23" s="13">
        <f t="shared" si="17"/>
        <v>5.3994022551283791</v>
      </c>
      <c r="U23" s="7">
        <v>21730</v>
      </c>
      <c r="V23" s="11">
        <f t="shared" si="18"/>
        <v>202.81495585298015</v>
      </c>
      <c r="W23" s="11">
        <f t="shared" si="19"/>
        <v>1.4760222795815785</v>
      </c>
      <c r="X23" s="11">
        <v>282.90499999999997</v>
      </c>
      <c r="Y23" s="11">
        <f t="shared" si="20"/>
        <v>185.2056862498427</v>
      </c>
      <c r="Z23" s="11">
        <f t="shared" si="21"/>
        <v>52.39561466851174</v>
      </c>
      <c r="AA23" s="7">
        <v>0</v>
      </c>
      <c r="AB23" s="15">
        <f>IFERROR(AA23/1980,0)</f>
        <v>0</v>
      </c>
      <c r="AC23" s="11">
        <v>0</v>
      </c>
      <c r="AD23" s="15">
        <f>IFERROR(AC23/65.2,0)</f>
        <v>0</v>
      </c>
      <c r="AE23" s="11">
        <v>22</v>
      </c>
      <c r="AF23" s="11">
        <v>25</v>
      </c>
      <c r="AG23" s="7">
        <f t="shared" si="22"/>
        <v>1276.3400000000056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37</v>
      </c>
      <c r="C24" s="7"/>
      <c r="D24" s="7">
        <v>7</v>
      </c>
      <c r="E24" s="7">
        <v>21875</v>
      </c>
      <c r="F24" s="7">
        <v>21396</v>
      </c>
      <c r="G24" s="7">
        <v>26</v>
      </c>
      <c r="H24" s="9">
        <f t="shared" si="12"/>
        <v>1.2151804075528137E-3</v>
      </c>
      <c r="I24" s="9">
        <f>IFERROR((21875-F24)/21875,0)</f>
        <v>2.1897142857142858E-2</v>
      </c>
      <c r="J24" s="7">
        <v>143280</v>
      </c>
      <c r="K24" s="11">
        <f t="shared" si="13"/>
        <v>95.665411425366557</v>
      </c>
      <c r="L24" s="11">
        <f>K24-92.6684</f>
        <v>2.9970114253665514</v>
      </c>
      <c r="M24" s="11">
        <v>93.5</v>
      </c>
      <c r="N24" s="11">
        <f t="shared" si="14"/>
        <v>2.1654114253665568</v>
      </c>
      <c r="O24" s="11">
        <f>IFERROR(2587830/21875,0)</f>
        <v>118.3008</v>
      </c>
      <c r="P24" s="11">
        <v>117</v>
      </c>
      <c r="Q24" s="11">
        <f t="shared" si="15"/>
        <v>1.3007999999999953</v>
      </c>
      <c r="R24" s="7">
        <v>17930</v>
      </c>
      <c r="S24" s="11">
        <f t="shared" si="16"/>
        <v>119.71530059023048</v>
      </c>
      <c r="T24" s="13">
        <f t="shared" si="17"/>
        <v>7.9910764082543224</v>
      </c>
      <c r="U24" s="7">
        <v>32331</v>
      </c>
      <c r="V24" s="11">
        <f t="shared" si="18"/>
        <v>215.86811954170338</v>
      </c>
      <c r="W24" s="11">
        <f t="shared" si="19"/>
        <v>1.8031790295593975</v>
      </c>
      <c r="X24" s="11">
        <v>278.57571428569997</v>
      </c>
      <c r="Y24" s="11">
        <f t="shared" si="20"/>
        <v>125.1395868230039</v>
      </c>
      <c r="Z24" s="11">
        <f t="shared" si="21"/>
        <v>34.860849784635676</v>
      </c>
      <c r="AA24" s="7">
        <v>1954</v>
      </c>
      <c r="AB24" s="15">
        <f>IFERROR(AA24/1920,0)</f>
        <v>1.0177083333333334</v>
      </c>
      <c r="AC24" s="11">
        <v>62.01</v>
      </c>
      <c r="AD24" s="15">
        <f>IFERROR(AC24/62,0)</f>
        <v>1.0001612903225807</v>
      </c>
      <c r="AE24" s="11">
        <v>23</v>
      </c>
      <c r="AF24" s="11">
        <v>26</v>
      </c>
      <c r="AG24" s="7">
        <f t="shared" si="22"/>
        <v>3243.18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IFERROR(490/F24,0)</f>
        <v>2.2901476911572256E-2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67</v>
      </c>
      <c r="B25" s="5">
        <v>96</v>
      </c>
      <c r="C25" s="7">
        <v>29</v>
      </c>
      <c r="D25" s="7">
        <v>7</v>
      </c>
      <c r="E25" s="7">
        <v>51833</v>
      </c>
      <c r="F25" s="7">
        <v>41406</v>
      </c>
      <c r="G25" s="7">
        <v>198</v>
      </c>
      <c r="H25" s="9">
        <f t="shared" si="12"/>
        <v>4.7819156643964644E-3</v>
      </c>
      <c r="I25" s="9">
        <f>IFERROR((51833-F25)/51833,0)</f>
        <v>0.20116528080566434</v>
      </c>
      <c r="J25" s="7">
        <v>193200</v>
      </c>
      <c r="K25" s="11">
        <f t="shared" si="13"/>
        <v>66.657006230981025</v>
      </c>
      <c r="L25" s="11">
        <f>K25-74.0313</f>
        <v>-7.3742937690189763</v>
      </c>
      <c r="M25" s="11">
        <v>75</v>
      </c>
      <c r="N25" s="11">
        <f t="shared" si="14"/>
        <v>-8.3429937690189746</v>
      </c>
      <c r="O25" s="11">
        <f>IFERROR(19579348/51833,0)</f>
        <v>377.73904655335406</v>
      </c>
      <c r="P25" s="11">
        <v>0</v>
      </c>
      <c r="Q25" s="11">
        <f t="shared" si="15"/>
        <v>377.73904655335406</v>
      </c>
      <c r="R25" s="7">
        <v>32843</v>
      </c>
      <c r="S25" s="11">
        <f t="shared" si="16"/>
        <v>113.31346043706573</v>
      </c>
      <c r="T25" s="13">
        <f t="shared" si="17"/>
        <v>5.8825320464025816</v>
      </c>
      <c r="U25" s="7">
        <v>49408</v>
      </c>
      <c r="V25" s="11">
        <f t="shared" si="18"/>
        <v>170.46528798448813</v>
      </c>
      <c r="W25" s="11">
        <f t="shared" si="19"/>
        <v>1.5043692719909874</v>
      </c>
      <c r="X25" s="11">
        <v>262.94428571430001</v>
      </c>
      <c r="Y25" s="11">
        <f t="shared" si="20"/>
        <v>169.99482401656314</v>
      </c>
      <c r="Z25" s="11">
        <f t="shared" si="21"/>
        <v>44.699167576163333</v>
      </c>
      <c r="AA25" s="7">
        <v>1764</v>
      </c>
      <c r="AB25" s="15">
        <f>IFERROR(AA25/1980,0)</f>
        <v>0.89090909090909087</v>
      </c>
      <c r="AC25" s="11">
        <v>0</v>
      </c>
      <c r="AD25" s="15">
        <f>IFERROR(AC25/65.2,0)</f>
        <v>0</v>
      </c>
      <c r="AE25" s="11">
        <v>19</v>
      </c>
      <c r="AF25" s="11">
        <v>26</v>
      </c>
      <c r="AG25" s="7">
        <f t="shared" si="22"/>
        <v>-24181.499999999978</v>
      </c>
      <c r="AH25" s="7">
        <v>33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IFERROR(1050/F25,0)</f>
        <v>2.5358643674829734E-2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81</v>
      </c>
      <c r="B26" s="5">
        <v>94</v>
      </c>
      <c r="C26" s="7">
        <v>28</v>
      </c>
      <c r="D26" s="7">
        <v>7</v>
      </c>
      <c r="E26" s="7">
        <v>21623</v>
      </c>
      <c r="F26" s="7">
        <v>18161</v>
      </c>
      <c r="G26" s="7">
        <v>30</v>
      </c>
      <c r="H26" s="9">
        <f t="shared" si="12"/>
        <v>1.6518914156709431E-3</v>
      </c>
      <c r="I26" s="9">
        <f>IFERROR((21623-F26)/21623,0)</f>
        <v>0.16010729316006106</v>
      </c>
      <c r="J26" s="7">
        <v>94680</v>
      </c>
      <c r="K26" s="11">
        <f t="shared" si="13"/>
        <v>74.476704397964241</v>
      </c>
      <c r="L26" s="11">
        <f>K26-74.2125</f>
        <v>0.26420439796423523</v>
      </c>
      <c r="M26" s="11">
        <v>79</v>
      </c>
      <c r="N26" s="11">
        <f t="shared" si="14"/>
        <v>-4.5232956020357591</v>
      </c>
      <c r="O26" s="11">
        <f>IFERROR(8166185/21623,0)</f>
        <v>377.66198029875596</v>
      </c>
      <c r="P26" s="11">
        <v>0</v>
      </c>
      <c r="Q26" s="11">
        <f t="shared" si="15"/>
        <v>377.66198029875596</v>
      </c>
      <c r="R26" s="7">
        <v>15312</v>
      </c>
      <c r="S26" s="11">
        <f t="shared" si="16"/>
        <v>120.44648265120706</v>
      </c>
      <c r="T26" s="13">
        <f t="shared" si="17"/>
        <v>6.1833855799373039</v>
      </c>
      <c r="U26" s="7">
        <v>24705</v>
      </c>
      <c r="V26" s="11">
        <f t="shared" si="18"/>
        <v>194.33322582928884</v>
      </c>
      <c r="W26" s="11">
        <f t="shared" si="19"/>
        <v>1.6134404388714734</v>
      </c>
      <c r="X26" s="11">
        <v>268.72428571429998</v>
      </c>
      <c r="Y26" s="11">
        <f t="shared" si="20"/>
        <v>161.72370088719896</v>
      </c>
      <c r="Z26" s="11">
        <f t="shared" si="21"/>
        <v>43.459086003985639</v>
      </c>
      <c r="AA26" s="7">
        <v>2067</v>
      </c>
      <c r="AB26" s="15">
        <f>IFERROR(AA26/1980,0)</f>
        <v>1.0439393939393939</v>
      </c>
      <c r="AC26" s="11">
        <v>65.510000000000005</v>
      </c>
      <c r="AD26" s="15">
        <f>IFERROR(AC26/65.2,0)</f>
        <v>1.0047546012269939</v>
      </c>
      <c r="AE26" s="11">
        <v>19</v>
      </c>
      <c r="AF26" s="11">
        <v>26</v>
      </c>
      <c r="AG26" s="7">
        <f t="shared" si="22"/>
        <v>-5750.329999999999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IFERROR(490/F26,0)</f>
        <v>2.6980893122625405E-2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68</v>
      </c>
      <c r="B27" s="5">
        <v>27</v>
      </c>
      <c r="C27" s="7"/>
      <c r="D27" s="7">
        <v>7</v>
      </c>
      <c r="E27" s="7">
        <v>21339</v>
      </c>
      <c r="F27" s="7">
        <v>21086</v>
      </c>
      <c r="G27" s="7">
        <v>23</v>
      </c>
      <c r="H27" s="9">
        <f t="shared" si="12"/>
        <v>1.0907711277624965E-3</v>
      </c>
      <c r="I27" s="9">
        <f>IFERROR((21339-F27)/21339,0)</f>
        <v>1.185622569005108E-2</v>
      </c>
      <c r="J27" s="7">
        <v>131760</v>
      </c>
      <c r="K27" s="11">
        <f t="shared" si="13"/>
        <v>89.267083101854979</v>
      </c>
      <c r="L27" s="11">
        <f>K27-89.9007</f>
        <v>-0.63361689814502142</v>
      </c>
      <c r="M27" s="11">
        <v>95.5</v>
      </c>
      <c r="N27" s="11">
        <f t="shared" si="14"/>
        <v>-6.2329168981450209</v>
      </c>
      <c r="O27" s="11">
        <f>IFERROR(1021890/21339,0)</f>
        <v>47.888373400815411</v>
      </c>
      <c r="P27" s="11">
        <v>52</v>
      </c>
      <c r="Q27" s="11">
        <f t="shared" si="15"/>
        <v>-4.1116265991845893</v>
      </c>
      <c r="R27" s="7">
        <v>17550</v>
      </c>
      <c r="S27" s="11">
        <f t="shared" si="16"/>
        <v>118.90082790206095</v>
      </c>
      <c r="T27" s="13">
        <f t="shared" si="17"/>
        <v>7.5076923076923077</v>
      </c>
      <c r="U27" s="7">
        <v>34442</v>
      </c>
      <c r="V27" s="11">
        <f t="shared" si="18"/>
        <v>233.34372162978823</v>
      </c>
      <c r="W27" s="11">
        <f t="shared" si="19"/>
        <v>1.9625071225071227</v>
      </c>
      <c r="X27" s="11">
        <v>280.92142857139999</v>
      </c>
      <c r="Y27" s="11">
        <f t="shared" si="20"/>
        <v>133.19672131147544</v>
      </c>
      <c r="Z27" s="11">
        <f t="shared" si="21"/>
        <v>37.417813231846317</v>
      </c>
      <c r="AA27" s="7">
        <v>1769</v>
      </c>
      <c r="AB27" s="15">
        <f>IFERROR(AA27/1880,0)</f>
        <v>0.94095744680851068</v>
      </c>
      <c r="AC27" s="11">
        <v>59.62</v>
      </c>
      <c r="AD27" s="15">
        <f>IFERROR(AC27/58.4,0)</f>
        <v>1.0208904109589041</v>
      </c>
      <c r="AE27" s="11">
        <v>22</v>
      </c>
      <c r="AF27" s="11">
        <v>26</v>
      </c>
      <c r="AG27" s="7">
        <f t="shared" si="22"/>
        <v>-9199.9100000000144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85</v>
      </c>
      <c r="C28" s="7">
        <v>13</v>
      </c>
      <c r="D28" s="7">
        <v>7</v>
      </c>
      <c r="E28" s="7">
        <v>47224</v>
      </c>
      <c r="F28" s="7">
        <v>37716</v>
      </c>
      <c r="G28" s="7">
        <v>80</v>
      </c>
      <c r="H28" s="9">
        <f t="shared" si="12"/>
        <v>2.1211157068618093E-3</v>
      </c>
      <c r="I28" s="9">
        <f>IFERROR((47224-F28)/47224,0)</f>
        <v>0.20133830255802135</v>
      </c>
      <c r="J28" s="7">
        <v>197900</v>
      </c>
      <c r="K28" s="11">
        <f t="shared" si="13"/>
        <v>74.958713997848577</v>
      </c>
      <c r="L28" s="11">
        <f>K28-75.0949</f>
        <v>-0.13618600215141896</v>
      </c>
      <c r="M28" s="11">
        <v>81</v>
      </c>
      <c r="N28" s="11">
        <f t="shared" si="14"/>
        <v>-6.0412860021514234</v>
      </c>
      <c r="O28" s="11">
        <f>IFERROR(15146850/47224,0)</f>
        <v>320.74474843300015</v>
      </c>
      <c r="P28" s="11">
        <v>0</v>
      </c>
      <c r="Q28" s="11">
        <f t="shared" si="15"/>
        <v>320.74474843300015</v>
      </c>
      <c r="R28" s="7">
        <v>30830</v>
      </c>
      <c r="S28" s="11">
        <f t="shared" si="16"/>
        <v>116.77499507598141</v>
      </c>
      <c r="T28" s="13">
        <f t="shared" si="17"/>
        <v>6.4190723321440153</v>
      </c>
      <c r="U28" s="7">
        <v>55700</v>
      </c>
      <c r="V28" s="11">
        <f t="shared" si="18"/>
        <v>210.9752587003621</v>
      </c>
      <c r="W28" s="11">
        <f t="shared" si="19"/>
        <v>1.8066818034382093</v>
      </c>
      <c r="X28" s="11">
        <v>285.97857142859999</v>
      </c>
      <c r="Y28" s="11">
        <f t="shared" si="20"/>
        <v>155.78575037897932</v>
      </c>
      <c r="Z28" s="11">
        <f t="shared" si="21"/>
        <v>44.551386342312988</v>
      </c>
      <c r="AA28" s="7">
        <v>1565</v>
      </c>
      <c r="AB28" s="15">
        <f>IFERROR(AA28/1580,0)</f>
        <v>0.990506329113924</v>
      </c>
      <c r="AC28" s="11">
        <v>0</v>
      </c>
      <c r="AD28" s="15">
        <f>IFERROR(AC28/63.6,0)</f>
        <v>0</v>
      </c>
      <c r="AE28" s="11">
        <v>14</v>
      </c>
      <c r="AF28" s="11">
        <v>29</v>
      </c>
      <c r="AG28" s="7">
        <f t="shared" si="22"/>
        <v>-15949.720000000016</v>
      </c>
      <c r="AH28" s="7">
        <v>32</v>
      </c>
      <c r="AI28" s="7">
        <v>25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IFERROR(560/F28,0)</f>
        <v>1.4847809948032665E-2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115</v>
      </c>
      <c r="C29" s="7">
        <v>17</v>
      </c>
      <c r="D29" s="7">
        <v>7</v>
      </c>
      <c r="E29" s="7">
        <v>33376</v>
      </c>
      <c r="F29" s="7">
        <v>29334</v>
      </c>
      <c r="G29" s="7">
        <v>93</v>
      </c>
      <c r="H29" s="9">
        <f t="shared" si="12"/>
        <v>3.1703824913070157E-3</v>
      </c>
      <c r="I29" s="9">
        <f>IFERROR((33376-F29)/33376,0)</f>
        <v>0.12110498561840843</v>
      </c>
      <c r="J29" s="7">
        <v>139160</v>
      </c>
      <c r="K29" s="11">
        <f t="shared" si="13"/>
        <v>67.771187018476851</v>
      </c>
      <c r="L29" s="11">
        <f>K29-70.7708</f>
        <v>-2.9996129815231427</v>
      </c>
      <c r="M29" s="11">
        <v>79</v>
      </c>
      <c r="N29" s="11">
        <f t="shared" si="14"/>
        <v>-11.228812981523149</v>
      </c>
      <c r="O29" s="11">
        <f>IFERROR(14921113/33376,0)</f>
        <v>447.06115172579098</v>
      </c>
      <c r="P29" s="11">
        <v>0</v>
      </c>
      <c r="Q29" s="11">
        <f t="shared" si="15"/>
        <v>447.06115172579098</v>
      </c>
      <c r="R29" s="7">
        <v>25110</v>
      </c>
      <c r="S29" s="11">
        <f t="shared" si="16"/>
        <v>122.28618180755633</v>
      </c>
      <c r="T29" s="13">
        <f t="shared" si="17"/>
        <v>5.542015133412983</v>
      </c>
      <c r="U29" s="7">
        <v>33600</v>
      </c>
      <c r="V29" s="11">
        <f t="shared" si="18"/>
        <v>163.63264471262019</v>
      </c>
      <c r="W29" s="11">
        <f t="shared" si="19"/>
        <v>1.3381123058542415</v>
      </c>
      <c r="X29" s="11">
        <v>323.95</v>
      </c>
      <c r="Y29" s="11">
        <f t="shared" si="20"/>
        <v>180.43978154642139</v>
      </c>
      <c r="Z29" s="11">
        <f t="shared" si="21"/>
        <v>58.453467231963209</v>
      </c>
      <c r="AA29" s="7">
        <v>1694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15</v>
      </c>
      <c r="AF29" s="11">
        <v>30</v>
      </c>
      <c r="AG29" s="7">
        <f t="shared" si="22"/>
        <v>-23057.02</v>
      </c>
      <c r="AH29" s="7">
        <v>61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IFERROR(910/F29,0)</f>
        <v>3.1022022226767573E-2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115</v>
      </c>
      <c r="C30" s="7">
        <v>17</v>
      </c>
      <c r="D30" s="7">
        <v>7</v>
      </c>
      <c r="E30" s="7">
        <v>12390</v>
      </c>
      <c r="F30" s="7">
        <v>10013</v>
      </c>
      <c r="G30" s="7">
        <v>32</v>
      </c>
      <c r="H30" s="9">
        <f t="shared" si="12"/>
        <v>3.1958454009787278E-3</v>
      </c>
      <c r="I30" s="9">
        <f>IFERROR((12390-F30)/12390,0)</f>
        <v>0.19184826472962066</v>
      </c>
      <c r="J30" s="7">
        <v>55650</v>
      </c>
      <c r="K30" s="11">
        <f t="shared" si="13"/>
        <v>79.396784180565263</v>
      </c>
      <c r="L30" s="11">
        <f>K30-79.471</f>
        <v>-7.4215819434741093E-2</v>
      </c>
      <c r="M30" s="11">
        <v>79</v>
      </c>
      <c r="N30" s="11">
        <f t="shared" si="14"/>
        <v>0.39678418056526255</v>
      </c>
      <c r="O30" s="11">
        <f>IFERROR(6065708/12390,0)</f>
        <v>489.56481033091205</v>
      </c>
      <c r="P30" s="11">
        <v>0</v>
      </c>
      <c r="Q30" s="11">
        <f t="shared" si="15"/>
        <v>489.56481033091205</v>
      </c>
      <c r="R30" s="7">
        <v>9220</v>
      </c>
      <c r="S30" s="11">
        <f t="shared" si="16"/>
        <v>131.54327945099942</v>
      </c>
      <c r="T30" s="13">
        <f t="shared" si="17"/>
        <v>6.0357917570498918</v>
      </c>
      <c r="U30" s="7">
        <v>16300</v>
      </c>
      <c r="V30" s="11">
        <f t="shared" si="18"/>
        <v>232.55482158907702</v>
      </c>
      <c r="W30" s="11">
        <f t="shared" si="19"/>
        <v>1.7678958785249455</v>
      </c>
      <c r="X30" s="11">
        <v>269.64285714290003</v>
      </c>
      <c r="Y30" s="11">
        <f t="shared" si="20"/>
        <v>165.67834681042231</v>
      </c>
      <c r="Z30" s="11">
        <f t="shared" si="21"/>
        <v>44.673982800674551</v>
      </c>
      <c r="AA30" s="7">
        <v>2012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15</v>
      </c>
      <c r="AF30" s="11">
        <v>30</v>
      </c>
      <c r="AG30" s="7">
        <f t="shared" si="22"/>
        <v>278.10999999999814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IFERROR(455/F30,0)</f>
        <v>4.5440926795166287E-2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6.7647058823529411</v>
      </c>
      <c r="E31" s="17">
        <f>SUM(E14:E30)</f>
        <v>591557</v>
      </c>
      <c r="F31" s="17">
        <f>SUM(F14:F30)</f>
        <v>508362</v>
      </c>
      <c r="G31" s="17">
        <f>SUM(G14:G30)</f>
        <v>1286</v>
      </c>
      <c r="H31" s="18">
        <f t="shared" si="12"/>
        <v>2.5296934074537434E-3</v>
      </c>
      <c r="I31" s="18"/>
      <c r="J31" s="17">
        <f>SUM(J14:J30)</f>
        <v>3046740</v>
      </c>
      <c r="K31" s="19">
        <f t="shared" si="13"/>
        <v>88.595853382808514</v>
      </c>
      <c r="L31" s="19"/>
      <c r="M31" s="19">
        <f>IFERROR(SUMPRODUCT($F14:$F30,M14:M30)/$F31, 0)</f>
        <v>86.915833795602353</v>
      </c>
      <c r="N31" s="19">
        <f t="shared" si="14"/>
        <v>1.6800195872061607</v>
      </c>
      <c r="O31" s="19">
        <f>IFERROR(SUMPRODUCT($E14:$E30,O14:O30)/$E31, 0)</f>
        <v>251.15952308906833</v>
      </c>
      <c r="P31" s="19">
        <f>IFERROR(SUMPRODUCT($E14:$E30,P14:P30)/$E31, 0)</f>
        <v>85.027943207501565</v>
      </c>
      <c r="Q31" s="19">
        <f>IFERROR(SUMPRODUCT($E14:$E30,Q14:Q30)/$E31, 0)</f>
        <v>166.13157988156678</v>
      </c>
      <c r="R31" s="17">
        <f>SUM(R14:R30)</f>
        <v>415545</v>
      </c>
      <c r="S31" s="19">
        <f>IFERROR(R31/D31/$F31*1000,0)</f>
        <v>120.83592263848955</v>
      </c>
      <c r="T31" s="20">
        <f t="shared" si="17"/>
        <v>7.3319135111720755</v>
      </c>
      <c r="U31" s="17">
        <f>SUM(U14:U30)</f>
        <v>685260</v>
      </c>
      <c r="V31" s="19">
        <f>IFERROR(U31/D31/$F31*1000,0)</f>
        <v>199.26608272810731</v>
      </c>
      <c r="W31" s="19">
        <f t="shared" si="19"/>
        <v>1.6490632783453056</v>
      </c>
      <c r="X31" s="19">
        <f>IFERROR(SUMPRODUCT(R14:R30,X14:X30)/R31,0)</f>
        <v>288.29530946107019</v>
      </c>
      <c r="Y31" s="19">
        <f>IFERROR(($F31*S31)/($F31*K31)*100,0)</f>
        <v>136.39004312806472</v>
      </c>
      <c r="Z31" s="19">
        <f t="shared" si="21"/>
        <v>39.320609691014127</v>
      </c>
      <c r="AA31" s="17"/>
      <c r="AB31" s="21">
        <f>IFERROR(SUMPRODUCT($F14:$F30,AB14:AB30)/$F31,0)</f>
        <v>0.82764715603191386</v>
      </c>
      <c r="AC31" s="19"/>
      <c r="AD31" s="21">
        <f>AVERAGE(AD14:AD30)</f>
        <v>0.41501085338686156</v>
      </c>
      <c r="AE31" s="19"/>
      <c r="AF31" s="19"/>
      <c r="AG31" s="17">
        <f>SUM(AG14:AG30)</f>
        <v>-23482.830333333317</v>
      </c>
      <c r="AH31" s="17">
        <f>SUM(AH14:AH30)</f>
        <v>279</v>
      </c>
      <c r="AI31" s="17">
        <f>IFERROR(SUMPRODUCT(AH14:AH30,AI14:AI30)/AH31, 0)</f>
        <v>18.637992831536199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6.7815059124389547</v>
      </c>
      <c r="E33" s="23">
        <f>E12+E31</f>
        <v>637762</v>
      </c>
      <c r="F33" s="23">
        <f>F12+F31</f>
        <v>547450</v>
      </c>
      <c r="G33" s="23">
        <f>G12+G31</f>
        <v>1449</v>
      </c>
      <c r="H33" s="24">
        <f>IFERROR(G33/F33,0)</f>
        <v>2.6468170609188052E-3</v>
      </c>
      <c r="I33" s="23"/>
      <c r="J33" s="23">
        <f>J12+J31</f>
        <v>3238470</v>
      </c>
      <c r="K33" s="25">
        <f>IFERROR(J33/D33/F33*100,0)</f>
        <v>87.230683099683489</v>
      </c>
      <c r="L33" s="23"/>
      <c r="M33" s="25">
        <f>IFERROR($F$12/$F33*M$12,0)+IFERROR($F$31/$F33*M$31,0)</f>
        <v>84.916661064937443</v>
      </c>
      <c r="N33" s="25">
        <f>K33-M33</f>
        <v>2.3140220347460456</v>
      </c>
      <c r="O33" s="23">
        <f>IFERROR($E$12/$E33*O$12,0)+IFERROR($E$31/$E33*O$31,0)</f>
        <v>250.45314709876098</v>
      </c>
      <c r="P33" s="23">
        <f>IFERROR($E$12/$E33*P$12,0)+IFERROR($E$31/$E33*P$31,0)</f>
        <v>80.567427974699044</v>
      </c>
      <c r="Q33" s="23">
        <f>IFERROR($E$12/$E33*Q$12,0)+IFERROR($E$31/$E33*Q$31,0)</f>
        <v>169.88571912406198</v>
      </c>
      <c r="R33" s="23">
        <f>R12+R31</f>
        <v>451519</v>
      </c>
      <c r="S33" s="25">
        <f>IFERROR(R33/D33/$F33*1000,0)</f>
        <v>121.62011938503673</v>
      </c>
      <c r="T33" s="26">
        <f>IFERROR(J33/R33,0)</f>
        <v>7.1723892017833135</v>
      </c>
      <c r="U33" s="23">
        <f>U12+U31</f>
        <v>700380</v>
      </c>
      <c r="V33" s="25">
        <f>IFERROR(U33/D33/$F33*1000,0)</f>
        <v>188.65274598608704</v>
      </c>
      <c r="W33" s="25">
        <f>IFERROR(V33/S33,0)</f>
        <v>1.5511639598776576</v>
      </c>
      <c r="X33" s="25">
        <f>IFERROR($F$12/$F33*X$12,0)+IFERROR($F$31/$F33*X$31,0)</f>
        <v>293.96869347441776</v>
      </c>
      <c r="Y33" s="25">
        <f>IFERROR(($F33*S33)/($F33*K33)*100,0)</f>
        <v>139.42355495033149</v>
      </c>
      <c r="Z33" s="25">
        <f>IFERROR(Y33*X33/1000,0)</f>
        <v>40.986160288307644</v>
      </c>
      <c r="AA33" s="23"/>
      <c r="AB33" s="27"/>
      <c r="AC33" s="23"/>
      <c r="AD33" s="27"/>
      <c r="AE33" s="23"/>
      <c r="AF33" s="23"/>
      <c r="AG33" s="23">
        <f>AG12+AG31</f>
        <v>7042.8396666666886</v>
      </c>
      <c r="AH33" s="23">
        <f>AH12+AH31</f>
        <v>279</v>
      </c>
      <c r="AI33" s="23">
        <f>IFERROR(AH$12/AH33*AI$12,0)+IFERROR(AH$31/AH33*AI$31,0)</f>
        <v>18.637992831536199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61</v>
      </c>
      <c r="T36" s="32" t="s">
        <v>70</v>
      </c>
      <c r="U36" s="32" t="s">
        <v>71</v>
      </c>
      <c r="V36" s="32" t="s">
        <v>72</v>
      </c>
      <c r="W36" s="32" t="s">
        <v>62</v>
      </c>
      <c r="X36" s="32" t="s">
        <v>66</v>
      </c>
      <c r="Y36" s="32" t="s">
        <v>67</v>
      </c>
      <c r="Z36" s="32" t="s">
        <v>81</v>
      </c>
      <c r="AA36" s="32" t="s">
        <v>63</v>
      </c>
      <c r="AB36" s="32" t="s">
        <v>68</v>
      </c>
      <c r="AC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>
        <v>2.5000000000000001E-3</v>
      </c>
      <c r="T37" s="8">
        <v>5.3E-3</v>
      </c>
      <c r="U37" s="8">
        <v>6.3E-3</v>
      </c>
      <c r="V37" s="8">
        <v>2.7000000000000001E-3</v>
      </c>
      <c r="W37" s="8">
        <v>1.5E-3</v>
      </c>
      <c r="X37" s="8">
        <v>1.4E-3</v>
      </c>
      <c r="Y37" s="8">
        <v>2.8E-3</v>
      </c>
      <c r="Z37" s="8">
        <v>1.6999999999999999E-3</v>
      </c>
      <c r="AA37" s="8"/>
      <c r="AB37" s="8"/>
      <c r="AC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>
        <v>2.5000000000000001E-3</v>
      </c>
      <c r="T38" s="9">
        <v>5.7999999999999996E-3</v>
      </c>
      <c r="U38" s="9">
        <v>3.5999999999999999E-3</v>
      </c>
      <c r="V38" s="9">
        <v>2.3E-3</v>
      </c>
      <c r="W38" s="9">
        <v>1.5E-3</v>
      </c>
      <c r="X38" s="9">
        <v>1E-3</v>
      </c>
      <c r="Y38" s="9">
        <v>3.0000000000000001E-3</v>
      </c>
      <c r="Z38" s="9">
        <v>1.8E-3</v>
      </c>
      <c r="AA38" s="9"/>
      <c r="AB38" s="9"/>
      <c r="AC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>
        <v>2.5000000000000001E-3</v>
      </c>
      <c r="T39" s="9">
        <v>5.4999999999999997E-3</v>
      </c>
      <c r="U39" s="9">
        <v>3.5000000000000001E-3</v>
      </c>
      <c r="V39" s="9">
        <v>2.5000000000000001E-3</v>
      </c>
      <c r="W39" s="9">
        <v>1.6999999999999999E-3</v>
      </c>
      <c r="X39" s="9">
        <v>6.9999999999999999E-4</v>
      </c>
      <c r="Y39" s="9">
        <v>2.8E-3</v>
      </c>
      <c r="Z39" s="9">
        <v>1.4E-3</v>
      </c>
      <c r="AA39" s="9"/>
      <c r="AB39" s="9"/>
      <c r="AC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>
        <v>2.5999999999999999E-3</v>
      </c>
      <c r="T40" s="9">
        <v>3.2000000000000002E-3</v>
      </c>
      <c r="U40" s="9">
        <v>3.7000000000000002E-3</v>
      </c>
      <c r="V40" s="9">
        <v>2.5000000000000001E-3</v>
      </c>
      <c r="W40" s="9">
        <v>1.6000000000000001E-3</v>
      </c>
      <c r="X40" s="9">
        <v>8.9999999999999998E-4</v>
      </c>
      <c r="Y40" s="9">
        <v>3.5000000000000001E-3</v>
      </c>
      <c r="Z40" s="9">
        <v>1.6000000000000001E-3</v>
      </c>
      <c r="AA40" s="9"/>
      <c r="AB40" s="9"/>
      <c r="AC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>
        <v>2.3E-3</v>
      </c>
      <c r="T41" s="9">
        <v>2.2000000000000001E-3</v>
      </c>
      <c r="U41" s="9">
        <v>4.4000000000000003E-3</v>
      </c>
      <c r="V41" s="9">
        <v>2.3E-3</v>
      </c>
      <c r="W41" s="9">
        <v>1.6000000000000001E-3</v>
      </c>
      <c r="X41" s="9">
        <v>8.9999999999999998E-4</v>
      </c>
      <c r="Y41" s="9">
        <v>3.0999999999999999E-3</v>
      </c>
      <c r="Z41" s="9">
        <v>1.5E-3</v>
      </c>
      <c r="AA41" s="9"/>
      <c r="AB41" s="9"/>
      <c r="AC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>
        <v>1.6999999999999999E-3</v>
      </c>
      <c r="T42" s="9">
        <v>3.0000000000000001E-3</v>
      </c>
      <c r="U42" s="9">
        <v>3.5999999999999999E-3</v>
      </c>
      <c r="V42" s="9">
        <v>1.8E-3</v>
      </c>
      <c r="W42" s="9">
        <v>8.9999999999999998E-4</v>
      </c>
      <c r="X42" s="9">
        <v>5.9999999999999995E-4</v>
      </c>
      <c r="Y42" s="9">
        <v>1.6999999999999999E-3</v>
      </c>
      <c r="Z42" s="9">
        <v>1E-3</v>
      </c>
      <c r="AA42" s="9">
        <v>0</v>
      </c>
      <c r="AB42" s="9">
        <v>0</v>
      </c>
      <c r="AC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>
        <v>1.9E-3</v>
      </c>
      <c r="T43" s="9">
        <v>4.3E-3</v>
      </c>
      <c r="U43" s="9">
        <v>4.1999999999999997E-3</v>
      </c>
      <c r="V43" s="9">
        <v>4.4000000000000003E-3</v>
      </c>
      <c r="W43" s="9">
        <v>1.1000000000000001E-3</v>
      </c>
      <c r="X43" s="9">
        <v>5.0000000000000001E-4</v>
      </c>
      <c r="Y43" s="9">
        <v>2.0999999999999999E-3</v>
      </c>
      <c r="Z43" s="9">
        <v>1.1999999999999999E-3</v>
      </c>
      <c r="AA43" s="9">
        <v>8.9999999999999998E-4</v>
      </c>
      <c r="AB43" s="9">
        <v>8.0000000000000004E-4</v>
      </c>
      <c r="AC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>
        <v>1.9E-3</v>
      </c>
      <c r="T44" s="9">
        <v>3.0999999999999999E-3</v>
      </c>
      <c r="U44" s="9">
        <v>3.2000000000000002E-3</v>
      </c>
      <c r="V44" s="9">
        <v>2.3E-3</v>
      </c>
      <c r="W44" s="9">
        <v>1.1000000000000001E-3</v>
      </c>
      <c r="X44" s="9">
        <v>5.0000000000000001E-4</v>
      </c>
      <c r="Y44" s="9">
        <v>2.8E-3</v>
      </c>
      <c r="Z44" s="9">
        <v>1.2999999999999999E-3</v>
      </c>
      <c r="AA44" s="9">
        <v>1.1999999999999999E-3</v>
      </c>
      <c r="AB44" s="9">
        <v>6.9999999999999999E-4</v>
      </c>
      <c r="AC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>
        <v>2.5000000000000001E-3</v>
      </c>
      <c r="T45" s="9">
        <v>3.0999999999999999E-3</v>
      </c>
      <c r="U45" s="9">
        <v>4.5999999999999999E-3</v>
      </c>
      <c r="V45" s="9">
        <v>2.8E-3</v>
      </c>
      <c r="W45" s="9">
        <v>1.6999999999999999E-3</v>
      </c>
      <c r="X45" s="9">
        <v>1E-3</v>
      </c>
      <c r="Y45" s="9">
        <v>3.5999999999999999E-3</v>
      </c>
      <c r="Z45" s="9">
        <v>1.6000000000000001E-3</v>
      </c>
      <c r="AA45" s="9">
        <v>2.3E-3</v>
      </c>
      <c r="AB45" s="9">
        <v>1.1999999999999999E-3</v>
      </c>
      <c r="AC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>
        <v>2.5000000000000001E-3</v>
      </c>
      <c r="T46" s="9">
        <v>2.5999999999999999E-3</v>
      </c>
      <c r="U46" s="9">
        <v>3.3999999999999998E-3</v>
      </c>
      <c r="V46" s="9">
        <v>2.5000000000000001E-3</v>
      </c>
      <c r="W46" s="9">
        <v>2E-3</v>
      </c>
      <c r="X46" s="9">
        <v>1E-3</v>
      </c>
      <c r="Y46" s="9">
        <v>3.5000000000000001E-3</v>
      </c>
      <c r="Z46" s="9">
        <v>1.6999999999999999E-3</v>
      </c>
      <c r="AA46" s="9">
        <v>1.6999999999999999E-3</v>
      </c>
      <c r="AB46" s="9">
        <v>1.6000000000000001E-3</v>
      </c>
      <c r="AC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>
        <v>3.0000000000000001E-3</v>
      </c>
      <c r="T47" s="9">
        <v>2.3E-3</v>
      </c>
      <c r="U47" s="9">
        <v>3.0999999999999999E-3</v>
      </c>
      <c r="V47" s="9">
        <v>2.8E-3</v>
      </c>
      <c r="W47" s="9">
        <v>1.9E-3</v>
      </c>
      <c r="X47" s="9">
        <v>8.9999999999999998E-4</v>
      </c>
      <c r="Y47" s="9">
        <v>3.5000000000000001E-3</v>
      </c>
      <c r="Z47" s="9">
        <v>1.5E-3</v>
      </c>
      <c r="AA47" s="9">
        <v>1.1000000000000001E-3</v>
      </c>
      <c r="AB47" s="9">
        <v>1.1999999999999999E-3</v>
      </c>
      <c r="AC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>
        <v>3.3999999999999998E-3</v>
      </c>
      <c r="T48" s="9">
        <v>2.5000000000000001E-3</v>
      </c>
      <c r="U48" s="9">
        <v>3.0999999999999999E-3</v>
      </c>
      <c r="V48" s="9">
        <v>3.2000000000000002E-3</v>
      </c>
      <c r="W48" s="9">
        <v>1.5E-3</v>
      </c>
      <c r="X48" s="9">
        <v>8.0000000000000004E-4</v>
      </c>
      <c r="Y48" s="9">
        <v>3.8999999999999998E-3</v>
      </c>
      <c r="Z48" s="9">
        <v>3.5999999999999999E-3</v>
      </c>
      <c r="AA48" s="9">
        <v>1.1000000000000001E-3</v>
      </c>
      <c r="AB48" s="9">
        <v>1E-3</v>
      </c>
      <c r="AC48" s="9">
        <v>8.9999999999999998E-4</v>
      </c>
    </row>
    <row r="49" spans="2:29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>
        <v>5.3E-3</v>
      </c>
      <c r="P49" s="9">
        <v>2.5000000000000001E-3</v>
      </c>
      <c r="Q49" s="9">
        <v>3.8E-3</v>
      </c>
      <c r="R49" s="9">
        <v>3.0000000000000001E-3</v>
      </c>
      <c r="S49" s="9">
        <v>3.5999999999999999E-3</v>
      </c>
      <c r="T49" s="9">
        <v>2.5000000000000001E-3</v>
      </c>
      <c r="U49" s="9">
        <v>3.5000000000000001E-3</v>
      </c>
      <c r="V49" s="9">
        <v>3.0999999999999999E-3</v>
      </c>
      <c r="W49" s="9">
        <v>2E-3</v>
      </c>
      <c r="X49" s="9">
        <v>1.1000000000000001E-3</v>
      </c>
      <c r="Y49" s="9">
        <v>3.7000000000000002E-3</v>
      </c>
      <c r="Z49" s="9">
        <v>1.8E-3</v>
      </c>
      <c r="AA49" s="9">
        <v>1.6999999999999999E-3</v>
      </c>
      <c r="AB49" s="9">
        <v>8.9999999999999998E-4</v>
      </c>
      <c r="AC49" s="9">
        <v>1E-3</v>
      </c>
    </row>
    <row r="50" spans="2:29" ht="15" thickBot="1" x14ac:dyDescent="0.35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>
        <v>3.8999999999999998E-3</v>
      </c>
      <c r="P50" s="9">
        <v>2.5000000000000001E-3</v>
      </c>
      <c r="Q50" s="9">
        <v>-1</v>
      </c>
      <c r="R50" s="9">
        <v>2.8E-3</v>
      </c>
      <c r="S50" s="9">
        <v>3.5999999999999999E-3</v>
      </c>
      <c r="T50" s="9">
        <v>2.0999999999999999E-3</v>
      </c>
      <c r="U50" s="9">
        <v>3.2000000000000002E-3</v>
      </c>
      <c r="V50" s="9">
        <v>3.2000000000000002E-3</v>
      </c>
      <c r="W50" s="9">
        <v>2.3999999999999998E-3</v>
      </c>
      <c r="X50" s="9">
        <v>1.1999999999999999E-3</v>
      </c>
      <c r="Y50" s="9">
        <v>4.7999999999999996E-3</v>
      </c>
      <c r="Z50" s="9">
        <v>1.6999999999999999E-3</v>
      </c>
      <c r="AA50" s="9">
        <v>1.6999999999999999E-3</v>
      </c>
      <c r="AB50" s="9">
        <v>1.1000000000000001E-3</v>
      </c>
      <c r="AC50" s="9">
        <v>1.1000000000000001E-3</v>
      </c>
    </row>
    <row r="51" spans="2:29" ht="15" thickBot="1" x14ac:dyDescent="0.35">
      <c r="B51" s="22" t="s">
        <v>82</v>
      </c>
      <c r="C51" s="22"/>
      <c r="D51" s="24">
        <f t="shared" ref="D51:AC51" si="23">AVERAGE(D37:D50)</f>
        <v>2.5500000000000002E-3</v>
      </c>
      <c r="E51" s="24">
        <f t="shared" si="23"/>
        <v>4.8428571428571427E-3</v>
      </c>
      <c r="F51" s="24">
        <f t="shared" si="23"/>
        <v>2.3571428571428567E-3</v>
      </c>
      <c r="G51" s="24">
        <f t="shared" si="23"/>
        <v>6.9857142857142869E-3</v>
      </c>
      <c r="H51" s="24">
        <f t="shared" si="23"/>
        <v>4.6500000000000005E-3</v>
      </c>
      <c r="I51" s="24">
        <f t="shared" si="23"/>
        <v>5.0999999999999995E-3</v>
      </c>
      <c r="J51" s="24">
        <f t="shared" si="23"/>
        <v>3.1428571428571426E-3</v>
      </c>
      <c r="K51" s="24">
        <f t="shared" si="23"/>
        <v>3.8928571428571423E-3</v>
      </c>
      <c r="L51" s="24">
        <f t="shared" si="23"/>
        <v>2.3071428571428574E-3</v>
      </c>
      <c r="M51" s="24">
        <f t="shared" si="23"/>
        <v>2.8499999999999997E-3</v>
      </c>
      <c r="N51" s="24">
        <f t="shared" si="23"/>
        <v>2.8785714285714287E-3</v>
      </c>
      <c r="O51" s="24">
        <f t="shared" si="23"/>
        <v>5.8642857142857151E-3</v>
      </c>
      <c r="P51" s="24">
        <f t="shared" si="23"/>
        <v>2.6642857142857141E-3</v>
      </c>
      <c r="Q51" s="24">
        <f t="shared" si="23"/>
        <v>-6.7871428571428569E-2</v>
      </c>
      <c r="R51" s="24">
        <f t="shared" si="23"/>
        <v>1.9857142857142855E-3</v>
      </c>
      <c r="S51" s="24">
        <f t="shared" si="23"/>
        <v>2.6071428571428569E-3</v>
      </c>
      <c r="T51" s="24">
        <f t="shared" si="23"/>
        <v>3.3928571428571423E-3</v>
      </c>
      <c r="U51" s="24">
        <f t="shared" si="23"/>
        <v>3.8142857142857141E-3</v>
      </c>
      <c r="V51" s="24">
        <f t="shared" si="23"/>
        <v>2.7428571428571428E-3</v>
      </c>
      <c r="W51" s="24">
        <f t="shared" si="23"/>
        <v>1.6071428571428571E-3</v>
      </c>
      <c r="X51" s="24">
        <f t="shared" si="23"/>
        <v>8.9285714285714294E-4</v>
      </c>
      <c r="Y51" s="24">
        <f t="shared" si="23"/>
        <v>3.2000000000000002E-3</v>
      </c>
      <c r="Z51" s="24">
        <f t="shared" si="23"/>
        <v>1.6714285714285715E-3</v>
      </c>
      <c r="AA51" s="24">
        <f t="shared" si="23"/>
        <v>1.2999999999999999E-3</v>
      </c>
      <c r="AB51" s="24">
        <f t="shared" si="23"/>
        <v>9.4444444444444437E-4</v>
      </c>
      <c r="AC51" s="24">
        <f t="shared" si="23"/>
        <v>9.8571428571428573E-4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T50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8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45753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45759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117</v>
      </c>
      <c r="C6" s="7">
        <v>7</v>
      </c>
      <c r="D6" s="7">
        <v>7</v>
      </c>
      <c r="E6" s="7">
        <v>1197</v>
      </c>
      <c r="F6" s="7">
        <v>1053</v>
      </c>
      <c r="G6" s="7">
        <v>2</v>
      </c>
      <c r="H6" s="9">
        <f t="shared" ref="H6:H12" si="0">IFERROR(G6/F6,0)</f>
        <v>1.8993352326685661E-3</v>
      </c>
      <c r="I6" s="9">
        <f>IFERROR((1197-F6)/1197,0)</f>
        <v>0.12030075187969924</v>
      </c>
      <c r="J6" s="7">
        <v>4500</v>
      </c>
      <c r="K6" s="11">
        <f t="shared" ref="K6:K12" si="1">IFERROR(J6/D6/F6*100,0)</f>
        <v>61.050061050061053</v>
      </c>
      <c r="L6" s="11">
        <f>K6-60.5281</f>
        <v>0.52196105006105142</v>
      </c>
      <c r="M6" s="11">
        <v>71</v>
      </c>
      <c r="N6" s="11">
        <f t="shared" ref="N6:N12" si="2">K6-M6</f>
        <v>-9.9499389499389466</v>
      </c>
      <c r="O6" s="11">
        <f>IFERROR(114860/1197,0)</f>
        <v>95.956558061821227</v>
      </c>
      <c r="P6" s="11">
        <v>0</v>
      </c>
      <c r="Q6" s="11">
        <f t="shared" ref="Q6:Q11" si="3">IFERROR(O6-P6,0)</f>
        <v>95.956558061821227</v>
      </c>
      <c r="R6" s="7">
        <v>919</v>
      </c>
      <c r="S6" s="11">
        <f t="shared" ref="S6:S11" si="4">IFERROR(R6/D6/F6*1000,0)</f>
        <v>124.677791344458</v>
      </c>
      <c r="T6" s="13">
        <f t="shared" ref="T6:T12" si="5">IFERROR(J6/R6,0)</f>
        <v>4.8966267682263327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204.22222222222217</v>
      </c>
      <c r="Z6" s="11">
        <f t="shared" ref="Z6:Z12" si="9">IFERROR(Y6*X6/1000,0)</f>
        <v>60.629493333333315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29</v>
      </c>
      <c r="AG6" s="7">
        <f t="shared" ref="AG6:AG11" si="10">IF(M6=0,0,IFERROR(N6/100*7*F6,0))</f>
        <v>-733.40999999999985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77</v>
      </c>
      <c r="C7" s="7">
        <v>7</v>
      </c>
      <c r="D7" s="7">
        <v>7</v>
      </c>
      <c r="E7" s="7">
        <v>14440</v>
      </c>
      <c r="F7" s="7">
        <v>11481</v>
      </c>
      <c r="G7" s="7">
        <v>58</v>
      </c>
      <c r="H7" s="9">
        <f t="shared" si="0"/>
        <v>5.0518247539412947E-3</v>
      </c>
      <c r="I7" s="9">
        <f>IFERROR((14440-F7)/14440,0)</f>
        <v>0.20491689750692521</v>
      </c>
      <c r="J7" s="7">
        <v>53040</v>
      </c>
      <c r="K7" s="11">
        <f t="shared" si="1"/>
        <v>65.997237672178883</v>
      </c>
      <c r="L7" s="11">
        <f>K7-59.7601</f>
        <v>6.237137672178882</v>
      </c>
      <c r="M7" s="11">
        <v>71</v>
      </c>
      <c r="N7" s="11">
        <f t="shared" si="2"/>
        <v>-5.0027623278211166</v>
      </c>
      <c r="O7" s="11">
        <f>IFERROR(4239010/14440,0)</f>
        <v>293.56024930747924</v>
      </c>
      <c r="P7" s="11">
        <v>0</v>
      </c>
      <c r="Q7" s="11">
        <f t="shared" si="3"/>
        <v>293.56024930747924</v>
      </c>
      <c r="R7" s="7">
        <v>10330</v>
      </c>
      <c r="S7" s="11">
        <f t="shared" si="4"/>
        <v>128.5353441089004</v>
      </c>
      <c r="T7" s="13">
        <f t="shared" si="5"/>
        <v>5.1345595353339784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194.75867269984911</v>
      </c>
      <c r="Z7" s="11">
        <f t="shared" si="9"/>
        <v>72.674198717948684</v>
      </c>
      <c r="AA7" s="7">
        <v>0</v>
      </c>
      <c r="AB7" s="15">
        <f>IFERROR(AA7/1970,0)</f>
        <v>0</v>
      </c>
      <c r="AC7" s="11">
        <v>0</v>
      </c>
      <c r="AD7" s="15">
        <f>IFERROR(AC7/64.6,0)</f>
        <v>0</v>
      </c>
      <c r="AE7" s="11">
        <v>0</v>
      </c>
      <c r="AF7" s="11">
        <v>29</v>
      </c>
      <c r="AG7" s="7">
        <f t="shared" si="10"/>
        <v>-4020.5699999999965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77</v>
      </c>
      <c r="C8" s="7">
        <v>7</v>
      </c>
      <c r="D8" s="7">
        <v>7</v>
      </c>
      <c r="E8" s="7">
        <v>16063</v>
      </c>
      <c r="F8" s="7">
        <v>13381</v>
      </c>
      <c r="G8" s="7">
        <v>38</v>
      </c>
      <c r="H8" s="9">
        <f t="shared" si="0"/>
        <v>2.8398475450265304E-3</v>
      </c>
      <c r="I8" s="9">
        <f>IFERROR((16063-F8)/16063,0)</f>
        <v>0.16696756521197784</v>
      </c>
      <c r="J8" s="7">
        <v>55170</v>
      </c>
      <c r="K8" s="11">
        <f t="shared" si="1"/>
        <v>58.900146262824691</v>
      </c>
      <c r="L8" s="11">
        <f>K8-54.1024</f>
        <v>4.7977462628246883</v>
      </c>
      <c r="M8" s="11">
        <v>57</v>
      </c>
      <c r="N8" s="11">
        <f t="shared" si="2"/>
        <v>1.9001462628246912</v>
      </c>
      <c r="O8" s="11">
        <f>IFERROR(4397850/16063,0)</f>
        <v>273.7875863786341</v>
      </c>
      <c r="P8" s="11">
        <v>0</v>
      </c>
      <c r="Q8" s="11">
        <f t="shared" si="3"/>
        <v>273.7875863786341</v>
      </c>
      <c r="R8" s="7">
        <v>10770</v>
      </c>
      <c r="S8" s="11">
        <f t="shared" si="4"/>
        <v>114.9817972178035</v>
      </c>
      <c r="T8" s="13">
        <f t="shared" si="5"/>
        <v>5.1225626740947074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195.21479064709081</v>
      </c>
      <c r="Z8" s="11">
        <f t="shared" si="9"/>
        <v>72.229472539423597</v>
      </c>
      <c r="AA8" s="7">
        <v>0</v>
      </c>
      <c r="AB8" s="15">
        <f>IFERROR(AA8/1580,0)</f>
        <v>0</v>
      </c>
      <c r="AC8" s="11">
        <v>0</v>
      </c>
      <c r="AD8" s="15">
        <f>IFERROR(AC8/63.5,0)</f>
        <v>0</v>
      </c>
      <c r="AE8" s="11">
        <v>0</v>
      </c>
      <c r="AF8" s="11">
        <v>29</v>
      </c>
      <c r="AG8" s="7">
        <f t="shared" si="10"/>
        <v>1779.8100000000034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38</v>
      </c>
      <c r="C9" s="7"/>
      <c r="D9" s="7">
        <v>7</v>
      </c>
      <c r="E9" s="7">
        <v>4686</v>
      </c>
      <c r="F9" s="7">
        <v>4238</v>
      </c>
      <c r="G9" s="7">
        <v>10</v>
      </c>
      <c r="H9" s="9">
        <f t="shared" si="0"/>
        <v>2.3596035865974517E-3</v>
      </c>
      <c r="I9" s="9">
        <f>IFERROR((4686-F9)/4686,0)</f>
        <v>9.5603926589842084E-2</v>
      </c>
      <c r="J9" s="7">
        <v>30030</v>
      </c>
      <c r="K9" s="11">
        <f t="shared" si="1"/>
        <v>101.22699386503066</v>
      </c>
      <c r="L9" s="11">
        <f>K9-100.686</f>
        <v>0.54099386503065716</v>
      </c>
      <c r="M9" s="11">
        <v>93.5</v>
      </c>
      <c r="N9" s="11">
        <f t="shared" si="2"/>
        <v>7.7269938650306642</v>
      </c>
      <c r="O9" s="11">
        <f>IFERROR(522330/4686,0)</f>
        <v>111.46606914212548</v>
      </c>
      <c r="P9" s="11">
        <v>124</v>
      </c>
      <c r="Q9" s="11">
        <f t="shared" si="3"/>
        <v>-12.533930857874523</v>
      </c>
      <c r="R9" s="7">
        <v>4726</v>
      </c>
      <c r="S9" s="11">
        <f t="shared" si="4"/>
        <v>159.30695071799366</v>
      </c>
      <c r="T9" s="13">
        <f t="shared" si="5"/>
        <v>6.3542107490478204</v>
      </c>
      <c r="U9" s="7">
        <v>5040</v>
      </c>
      <c r="V9" s="11">
        <f t="shared" si="6"/>
        <v>169.89145823501653</v>
      </c>
      <c r="W9" s="11">
        <f t="shared" si="7"/>
        <v>1.0664409648751587</v>
      </c>
      <c r="X9" s="11">
        <v>362.76</v>
      </c>
      <c r="Y9" s="11">
        <f t="shared" si="8"/>
        <v>157.3759573759574</v>
      </c>
      <c r="Z9" s="11">
        <f t="shared" si="9"/>
        <v>57.089702297702303</v>
      </c>
      <c r="AA9" s="7">
        <v>0</v>
      </c>
      <c r="AB9" s="15">
        <f>IFERROR(AA9/1920,0)</f>
        <v>0</v>
      </c>
      <c r="AC9" s="11">
        <v>0</v>
      </c>
      <c r="AD9" s="15">
        <f>IFERROR(AC9/62.1,0)</f>
        <v>0</v>
      </c>
      <c r="AE9" s="11">
        <v>15</v>
      </c>
      <c r="AF9" s="11">
        <v>27</v>
      </c>
      <c r="AG9" s="7">
        <f t="shared" si="10"/>
        <v>2292.2899999999968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77</v>
      </c>
      <c r="C10" s="7">
        <v>8</v>
      </c>
      <c r="D10" s="7">
        <v>7</v>
      </c>
      <c r="E10" s="7">
        <v>5000</v>
      </c>
      <c r="F10" s="7">
        <v>4188</v>
      </c>
      <c r="G10" s="7">
        <v>13</v>
      </c>
      <c r="H10" s="9">
        <f t="shared" si="0"/>
        <v>3.1041069723018147E-3</v>
      </c>
      <c r="I10" s="9">
        <f>IFERROR((5000-F10)/5000,0)</f>
        <v>0.16239999999999999</v>
      </c>
      <c r="J10" s="7">
        <v>27780</v>
      </c>
      <c r="K10" s="11">
        <f t="shared" si="1"/>
        <v>94.760540319279571</v>
      </c>
      <c r="L10" s="11">
        <f>K10-91.3048</f>
        <v>3.4557403192795704</v>
      </c>
      <c r="M10" s="11">
        <v>81</v>
      </c>
      <c r="N10" s="11">
        <f t="shared" si="2"/>
        <v>13.760540319279571</v>
      </c>
      <c r="O10" s="11">
        <f>IFERROR(1526630/5000,0)</f>
        <v>305.32600000000002</v>
      </c>
      <c r="P10" s="11">
        <v>0</v>
      </c>
      <c r="Q10" s="11">
        <f t="shared" si="3"/>
        <v>305.32600000000002</v>
      </c>
      <c r="R10" s="7">
        <v>4895</v>
      </c>
      <c r="S10" s="11">
        <f t="shared" si="4"/>
        <v>166.97366625733389</v>
      </c>
      <c r="T10" s="13">
        <f t="shared" si="5"/>
        <v>5.6751787538304388</v>
      </c>
      <c r="U10" s="7">
        <v>5040</v>
      </c>
      <c r="V10" s="11">
        <f t="shared" si="6"/>
        <v>171.91977077363896</v>
      </c>
      <c r="W10" s="11">
        <f t="shared" si="7"/>
        <v>1.0296220633299284</v>
      </c>
      <c r="X10" s="11">
        <v>374.81</v>
      </c>
      <c r="Y10" s="11">
        <f t="shared" si="8"/>
        <v>176.20590352771779</v>
      </c>
      <c r="Z10" s="11">
        <f t="shared" si="9"/>
        <v>66.043734701223897</v>
      </c>
      <c r="AA10" s="7">
        <v>0</v>
      </c>
      <c r="AB10" s="15">
        <f>IFERROR(AA10/1970,0)</f>
        <v>0</v>
      </c>
      <c r="AC10" s="11">
        <v>0</v>
      </c>
      <c r="AD10" s="15">
        <f>IFERROR(AC10/64.6,0)</f>
        <v>0</v>
      </c>
      <c r="AE10" s="11">
        <v>14</v>
      </c>
      <c r="AF10" s="11">
        <v>26</v>
      </c>
      <c r="AG10" s="7">
        <f t="shared" si="10"/>
        <v>4034.0399999999991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38</v>
      </c>
      <c r="C11" s="7"/>
      <c r="D11" s="7">
        <v>7</v>
      </c>
      <c r="E11" s="7">
        <v>4819</v>
      </c>
      <c r="F11" s="7">
        <v>4619</v>
      </c>
      <c r="G11" s="7">
        <v>7</v>
      </c>
      <c r="H11" s="9">
        <f t="shared" si="0"/>
        <v>1.5154795410261962E-3</v>
      </c>
      <c r="I11" s="9">
        <f>IFERROR((4819-F11)/4819,0)</f>
        <v>4.1502386387217267E-2</v>
      </c>
      <c r="J11" s="7">
        <v>30320</v>
      </c>
      <c r="K11" s="11">
        <f t="shared" si="1"/>
        <v>93.774162620233199</v>
      </c>
      <c r="L11" s="11">
        <f>K11-96.9057</f>
        <v>-3.1315373797667974</v>
      </c>
      <c r="M11" s="11">
        <v>93.5</v>
      </c>
      <c r="N11" s="11">
        <f t="shared" si="2"/>
        <v>0.2741626202331986</v>
      </c>
      <c r="O11" s="11">
        <f>IFERROR(554486/4819,0)</f>
        <v>115.06246109151276</v>
      </c>
      <c r="P11" s="11">
        <v>124</v>
      </c>
      <c r="Q11" s="11">
        <f t="shared" si="3"/>
        <v>-8.937538908487241</v>
      </c>
      <c r="R11" s="7">
        <v>4973</v>
      </c>
      <c r="S11" s="11">
        <f t="shared" si="4"/>
        <v>153.80570933720966</v>
      </c>
      <c r="T11" s="13">
        <f t="shared" si="5"/>
        <v>6.096923386285944</v>
      </c>
      <c r="U11" s="7">
        <v>4320</v>
      </c>
      <c r="V11" s="11">
        <f t="shared" si="6"/>
        <v>133.6096248414932</v>
      </c>
      <c r="W11" s="11">
        <f t="shared" si="7"/>
        <v>0.86869093102754869</v>
      </c>
      <c r="X11" s="11">
        <v>362.76</v>
      </c>
      <c r="Y11" s="11">
        <f t="shared" si="8"/>
        <v>164.01715039577837</v>
      </c>
      <c r="Z11" s="11">
        <f t="shared" si="9"/>
        <v>59.498861477572561</v>
      </c>
      <c r="AA11" s="7">
        <v>0</v>
      </c>
      <c r="AB11" s="15">
        <f>IFERROR(AA11/1920,0)</f>
        <v>0</v>
      </c>
      <c r="AC11" s="11">
        <v>0</v>
      </c>
      <c r="AD11" s="15">
        <f>IFERROR(AC11/62.1,0)</f>
        <v>0</v>
      </c>
      <c r="AE11" s="11">
        <v>14</v>
      </c>
      <c r="AF11" s="11">
        <v>29</v>
      </c>
      <c r="AG11" s="7">
        <f t="shared" si="10"/>
        <v>88.645000000000095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38960</v>
      </c>
      <c r="G12" s="17">
        <f>SUM(G6:G11)</f>
        <v>128</v>
      </c>
      <c r="H12" s="18">
        <f t="shared" si="0"/>
        <v>3.2854209445585215E-3</v>
      </c>
      <c r="I12" s="18"/>
      <c r="J12" s="17">
        <f>SUM(J6:J11)</f>
        <v>200840</v>
      </c>
      <c r="K12" s="19">
        <f t="shared" si="1"/>
        <v>73.643297154590798</v>
      </c>
      <c r="L12" s="19"/>
      <c r="M12" s="19">
        <f>IFERROR(SUMPRODUCT($F6:$F11,M6:M11)/$F12, 0)</f>
        <v>72.381635010266947</v>
      </c>
      <c r="N12" s="19">
        <f t="shared" si="2"/>
        <v>1.26166214432385</v>
      </c>
      <c r="O12" s="19">
        <f>IFERROR(SUMPRODUCT($E6:$E11,O6:O11)/$E12, 0)</f>
        <v>245.75621685964722</v>
      </c>
      <c r="P12" s="19">
        <f>IFERROR(SUMPRODUCT($E6:$E11,P6:P11)/$E12, 0)</f>
        <v>25.508494751650254</v>
      </c>
      <c r="Q12" s="19">
        <f>IFERROR(SUMPRODUCT($E6:$E11,Q6:Q11)/$E12, 0)</f>
        <v>220.24772210799696</v>
      </c>
      <c r="R12" s="17">
        <f>SUM(R6:R11)</f>
        <v>36613</v>
      </c>
      <c r="S12" s="19">
        <f>IFERROR(R12/D12/$F12*1000,0)</f>
        <v>134.251246699912</v>
      </c>
      <c r="T12" s="20">
        <f t="shared" si="5"/>
        <v>5.4854832982820314</v>
      </c>
      <c r="U12" s="17">
        <f>SUM(U6:U11)</f>
        <v>14400</v>
      </c>
      <c r="V12" s="19">
        <f>IFERROR(U12/D12/$F12*1000,0)</f>
        <v>52.801408037547674</v>
      </c>
      <c r="W12" s="19">
        <f t="shared" si="7"/>
        <v>0.39330292519050614</v>
      </c>
      <c r="X12" s="19">
        <f>IFERROR(SUMPRODUCT(R6:R11,X6:X11)/R12,0)</f>
        <v>367.77855980116351</v>
      </c>
      <c r="Y12" s="19">
        <f>IFERROR(($F12*S12)/($F12*K12)*100,0)</f>
        <v>182.29934276040629</v>
      </c>
      <c r="Z12" s="19">
        <f t="shared" si="9"/>
        <v>67.045789733120898</v>
      </c>
      <c r="AA12" s="17"/>
      <c r="AB12" s="21">
        <f>IFERROR(SUMPRODUCT($F6:$F11,AB6:AB11)/$F12,0)</f>
        <v>0</v>
      </c>
      <c r="AC12" s="19"/>
      <c r="AD12" s="21">
        <f>AVERAGE(AD6:AD11)</f>
        <v>0</v>
      </c>
      <c r="AE12" s="19"/>
      <c r="AF12" s="19"/>
      <c r="AG12" s="17">
        <f>SUM(AG6:AG11)</f>
        <v>3440.805000000003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77</v>
      </c>
      <c r="C14" s="6">
        <v>14</v>
      </c>
      <c r="D14" s="6">
        <v>7</v>
      </c>
      <c r="E14" s="6">
        <v>21388</v>
      </c>
      <c r="F14" s="6">
        <v>16786</v>
      </c>
      <c r="G14" s="6">
        <v>30</v>
      </c>
      <c r="H14" s="8">
        <f t="shared" ref="H14:H29" si="12">IFERROR(G14/F14,0)</f>
        <v>1.7872036220660074E-3</v>
      </c>
      <c r="I14" s="8">
        <f>IFERROR((21388-F14)/21388,0)</f>
        <v>0.21516738357957732</v>
      </c>
      <c r="J14" s="6">
        <v>92670</v>
      </c>
      <c r="K14" s="10">
        <f t="shared" ref="K14:K29" si="13">IFERROR(J14/D14/F14*100,0)</f>
        <v>78.866742693741386</v>
      </c>
      <c r="L14" s="10">
        <f>K14-78.828</f>
        <v>3.8742693741383505E-2</v>
      </c>
      <c r="M14" s="10">
        <v>85</v>
      </c>
      <c r="N14" s="10">
        <f t="shared" ref="N14:N29" si="14">K14-M14</f>
        <v>-6.1332573062586135</v>
      </c>
      <c r="O14" s="10">
        <f>IFERROR(4893930/21388,0)</f>
        <v>228.81662614550214</v>
      </c>
      <c r="P14" s="10">
        <v>0</v>
      </c>
      <c r="Q14" s="10">
        <f t="shared" ref="Q14:Q28" si="15">IFERROR(O14-P14,0)</f>
        <v>228.81662614550214</v>
      </c>
      <c r="R14" s="6">
        <v>13478</v>
      </c>
      <c r="S14" s="10">
        <f t="shared" ref="S14:S28" si="16">IFERROR(R14/D14/F14*1000,0)</f>
        <v>114.70443056288403</v>
      </c>
      <c r="T14" s="12">
        <f t="shared" ref="T14:T29" si="17">IFERROR(J14/R14,0)</f>
        <v>6.8756492061136667</v>
      </c>
      <c r="U14" s="6">
        <v>21120</v>
      </c>
      <c r="V14" s="10">
        <f t="shared" ref="V14:V28" si="18">IFERROR(U14/D14/F14*1000,0)</f>
        <v>179.74162141920991</v>
      </c>
      <c r="W14" s="10">
        <f t="shared" ref="W14:W29" si="19">IFERROR(V14/S14,0)</f>
        <v>1.5669980709304054</v>
      </c>
      <c r="X14" s="10">
        <v>254.7</v>
      </c>
      <c r="Y14" s="10">
        <f t="shared" ref="Y14:Y28" si="20">IFERROR((F14*S14)/(F14*K14)*100,0)</f>
        <v>145.44081148160137</v>
      </c>
      <c r="Z14" s="10">
        <f t="shared" ref="Z14:Z29" si="21">IFERROR(Y14*X14/1000,0)</f>
        <v>37.043774684363868</v>
      </c>
      <c r="AA14" s="6">
        <v>0</v>
      </c>
      <c r="AB14" s="14">
        <f>IFERROR(AA14/1580,0)</f>
        <v>0</v>
      </c>
      <c r="AC14" s="10">
        <v>0</v>
      </c>
      <c r="AD14" s="14">
        <f>IFERROR(AC14/63.5,0)</f>
        <v>0</v>
      </c>
      <c r="AE14" s="10">
        <v>22</v>
      </c>
      <c r="AF14" s="10">
        <v>25</v>
      </c>
      <c r="AG14" s="6">
        <f t="shared" ref="AG14:AG28" si="22">IF(M14=0,0,IFERROR(N14/100*7*F14,0))</f>
        <v>-7206.6999999999962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37</v>
      </c>
      <c r="C15" s="7"/>
      <c r="D15" s="7">
        <v>7</v>
      </c>
      <c r="E15" s="7">
        <v>10225</v>
      </c>
      <c r="F15" s="7">
        <v>9181</v>
      </c>
      <c r="G15" s="7">
        <v>49</v>
      </c>
      <c r="H15" s="9">
        <f t="shared" si="12"/>
        <v>5.3371092473586757E-3</v>
      </c>
      <c r="I15" s="9">
        <f>IFERROR((10225-F15)/10225,0)</f>
        <v>0.10210268948655257</v>
      </c>
      <c r="J15" s="7">
        <v>56430</v>
      </c>
      <c r="K15" s="11">
        <f t="shared" si="13"/>
        <v>87.80556117447523</v>
      </c>
      <c r="L15" s="11">
        <f>K15-86.9215</f>
        <v>0.88406117447523513</v>
      </c>
      <c r="M15" s="11">
        <v>93.5</v>
      </c>
      <c r="N15" s="11">
        <f t="shared" si="14"/>
        <v>-5.6944388255247702</v>
      </c>
      <c r="O15" s="11">
        <f>IFERROR(1014950/10225,0)</f>
        <v>99.261613691931544</v>
      </c>
      <c r="P15" s="11">
        <v>117</v>
      </c>
      <c r="Q15" s="11">
        <f t="shared" si="15"/>
        <v>-17.738386308068456</v>
      </c>
      <c r="R15" s="7">
        <v>9360</v>
      </c>
      <c r="S15" s="11">
        <f t="shared" si="16"/>
        <v>145.64239812034168</v>
      </c>
      <c r="T15" s="13">
        <f t="shared" si="17"/>
        <v>6.0288461538461542</v>
      </c>
      <c r="U15" s="7">
        <v>12640</v>
      </c>
      <c r="V15" s="11">
        <f t="shared" si="18"/>
        <v>196.67947780353836</v>
      </c>
      <c r="W15" s="11">
        <f t="shared" si="19"/>
        <v>1.3504273504273505</v>
      </c>
      <c r="X15" s="11">
        <v>264.01285714289997</v>
      </c>
      <c r="Y15" s="11">
        <f t="shared" si="20"/>
        <v>165.86921850079744</v>
      </c>
      <c r="Z15" s="11">
        <f t="shared" si="21"/>
        <v>43.791606288455498</v>
      </c>
      <c r="AA15" s="7">
        <v>0</v>
      </c>
      <c r="AB15" s="15">
        <f>IFERROR(AA15/1920,0)</f>
        <v>0</v>
      </c>
      <c r="AC15" s="11">
        <v>0</v>
      </c>
      <c r="AD15" s="15">
        <f>IFERROR(AC15/62,0)</f>
        <v>0</v>
      </c>
      <c r="AE15" s="11">
        <v>23</v>
      </c>
      <c r="AF15" s="11">
        <v>30</v>
      </c>
      <c r="AG15" s="7">
        <f t="shared" si="22"/>
        <v>-3659.6450000000041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66</v>
      </c>
      <c r="C16" s="7"/>
      <c r="D16" s="7">
        <v>7</v>
      </c>
      <c r="E16" s="7">
        <v>56050</v>
      </c>
      <c r="F16" s="7">
        <v>50416</v>
      </c>
      <c r="G16" s="7">
        <v>127</v>
      </c>
      <c r="H16" s="9">
        <f t="shared" si="12"/>
        <v>2.5190415741034593E-3</v>
      </c>
      <c r="I16" s="9">
        <f>IFERROR((56050-F16)/56050,0)</f>
        <v>0.10051739518287243</v>
      </c>
      <c r="J16" s="7">
        <v>337560</v>
      </c>
      <c r="K16" s="11">
        <f t="shared" si="13"/>
        <v>95.649907058983558</v>
      </c>
      <c r="L16" s="11">
        <f>K16-92.6962</f>
        <v>2.9537070589835537</v>
      </c>
      <c r="M16" s="11">
        <v>89.65</v>
      </c>
      <c r="N16" s="11">
        <f t="shared" si="14"/>
        <v>5.9999070589835526</v>
      </c>
      <c r="O16" s="11">
        <f>IFERROR(16162641/56050,0)</f>
        <v>288.36112399643173</v>
      </c>
      <c r="P16" s="11">
        <v>292</v>
      </c>
      <c r="Q16" s="11">
        <f t="shared" si="15"/>
        <v>-3.6388760035682708</v>
      </c>
      <c r="R16" s="7">
        <v>41230</v>
      </c>
      <c r="S16" s="11">
        <f t="shared" si="16"/>
        <v>116.82799111393207</v>
      </c>
      <c r="T16" s="13">
        <f t="shared" si="17"/>
        <v>8.1872422992966278</v>
      </c>
      <c r="U16" s="7">
        <v>63800</v>
      </c>
      <c r="V16" s="11">
        <f t="shared" si="18"/>
        <v>180.78161127986579</v>
      </c>
      <c r="W16" s="11">
        <f t="shared" si="19"/>
        <v>1.547416929420325</v>
      </c>
      <c r="X16" s="11">
        <v>282.43857142860003</v>
      </c>
      <c r="Y16" s="11">
        <f t="shared" si="20"/>
        <v>122.14124896314725</v>
      </c>
      <c r="Z16" s="11">
        <f t="shared" si="21"/>
        <v>34.497399869656284</v>
      </c>
      <c r="AA16" s="7">
        <v>0</v>
      </c>
      <c r="AB16" s="15">
        <f>IFERROR(AA16/1725,0)</f>
        <v>0</v>
      </c>
      <c r="AC16" s="11">
        <v>0</v>
      </c>
      <c r="AD16" s="15">
        <f>IFERROR(AC16/63.5,0)</f>
        <v>0</v>
      </c>
      <c r="AE16" s="11">
        <v>21</v>
      </c>
      <c r="AF16" s="11">
        <v>25</v>
      </c>
      <c r="AG16" s="7">
        <f t="shared" si="22"/>
        <v>21174.392000000036</v>
      </c>
      <c r="AH16" s="7">
        <v>116.5</v>
      </c>
      <c r="AI16" s="7">
        <v>2.2317596567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IFERROR(1470/F16,0)</f>
        <v>2.9157410345921928E-2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59</v>
      </c>
      <c r="C17" s="7"/>
      <c r="D17" s="7">
        <v>7</v>
      </c>
      <c r="E17" s="7">
        <v>51536</v>
      </c>
      <c r="F17" s="7">
        <v>48142</v>
      </c>
      <c r="G17" s="7">
        <v>122</v>
      </c>
      <c r="H17" s="9">
        <f t="shared" si="12"/>
        <v>2.5341697478293381E-3</v>
      </c>
      <c r="I17" s="9">
        <f>IFERROR((51536-F17)/51536,0)</f>
        <v>6.5856876746352058E-2</v>
      </c>
      <c r="J17" s="7">
        <v>314160</v>
      </c>
      <c r="K17" s="11">
        <f t="shared" si="13"/>
        <v>93.224211707033362</v>
      </c>
      <c r="L17" s="11">
        <f>K17-90.4549</f>
        <v>2.769311707033367</v>
      </c>
      <c r="M17" s="11">
        <v>91.65</v>
      </c>
      <c r="N17" s="11">
        <f t="shared" si="14"/>
        <v>1.5742117070333563</v>
      </c>
      <c r="O17" s="11">
        <f>IFERROR(12489962/51536,0)</f>
        <v>242.35412139087239</v>
      </c>
      <c r="P17" s="11">
        <v>250</v>
      </c>
      <c r="Q17" s="11">
        <f t="shared" si="15"/>
        <v>-7.6458786091276068</v>
      </c>
      <c r="R17" s="7">
        <v>40410</v>
      </c>
      <c r="S17" s="11">
        <f t="shared" si="16"/>
        <v>119.91311418007443</v>
      </c>
      <c r="T17" s="13">
        <f t="shared" si="17"/>
        <v>7.7743132887899034</v>
      </c>
      <c r="U17" s="7">
        <v>66875</v>
      </c>
      <c r="V17" s="11">
        <f t="shared" si="18"/>
        <v>198.44566965583959</v>
      </c>
      <c r="W17" s="11">
        <f t="shared" si="19"/>
        <v>1.6549121504578075</v>
      </c>
      <c r="X17" s="11">
        <v>272.20857142860001</v>
      </c>
      <c r="Y17" s="11">
        <f t="shared" si="20"/>
        <v>128.62872421695951</v>
      </c>
      <c r="Z17" s="11">
        <f t="shared" si="21"/>
        <v>35.013841263781913</v>
      </c>
      <c r="AA17" s="7">
        <v>0</v>
      </c>
      <c r="AB17" s="15">
        <f>IFERROR(AA17/1725,0)</f>
        <v>0</v>
      </c>
      <c r="AC17" s="11">
        <v>0</v>
      </c>
      <c r="AD17" s="15">
        <f>IFERROR(AC17/63.15,0)</f>
        <v>0</v>
      </c>
      <c r="AE17" s="11">
        <v>21</v>
      </c>
      <c r="AF17" s="11">
        <v>26</v>
      </c>
      <c r="AG17" s="7">
        <f t="shared" si="22"/>
        <v>5304.9989999999889</v>
      </c>
      <c r="AH17" s="7">
        <v>21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IFERROR(150/F17,0)</f>
        <v>3.1157824768393502E-3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107</v>
      </c>
      <c r="C18" s="7">
        <v>37</v>
      </c>
      <c r="D18" s="7">
        <v>7</v>
      </c>
      <c r="E18" s="7">
        <v>51311</v>
      </c>
      <c r="F18" s="7">
        <v>38953</v>
      </c>
      <c r="G18" s="7">
        <v>144</v>
      </c>
      <c r="H18" s="9">
        <f t="shared" si="12"/>
        <v>3.6967627653839243E-3</v>
      </c>
      <c r="I18" s="9">
        <f>IFERROR((51311-F18)/51311,0)</f>
        <v>0.24084504297324161</v>
      </c>
      <c r="J18" s="7">
        <v>225400</v>
      </c>
      <c r="K18" s="11">
        <f t="shared" si="13"/>
        <v>82.663722948168299</v>
      </c>
      <c r="L18" s="11">
        <f>K18-82.6735</f>
        <v>-9.7770518317048527E-3</v>
      </c>
      <c r="M18" s="11">
        <v>71</v>
      </c>
      <c r="N18" s="11">
        <f t="shared" si="14"/>
        <v>11.663722948168299</v>
      </c>
      <c r="O18" s="11">
        <f>IFERROR(23614649/51311,0)</f>
        <v>460.22585800315721</v>
      </c>
      <c r="P18" s="11">
        <v>0</v>
      </c>
      <c r="Q18" s="11">
        <f t="shared" si="15"/>
        <v>460.22585800315721</v>
      </c>
      <c r="R18" s="7">
        <v>30630</v>
      </c>
      <c r="S18" s="11">
        <f t="shared" si="16"/>
        <v>112.33317807907697</v>
      </c>
      <c r="T18" s="13">
        <f t="shared" si="17"/>
        <v>7.3587985634998372</v>
      </c>
      <c r="U18" s="7">
        <v>47690</v>
      </c>
      <c r="V18" s="11">
        <f t="shared" si="18"/>
        <v>174.89942091384856</v>
      </c>
      <c r="W18" s="11">
        <f t="shared" si="19"/>
        <v>1.556970290564806</v>
      </c>
      <c r="X18" s="11">
        <v>281.70857142860001</v>
      </c>
      <c r="Y18" s="11">
        <f t="shared" si="20"/>
        <v>135.89174800354925</v>
      </c>
      <c r="Z18" s="11">
        <f t="shared" si="21"/>
        <v>38.281870199015167</v>
      </c>
      <c r="AA18" s="7">
        <v>0</v>
      </c>
      <c r="AB18" s="15">
        <f>IFERROR(AA18/0,0)</f>
        <v>0</v>
      </c>
      <c r="AC18" s="11">
        <v>0</v>
      </c>
      <c r="AD18" s="15">
        <f>IFERROR(AC18/0,0)</f>
        <v>0</v>
      </c>
      <c r="AE18" s="11">
        <v>21</v>
      </c>
      <c r="AF18" s="11">
        <v>26</v>
      </c>
      <c r="AG18" s="7">
        <f t="shared" si="22"/>
        <v>31803.589999999986</v>
      </c>
      <c r="AH18" s="7">
        <v>26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IFERROR(200/F18,0)</f>
        <v>5.1343927296998949E-3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38</v>
      </c>
      <c r="C19" s="7"/>
      <c r="D19" s="7">
        <v>7</v>
      </c>
      <c r="E19" s="7">
        <v>52424</v>
      </c>
      <c r="F19" s="7">
        <v>50677</v>
      </c>
      <c r="G19" s="7">
        <v>130</v>
      </c>
      <c r="H19" s="9">
        <f t="shared" si="12"/>
        <v>2.5652662943741735E-3</v>
      </c>
      <c r="I19" s="9">
        <f>IFERROR((52424-F19)/52424,0)</f>
        <v>3.3324431558065006E-2</v>
      </c>
      <c r="J19" s="7">
        <v>339440</v>
      </c>
      <c r="K19" s="11">
        <f t="shared" si="13"/>
        <v>95.687251754106541</v>
      </c>
      <c r="L19" s="11">
        <f>K19-94.1209</f>
        <v>1.5663517541065346</v>
      </c>
      <c r="M19" s="11">
        <v>95.45</v>
      </c>
      <c r="N19" s="11">
        <f t="shared" si="14"/>
        <v>0.23725175410653776</v>
      </c>
      <c r="O19" s="11">
        <f>IFERROR(5874200/52424,0)</f>
        <v>112.05173203113078</v>
      </c>
      <c r="P19" s="11">
        <v>118</v>
      </c>
      <c r="Q19" s="11">
        <f t="shared" si="15"/>
        <v>-5.9482679688692173</v>
      </c>
      <c r="R19" s="7">
        <v>39101</v>
      </c>
      <c r="S19" s="11">
        <f t="shared" si="16"/>
        <v>110.22470041354349</v>
      </c>
      <c r="T19" s="13">
        <f t="shared" si="17"/>
        <v>8.681107900053707</v>
      </c>
      <c r="U19" s="7">
        <v>60263</v>
      </c>
      <c r="V19" s="11">
        <f t="shared" si="18"/>
        <v>169.87982714051739</v>
      </c>
      <c r="W19" s="11">
        <f t="shared" si="19"/>
        <v>1.5412137796987289</v>
      </c>
      <c r="X19" s="11">
        <v>281.56</v>
      </c>
      <c r="Y19" s="11">
        <f t="shared" si="20"/>
        <v>115.19267028046194</v>
      </c>
      <c r="Z19" s="11">
        <f t="shared" si="21"/>
        <v>32.433648244166861</v>
      </c>
      <c r="AA19" s="7">
        <v>0</v>
      </c>
      <c r="AB19" s="15">
        <f>IFERROR(AA19/1700,0)</f>
        <v>0</v>
      </c>
      <c r="AC19" s="11">
        <v>0</v>
      </c>
      <c r="AD19" s="15">
        <f>IFERROR(AC19/61.45,0)</f>
        <v>0</v>
      </c>
      <c r="AE19" s="11">
        <v>23</v>
      </c>
      <c r="AF19" s="11">
        <v>26</v>
      </c>
      <c r="AG19" s="7">
        <f t="shared" si="22"/>
        <v>841.62449999999103</v>
      </c>
      <c r="AH19" s="7">
        <v>34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IFERROR(890/F19,0)</f>
        <v>1.7562207707638573E-2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28</v>
      </c>
      <c r="C20" s="7"/>
      <c r="D20" s="7">
        <v>7</v>
      </c>
      <c r="E20" s="7">
        <v>50525</v>
      </c>
      <c r="F20" s="7">
        <v>49782</v>
      </c>
      <c r="G20" s="7">
        <v>69</v>
      </c>
      <c r="H20" s="9">
        <f t="shared" si="12"/>
        <v>1.3860431481258287E-3</v>
      </c>
      <c r="I20" s="9">
        <f>IFERROR((50525-F20)/50525,0)</f>
        <v>1.4705591291439881E-2</v>
      </c>
      <c r="J20" s="7">
        <v>316860</v>
      </c>
      <c r="K20" s="11">
        <f t="shared" si="13"/>
        <v>90.927874102515531</v>
      </c>
      <c r="L20" s="11">
        <f>K20-97.5536</f>
        <v>-6.6257258974844717</v>
      </c>
      <c r="M20" s="11">
        <v>95.5</v>
      </c>
      <c r="N20" s="11">
        <f t="shared" si="14"/>
        <v>-4.5721258974844687</v>
      </c>
      <c r="O20" s="11">
        <f>IFERROR(2361260/50525,0)</f>
        <v>46.734487877288473</v>
      </c>
      <c r="P20" s="11">
        <v>54</v>
      </c>
      <c r="Q20" s="11">
        <f t="shared" si="15"/>
        <v>-7.2655121227115274</v>
      </c>
      <c r="R20" s="7">
        <v>39733</v>
      </c>
      <c r="S20" s="11">
        <f t="shared" si="16"/>
        <v>114.01998427429305</v>
      </c>
      <c r="T20" s="13">
        <f t="shared" si="17"/>
        <v>7.9747313316386883</v>
      </c>
      <c r="U20" s="7">
        <v>72295</v>
      </c>
      <c r="V20" s="11">
        <f t="shared" si="18"/>
        <v>207.46167576347159</v>
      </c>
      <c r="W20" s="11">
        <f t="shared" si="19"/>
        <v>1.8195202979890772</v>
      </c>
      <c r="X20" s="11">
        <v>266.84714285709998</v>
      </c>
      <c r="Y20" s="11">
        <f t="shared" si="20"/>
        <v>125.39607397588838</v>
      </c>
      <c r="Z20" s="11">
        <f t="shared" si="21"/>
        <v>33.461584065963372</v>
      </c>
      <c r="AA20" s="7">
        <v>0</v>
      </c>
      <c r="AB20" s="15">
        <f>IFERROR(AA20/1520,0)</f>
        <v>0</v>
      </c>
      <c r="AC20" s="11">
        <v>0</v>
      </c>
      <c r="AD20" s="15">
        <f>IFERROR(AC20/56.3,0)</f>
        <v>0</v>
      </c>
      <c r="AE20" s="11">
        <v>23</v>
      </c>
      <c r="AF20" s="11">
        <v>26</v>
      </c>
      <c r="AG20" s="7">
        <f t="shared" si="22"/>
        <v>-15932.670000000026</v>
      </c>
      <c r="AH20" s="7">
        <v>27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47</v>
      </c>
      <c r="C21" s="7"/>
      <c r="D21" s="7">
        <v>7</v>
      </c>
      <c r="E21" s="7">
        <v>50845</v>
      </c>
      <c r="F21" s="7">
        <v>49283</v>
      </c>
      <c r="G21" s="7">
        <v>67</v>
      </c>
      <c r="H21" s="9">
        <f t="shared" si="12"/>
        <v>1.3594951606030476E-3</v>
      </c>
      <c r="I21" s="9">
        <f>IFERROR((50845-F21)/50845,0)</f>
        <v>3.0720818172878354E-2</v>
      </c>
      <c r="J21" s="7">
        <v>346580</v>
      </c>
      <c r="K21" s="11">
        <f t="shared" si="13"/>
        <v>100.46350378716508</v>
      </c>
      <c r="L21" s="11">
        <f>K21-89.9291</f>
        <v>10.534403787165076</v>
      </c>
      <c r="M21" s="11">
        <v>94.6</v>
      </c>
      <c r="N21" s="11">
        <f t="shared" si="14"/>
        <v>5.8635037871650866</v>
      </c>
      <c r="O21" s="11">
        <f>IFERROR(8734720/50845,0)</f>
        <v>171.79112990461206</v>
      </c>
      <c r="P21" s="11">
        <v>176</v>
      </c>
      <c r="Q21" s="11">
        <f t="shared" si="15"/>
        <v>-4.2088700953879368</v>
      </c>
      <c r="R21" s="7">
        <v>40719</v>
      </c>
      <c r="S21" s="11">
        <f t="shared" si="16"/>
        <v>118.03258730190939</v>
      </c>
      <c r="T21" s="13">
        <f t="shared" si="17"/>
        <v>8.5115056853066129</v>
      </c>
      <c r="U21" s="7">
        <v>67200</v>
      </c>
      <c r="V21" s="11">
        <f t="shared" si="18"/>
        <v>194.79333644461579</v>
      </c>
      <c r="W21" s="11">
        <f t="shared" si="19"/>
        <v>1.6503352243424445</v>
      </c>
      <c r="X21" s="11">
        <v>268.25142857140003</v>
      </c>
      <c r="Y21" s="11">
        <f t="shared" si="20"/>
        <v>117.48802585261701</v>
      </c>
      <c r="Z21" s="11">
        <f t="shared" si="21"/>
        <v>31.516330774998092</v>
      </c>
      <c r="AA21" s="7">
        <v>0</v>
      </c>
      <c r="AB21" s="15">
        <f>IFERROR(AA21/1720,0)</f>
        <v>0</v>
      </c>
      <c r="AC21" s="11">
        <v>0</v>
      </c>
      <c r="AD21" s="15">
        <f>IFERROR(AC21/62.45,0)</f>
        <v>0</v>
      </c>
      <c r="AE21" s="11">
        <v>19</v>
      </c>
      <c r="AF21" s="11">
        <v>26</v>
      </c>
      <c r="AG21" s="7">
        <f t="shared" si="22"/>
        <v>20227.973999999987</v>
      </c>
      <c r="AH21" s="7">
        <v>37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38</v>
      </c>
      <c r="C22" s="7"/>
      <c r="D22" s="7">
        <v>7</v>
      </c>
      <c r="E22" s="7">
        <v>21875</v>
      </c>
      <c r="F22" s="7">
        <v>21378</v>
      </c>
      <c r="G22" s="7">
        <v>18</v>
      </c>
      <c r="H22" s="9">
        <f t="shared" si="12"/>
        <v>8.4198708953129382E-4</v>
      </c>
      <c r="I22" s="9">
        <f>IFERROR((21875-F22)/21875,0)</f>
        <v>2.2720000000000001E-2</v>
      </c>
      <c r="J22" s="7">
        <v>138420</v>
      </c>
      <c r="K22" s="11">
        <f t="shared" si="13"/>
        <v>92.498295978509276</v>
      </c>
      <c r="L22" s="11">
        <f>K22-95.6654</f>
        <v>-3.1671040214907293</v>
      </c>
      <c r="M22" s="11">
        <v>93.5</v>
      </c>
      <c r="N22" s="11">
        <f t="shared" si="14"/>
        <v>-1.001704021490724</v>
      </c>
      <c r="O22" s="11">
        <f>IFERROR(2726250/21875,0)</f>
        <v>124.62857142857143</v>
      </c>
      <c r="P22" s="11">
        <v>124</v>
      </c>
      <c r="Q22" s="11">
        <f t="shared" si="15"/>
        <v>0.62857142857143344</v>
      </c>
      <c r="R22" s="7">
        <v>17630</v>
      </c>
      <c r="S22" s="11">
        <f t="shared" si="16"/>
        <v>117.8113681621961</v>
      </c>
      <c r="T22" s="13">
        <f t="shared" si="17"/>
        <v>7.8513896766874645</v>
      </c>
      <c r="U22" s="7">
        <v>30131</v>
      </c>
      <c r="V22" s="11">
        <f t="shared" si="18"/>
        <v>201.34851583069377</v>
      </c>
      <c r="W22" s="11">
        <f t="shared" si="19"/>
        <v>1.7090754395916055</v>
      </c>
      <c r="X22" s="11">
        <v>266.3028571429</v>
      </c>
      <c r="Y22" s="11">
        <f t="shared" si="20"/>
        <v>127.36598757404998</v>
      </c>
      <c r="Z22" s="11">
        <f t="shared" si="21"/>
        <v>33.917926393796613</v>
      </c>
      <c r="AA22" s="7">
        <v>0</v>
      </c>
      <c r="AB22" s="15">
        <f>IFERROR(AA22/1920,0)</f>
        <v>0</v>
      </c>
      <c r="AC22" s="11">
        <v>0</v>
      </c>
      <c r="AD22" s="15">
        <f>IFERROR(AC22/62.1,0)</f>
        <v>0</v>
      </c>
      <c r="AE22" s="11">
        <v>23</v>
      </c>
      <c r="AF22" s="11">
        <v>26</v>
      </c>
      <c r="AG22" s="7">
        <f t="shared" si="22"/>
        <v>-1499.0100000000091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IFERROR(490/F22,0)</f>
        <v>2.2920759659463E-2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67</v>
      </c>
      <c r="B23" s="5">
        <v>97</v>
      </c>
      <c r="C23" s="7">
        <v>30</v>
      </c>
      <c r="D23" s="7">
        <v>7</v>
      </c>
      <c r="E23" s="7">
        <v>51833</v>
      </c>
      <c r="F23" s="7">
        <v>41252</v>
      </c>
      <c r="G23" s="7">
        <v>154</v>
      </c>
      <c r="H23" s="9">
        <f t="shared" si="12"/>
        <v>3.7331523320081449E-3</v>
      </c>
      <c r="I23" s="9">
        <f>IFERROR((51833-F23)/51833,0)</f>
        <v>0.204136361005537</v>
      </c>
      <c r="J23" s="7">
        <v>187080</v>
      </c>
      <c r="K23" s="11">
        <f t="shared" si="13"/>
        <v>64.786469227466029</v>
      </c>
      <c r="L23" s="11">
        <f>K23-66.657</f>
        <v>-1.8705307725339679</v>
      </c>
      <c r="M23" s="11">
        <v>74</v>
      </c>
      <c r="N23" s="11">
        <f t="shared" si="14"/>
        <v>-9.2135307725339715</v>
      </c>
      <c r="O23" s="11">
        <f>IFERROR(19766428/51833,0)</f>
        <v>381.34833021434224</v>
      </c>
      <c r="P23" s="11">
        <v>0</v>
      </c>
      <c r="Q23" s="11">
        <f t="shared" si="15"/>
        <v>381.34833021434224</v>
      </c>
      <c r="R23" s="7">
        <v>32639</v>
      </c>
      <c r="S23" s="11">
        <f t="shared" si="16"/>
        <v>113.03001759222063</v>
      </c>
      <c r="T23" s="13">
        <f t="shared" si="17"/>
        <v>5.7317932534697755</v>
      </c>
      <c r="U23" s="7">
        <v>47127</v>
      </c>
      <c r="V23" s="11">
        <f t="shared" si="18"/>
        <v>163.2024767630314</v>
      </c>
      <c r="W23" s="11">
        <f t="shared" si="19"/>
        <v>1.4438861484726861</v>
      </c>
      <c r="X23" s="11">
        <v>253.4257142857</v>
      </c>
      <c r="Y23" s="11">
        <f t="shared" si="20"/>
        <v>174.46546931793881</v>
      </c>
      <c r="Z23" s="11">
        <f t="shared" si="21"/>
        <v>44.21403618008852</v>
      </c>
      <c r="AA23" s="7">
        <v>0</v>
      </c>
      <c r="AB23" s="15">
        <f>IFERROR(AA23/1980,0)</f>
        <v>0</v>
      </c>
      <c r="AC23" s="11">
        <v>0</v>
      </c>
      <c r="AD23" s="15">
        <f>IFERROR(AC23/65.3,0)</f>
        <v>0</v>
      </c>
      <c r="AE23" s="11">
        <v>22</v>
      </c>
      <c r="AF23" s="11">
        <v>26</v>
      </c>
      <c r="AG23" s="7">
        <f t="shared" si="22"/>
        <v>-26605.359999999997</v>
      </c>
      <c r="AH23" s="7">
        <v>33</v>
      </c>
      <c r="AI23" s="7">
        <v>23.636363636399999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IFERROR(1000/F23,0)</f>
        <v>2.4241248909143798E-2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81</v>
      </c>
      <c r="B24" s="5">
        <v>95</v>
      </c>
      <c r="C24" s="7">
        <v>29</v>
      </c>
      <c r="D24" s="7">
        <v>7</v>
      </c>
      <c r="E24" s="7">
        <v>21623</v>
      </c>
      <c r="F24" s="7">
        <v>18127</v>
      </c>
      <c r="G24" s="7">
        <v>34</v>
      </c>
      <c r="H24" s="9">
        <f t="shared" si="12"/>
        <v>1.8756551001268826E-3</v>
      </c>
      <c r="I24" s="9">
        <f>IFERROR((21623-F24)/21623,0)</f>
        <v>0.16167969291957637</v>
      </c>
      <c r="J24" s="7">
        <v>91980</v>
      </c>
      <c r="K24" s="11">
        <f t="shared" si="13"/>
        <v>72.488552987256583</v>
      </c>
      <c r="L24" s="11">
        <f>K24-74.4767</f>
        <v>-1.9881470127434113</v>
      </c>
      <c r="M24" s="11">
        <v>78</v>
      </c>
      <c r="N24" s="11">
        <f t="shared" si="14"/>
        <v>-5.5114470127434174</v>
      </c>
      <c r="O24" s="11">
        <f>IFERROR(8258165/21623,0)</f>
        <v>381.91578411876242</v>
      </c>
      <c r="P24" s="11">
        <v>0</v>
      </c>
      <c r="Q24" s="11">
        <f t="shared" si="15"/>
        <v>381.91578411876242</v>
      </c>
      <c r="R24" s="7">
        <v>14472</v>
      </c>
      <c r="S24" s="11">
        <f t="shared" si="16"/>
        <v>114.05243953376575</v>
      </c>
      <c r="T24" s="13">
        <f t="shared" si="17"/>
        <v>6.355721393034826</v>
      </c>
      <c r="U24" s="7">
        <v>23564</v>
      </c>
      <c r="V24" s="11">
        <f t="shared" si="18"/>
        <v>185.70561672012545</v>
      </c>
      <c r="W24" s="11">
        <f t="shared" si="19"/>
        <v>1.62824765063571</v>
      </c>
      <c r="X24" s="11">
        <v>266.11428571430002</v>
      </c>
      <c r="Y24" s="11">
        <f t="shared" si="20"/>
        <v>157.33855185909985</v>
      </c>
      <c r="Z24" s="11">
        <f t="shared" si="21"/>
        <v>41.870036343306708</v>
      </c>
      <c r="AA24" s="7">
        <v>0</v>
      </c>
      <c r="AB24" s="15">
        <f>IFERROR(AA24/1980,0)</f>
        <v>0</v>
      </c>
      <c r="AC24" s="11">
        <v>0</v>
      </c>
      <c r="AD24" s="15">
        <f>IFERROR(AC24/65.2,0)</f>
        <v>0</v>
      </c>
      <c r="AE24" s="11">
        <v>22</v>
      </c>
      <c r="AF24" s="11">
        <v>26</v>
      </c>
      <c r="AG24" s="7">
        <f t="shared" si="22"/>
        <v>-6993.4199999999946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68</v>
      </c>
      <c r="B25" s="5">
        <v>28</v>
      </c>
      <c r="C25" s="7"/>
      <c r="D25" s="7">
        <v>7</v>
      </c>
      <c r="E25" s="7">
        <v>21339</v>
      </c>
      <c r="F25" s="7">
        <v>21067</v>
      </c>
      <c r="G25" s="7">
        <v>19</v>
      </c>
      <c r="H25" s="9">
        <f t="shared" si="12"/>
        <v>9.0188446385342002E-4</v>
      </c>
      <c r="I25" s="9">
        <f>IFERROR((21339-F25)/21339,0)</f>
        <v>1.2746614180608276E-2</v>
      </c>
      <c r="J25" s="7">
        <v>138240</v>
      </c>
      <c r="K25" s="11">
        <f t="shared" si="13"/>
        <v>93.741735551200591</v>
      </c>
      <c r="L25" s="11">
        <f>K25-89.2671</f>
        <v>4.474635551200592</v>
      </c>
      <c r="M25" s="11">
        <v>95.5</v>
      </c>
      <c r="N25" s="11">
        <f t="shared" si="14"/>
        <v>-1.7582644487994088</v>
      </c>
      <c r="O25" s="11">
        <f>IFERROR(1160130/21339,0)</f>
        <v>54.366652607901024</v>
      </c>
      <c r="P25" s="11">
        <v>58</v>
      </c>
      <c r="Q25" s="11">
        <f t="shared" si="15"/>
        <v>-3.6333473920989761</v>
      </c>
      <c r="R25" s="7">
        <v>17910</v>
      </c>
      <c r="S25" s="11">
        <f t="shared" si="16"/>
        <v>121.4492537414643</v>
      </c>
      <c r="T25" s="13">
        <f t="shared" si="17"/>
        <v>7.7185929648241203</v>
      </c>
      <c r="U25" s="7">
        <v>36147</v>
      </c>
      <c r="V25" s="11">
        <f t="shared" si="18"/>
        <v>245.11592266849306</v>
      </c>
      <c r="W25" s="11">
        <f t="shared" si="19"/>
        <v>2.0182579564489114</v>
      </c>
      <c r="X25" s="11">
        <v>257.55</v>
      </c>
      <c r="Y25" s="11">
        <f t="shared" si="20"/>
        <v>129.55729166666669</v>
      </c>
      <c r="Z25" s="11">
        <f t="shared" si="21"/>
        <v>33.36748046875001</v>
      </c>
      <c r="AA25" s="7">
        <v>0</v>
      </c>
      <c r="AB25" s="15">
        <f>IFERROR(AA25/1890,0)</f>
        <v>0</v>
      </c>
      <c r="AC25" s="11">
        <v>0</v>
      </c>
      <c r="AD25" s="15">
        <f>IFERROR(AC25/60.2,0)</f>
        <v>0</v>
      </c>
      <c r="AE25" s="11">
        <v>23</v>
      </c>
      <c r="AF25" s="11">
        <v>26</v>
      </c>
      <c r="AG25" s="7">
        <f t="shared" si="22"/>
        <v>-2592.895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70</v>
      </c>
      <c r="B26" s="5">
        <v>86</v>
      </c>
      <c r="C26" s="7">
        <v>14</v>
      </c>
      <c r="D26" s="7">
        <v>7</v>
      </c>
      <c r="E26" s="7">
        <v>47224</v>
      </c>
      <c r="F26" s="7">
        <v>37620</v>
      </c>
      <c r="G26" s="7">
        <v>96</v>
      </c>
      <c r="H26" s="9">
        <f t="shared" si="12"/>
        <v>2.5518341307814991E-3</v>
      </c>
      <c r="I26" s="9">
        <f>IFERROR((47224-F26)/47224,0)</f>
        <v>0.20337116720311707</v>
      </c>
      <c r="J26" s="7">
        <v>198820</v>
      </c>
      <c r="K26" s="11">
        <f t="shared" si="13"/>
        <v>75.499354446722862</v>
      </c>
      <c r="L26" s="11">
        <f>K26-74.9587</f>
        <v>0.54065444672286844</v>
      </c>
      <c r="M26" s="11">
        <v>80</v>
      </c>
      <c r="N26" s="11">
        <f t="shared" si="14"/>
        <v>-4.5006455532771383</v>
      </c>
      <c r="O26" s="11">
        <f>IFERROR(15345670/47224,0)</f>
        <v>324.95489581568694</v>
      </c>
      <c r="P26" s="11">
        <v>0</v>
      </c>
      <c r="Q26" s="11">
        <f t="shared" si="15"/>
        <v>324.95489581568694</v>
      </c>
      <c r="R26" s="7">
        <v>28370</v>
      </c>
      <c r="S26" s="11">
        <f t="shared" si="16"/>
        <v>107.73144983671298</v>
      </c>
      <c r="T26" s="13">
        <f t="shared" si="17"/>
        <v>7.0081071554458934</v>
      </c>
      <c r="U26" s="7">
        <v>54900</v>
      </c>
      <c r="V26" s="11">
        <f t="shared" si="18"/>
        <v>208.47573479152425</v>
      </c>
      <c r="W26" s="11">
        <f t="shared" si="19"/>
        <v>1.9351427564328516</v>
      </c>
      <c r="X26" s="11">
        <v>272.03285714290001</v>
      </c>
      <c r="Y26" s="11">
        <f t="shared" si="20"/>
        <v>142.69188210441604</v>
      </c>
      <c r="Z26" s="11">
        <f t="shared" si="21"/>
        <v>38.816880379962136</v>
      </c>
      <c r="AA26" s="7">
        <v>0</v>
      </c>
      <c r="AB26" s="15">
        <f>IFERROR(AA26/1580,0)</f>
        <v>0</v>
      </c>
      <c r="AC26" s="11">
        <v>0</v>
      </c>
      <c r="AD26" s="15">
        <f>IFERROR(AC26/63.6,0)</f>
        <v>0</v>
      </c>
      <c r="AE26" s="11">
        <v>16</v>
      </c>
      <c r="AF26" s="11">
        <v>29</v>
      </c>
      <c r="AG26" s="7">
        <f t="shared" si="22"/>
        <v>-11852.000000000016</v>
      </c>
      <c r="AH26" s="7">
        <v>43</v>
      </c>
      <c r="AI26" s="7">
        <v>17.674418604700001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IFERROR(560/F26,0)</f>
        <v>1.4885699096225412E-2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116</v>
      </c>
      <c r="C27" s="7">
        <v>18</v>
      </c>
      <c r="D27" s="7">
        <v>7</v>
      </c>
      <c r="E27" s="7">
        <v>33376</v>
      </c>
      <c r="F27" s="7">
        <v>29248</v>
      </c>
      <c r="G27" s="7">
        <v>86</v>
      </c>
      <c r="H27" s="9">
        <f t="shared" si="12"/>
        <v>2.9403719912472646E-3</v>
      </c>
      <c r="I27" s="9">
        <f>IFERROR((33376-F27)/33376,0)</f>
        <v>0.1236816874400767</v>
      </c>
      <c r="J27" s="7">
        <v>137580</v>
      </c>
      <c r="K27" s="11">
        <f t="shared" si="13"/>
        <v>67.198733979368555</v>
      </c>
      <c r="L27" s="11">
        <f>K27-67.7712</f>
        <v>-0.57246602063143825</v>
      </c>
      <c r="M27" s="11">
        <v>78</v>
      </c>
      <c r="N27" s="11">
        <f t="shared" si="14"/>
        <v>-10.801266020631445</v>
      </c>
      <c r="O27" s="11">
        <f>IFERROR(15058693/33376,0)</f>
        <v>451.18327540747845</v>
      </c>
      <c r="P27" s="11">
        <v>0</v>
      </c>
      <c r="Q27" s="11">
        <f t="shared" si="15"/>
        <v>451.18327540747845</v>
      </c>
      <c r="R27" s="7">
        <v>23670</v>
      </c>
      <c r="S27" s="11">
        <f t="shared" si="16"/>
        <v>115.61230071897468</v>
      </c>
      <c r="T27" s="13">
        <f t="shared" si="17"/>
        <v>5.8124207858048162</v>
      </c>
      <c r="U27" s="7">
        <v>32300</v>
      </c>
      <c r="V27" s="11">
        <f t="shared" si="18"/>
        <v>157.76414504532667</v>
      </c>
      <c r="W27" s="11">
        <f t="shared" si="19"/>
        <v>1.3645965356991974</v>
      </c>
      <c r="X27" s="11">
        <v>264.6585714286</v>
      </c>
      <c r="Y27" s="11">
        <f t="shared" si="20"/>
        <v>172.04535542956822</v>
      </c>
      <c r="Z27" s="11">
        <f t="shared" si="21"/>
        <v>45.533277988915252</v>
      </c>
      <c r="AA27" s="7">
        <v>0</v>
      </c>
      <c r="AB27" s="15">
        <f>IFERROR(AA27/0,0)</f>
        <v>0</v>
      </c>
      <c r="AC27" s="11">
        <v>0</v>
      </c>
      <c r="AD27" s="15">
        <f>IFERROR(AC27/0,0)</f>
        <v>0</v>
      </c>
      <c r="AE27" s="11">
        <v>17</v>
      </c>
      <c r="AF27" s="11">
        <v>30</v>
      </c>
      <c r="AG27" s="7">
        <f t="shared" si="22"/>
        <v>-22114.079999999994</v>
      </c>
      <c r="AH27" s="7">
        <v>75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IFERROR(910/F27,0)</f>
        <v>3.111323851203501E-2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116</v>
      </c>
      <c r="C28" s="7">
        <v>18</v>
      </c>
      <c r="D28" s="7">
        <v>7</v>
      </c>
      <c r="E28" s="7">
        <v>12390</v>
      </c>
      <c r="F28" s="7">
        <v>9977</v>
      </c>
      <c r="G28" s="7">
        <v>36</v>
      </c>
      <c r="H28" s="9">
        <f t="shared" si="12"/>
        <v>3.6082990879021748E-3</v>
      </c>
      <c r="I28" s="9">
        <f>IFERROR((12390-F28)/12390,0)</f>
        <v>0.1947538337368846</v>
      </c>
      <c r="J28" s="7">
        <v>55580</v>
      </c>
      <c r="K28" s="11">
        <f t="shared" si="13"/>
        <v>79.583040994286861</v>
      </c>
      <c r="L28" s="11">
        <f>K28-79.3968</f>
        <v>0.18624099428686236</v>
      </c>
      <c r="M28" s="11">
        <v>78</v>
      </c>
      <c r="N28" s="11">
        <f t="shared" si="14"/>
        <v>1.5830409942868613</v>
      </c>
      <c r="O28" s="11">
        <f>IFERROR(6121288/12390,0)</f>
        <v>494.0506860371267</v>
      </c>
      <c r="P28" s="11">
        <v>0</v>
      </c>
      <c r="Q28" s="11">
        <f t="shared" si="15"/>
        <v>494.0506860371267</v>
      </c>
      <c r="R28" s="7">
        <v>9240</v>
      </c>
      <c r="S28" s="11">
        <f t="shared" si="16"/>
        <v>132.30429988974643</v>
      </c>
      <c r="T28" s="13">
        <f t="shared" si="17"/>
        <v>6.0151515151515156</v>
      </c>
      <c r="U28" s="7">
        <v>16000</v>
      </c>
      <c r="V28" s="11">
        <f t="shared" si="18"/>
        <v>229.09835478743969</v>
      </c>
      <c r="W28" s="11">
        <f t="shared" si="19"/>
        <v>1.7316017316017314</v>
      </c>
      <c r="X28" s="11">
        <v>260.9085714286</v>
      </c>
      <c r="Y28" s="11">
        <f t="shared" si="20"/>
        <v>166.24685138539047</v>
      </c>
      <c r="Z28" s="11">
        <f t="shared" si="21"/>
        <v>43.375228499464995</v>
      </c>
      <c r="AA28" s="7">
        <v>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17</v>
      </c>
      <c r="AF28" s="11">
        <v>30</v>
      </c>
      <c r="AG28" s="7">
        <f t="shared" si="22"/>
        <v>1105.5800000000011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IFERROR(455/F28,0)</f>
        <v>4.5604891249874713E-2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7</v>
      </c>
      <c r="E29" s="17">
        <f>SUM(E14:E28)</f>
        <v>553964</v>
      </c>
      <c r="F29" s="17">
        <f>SUM(F14:F28)</f>
        <v>491889</v>
      </c>
      <c r="G29" s="17">
        <f>SUM(G14:G28)</f>
        <v>1181</v>
      </c>
      <c r="H29" s="18">
        <f t="shared" si="12"/>
        <v>2.4009481813986487E-3</v>
      </c>
      <c r="I29" s="18"/>
      <c r="J29" s="17">
        <f>SUM(J14:J28)</f>
        <v>2976800</v>
      </c>
      <c r="K29" s="19">
        <f t="shared" si="13"/>
        <v>86.453883469063726</v>
      </c>
      <c r="L29" s="19"/>
      <c r="M29" s="19">
        <f>IFERROR(SUMPRODUCT($F14:$F28,M14:M28)/$F29, 0)</f>
        <v>86.976580387038553</v>
      </c>
      <c r="N29" s="19">
        <f t="shared" si="14"/>
        <v>-0.52269691797482665</v>
      </c>
      <c r="O29" s="19">
        <f>IFERROR(SUMPRODUCT($E14:$E28,O14:O28)/$E29, 0)</f>
        <v>259.19181751882792</v>
      </c>
      <c r="P29" s="19">
        <f>IFERROR(SUMPRODUCT($E14:$E28,P14:P28)/$E29, 0)</f>
        <v>94.338601425363379</v>
      </c>
      <c r="Q29" s="19">
        <f>IFERROR(SUMPRODUCT($E14:$E28,Q14:Q28)/$E29, 0)</f>
        <v>164.85321609346457</v>
      </c>
      <c r="R29" s="17">
        <f>SUM(R14:R28)</f>
        <v>398592</v>
      </c>
      <c r="S29" s="19">
        <f>IFERROR(R29/D29/$F29*1000,0)</f>
        <v>115.76130851821098</v>
      </c>
      <c r="T29" s="20">
        <f t="shared" si="17"/>
        <v>7.4682883750802826</v>
      </c>
      <c r="U29" s="17">
        <f>SUM(U14:U28)</f>
        <v>652052</v>
      </c>
      <c r="V29" s="19">
        <f>IFERROR(U29/D29/$F29*1000,0)</f>
        <v>189.37257331285252</v>
      </c>
      <c r="W29" s="19">
        <f t="shared" si="19"/>
        <v>1.6358883269107258</v>
      </c>
      <c r="X29" s="19">
        <f>IFERROR(SUMPRODUCT(R14:R28,X14:X28)/R29,0)</f>
        <v>269.78895615065886</v>
      </c>
      <c r="Y29" s="19">
        <f>IFERROR(($F29*S29)/($F29*K29)*100,0)</f>
        <v>133.89948938457403</v>
      </c>
      <c r="Z29" s="19">
        <f t="shared" si="21"/>
        <v>36.124603470170456</v>
      </c>
      <c r="AA29" s="17"/>
      <c r="AB29" s="21">
        <f>IFERROR(SUMPRODUCT($F14:$F28,AB14:AB28)/$F29,0)</f>
        <v>0</v>
      </c>
      <c r="AC29" s="19"/>
      <c r="AD29" s="21">
        <f>AVERAGE(AD14:AD28)</f>
        <v>0</v>
      </c>
      <c r="AE29" s="19"/>
      <c r="AF29" s="19"/>
      <c r="AG29" s="17">
        <f>SUM(AG14:AG28)</f>
        <v>-17997.620500000048</v>
      </c>
      <c r="AH29" s="17">
        <f>SUM(AH14:AH28)</f>
        <v>412.5</v>
      </c>
      <c r="AI29" s="17">
        <f>IFERROR(SUMPRODUCT(AH14:AH28,AI14:AI28)/AH29, 0)</f>
        <v>15.030303030324484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7</v>
      </c>
      <c r="E31" s="23">
        <f>E12+E29</f>
        <v>600169</v>
      </c>
      <c r="F31" s="23">
        <f>F12+F29</f>
        <v>530849</v>
      </c>
      <c r="G31" s="23">
        <f>G12+G29</f>
        <v>1309</v>
      </c>
      <c r="H31" s="24">
        <f>IFERROR(G31/F31,0)</f>
        <v>2.4658612901220498E-3</v>
      </c>
      <c r="I31" s="23"/>
      <c r="J31" s="23">
        <f>J12+J29</f>
        <v>3177640</v>
      </c>
      <c r="K31" s="25">
        <f>IFERROR(J31/D31/F31*100,0)</f>
        <v>85.513690602896759</v>
      </c>
      <c r="L31" s="23"/>
      <c r="M31" s="25">
        <f>IFERROR($F$12/$F31*M$12,0)+IFERROR($F$29/$F31*M$29,0)</f>
        <v>85.905430075219144</v>
      </c>
      <c r="N31" s="25">
        <f>K31-M31</f>
        <v>-0.39173947232238504</v>
      </c>
      <c r="O31" s="23">
        <f>IFERROR($E$12/$E31*O$12,0)+IFERROR($E$29/$E31*O$29,0)</f>
        <v>258.1574556499919</v>
      </c>
      <c r="P31" s="23">
        <f>IFERROR($E$12/$E31*P$12,0)+IFERROR($E$29/$E31*P$29,0)</f>
        <v>89.039602178719647</v>
      </c>
      <c r="Q31" s="23">
        <f>IFERROR($E$12/$E31*Q$12,0)+IFERROR($E$29/$E31*Q$29,0)</f>
        <v>169.11785347127227</v>
      </c>
      <c r="R31" s="23">
        <f>R12+R29</f>
        <v>435205</v>
      </c>
      <c r="S31" s="25">
        <f>IFERROR(R31/D31/$F31*1000,0)</f>
        <v>117.11831962976827</v>
      </c>
      <c r="T31" s="26">
        <f>IFERROR(J31/R31,0)</f>
        <v>7.3014786135269585</v>
      </c>
      <c r="U31" s="23">
        <f>U12+U29</f>
        <v>666452</v>
      </c>
      <c r="V31" s="25">
        <f>IFERROR(U31/D31/$F31*1000,0)</f>
        <v>179.34936031042457</v>
      </c>
      <c r="W31" s="25">
        <f>IFERROR(V31/S31,0)</f>
        <v>1.5313518916372746</v>
      </c>
      <c r="X31" s="25">
        <f>IFERROR($F$12/$F31*X$12,0)+IFERROR($F$29/$F31*X$29,0)</f>
        <v>276.98059625589343</v>
      </c>
      <c r="Y31" s="25">
        <f>IFERROR(($F31*S31)/($F31*K31)*100,0)</f>
        <v>136.95856044108206</v>
      </c>
      <c r="Z31" s="25">
        <f>IFERROR(Y31*X31/1000,0)</f>
        <v>37.934863733319723</v>
      </c>
      <c r="AA31" s="23"/>
      <c r="AB31" s="27"/>
      <c r="AC31" s="23"/>
      <c r="AD31" s="27"/>
      <c r="AE31" s="23"/>
      <c r="AF31" s="23"/>
      <c r="AG31" s="23">
        <f>AG12+AG29</f>
        <v>-14556.815500000044</v>
      </c>
      <c r="AH31" s="23">
        <f>AH12+AH29</f>
        <v>412.5</v>
      </c>
      <c r="AI31" s="23">
        <f>IFERROR(AH$12/AH31*AI$12,0)+IFERROR(AH$29/AH31*AI$29,0)</f>
        <v>15.030303030324484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29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 spans="1:29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61</v>
      </c>
      <c r="T34" s="32" t="s">
        <v>70</v>
      </c>
      <c r="U34" s="32" t="s">
        <v>71</v>
      </c>
      <c r="V34" s="32" t="s">
        <v>72</v>
      </c>
      <c r="W34" s="32" t="s">
        <v>62</v>
      </c>
      <c r="X34" s="32" t="s">
        <v>66</v>
      </c>
      <c r="Y34" s="32" t="s">
        <v>67</v>
      </c>
      <c r="Z34" s="32" t="s">
        <v>81</v>
      </c>
      <c r="AA34" s="32" t="s">
        <v>63</v>
      </c>
      <c r="AB34" s="32" t="s">
        <v>68</v>
      </c>
      <c r="AC34" s="32" t="s">
        <v>64</v>
      </c>
    </row>
    <row r="35" spans="1:29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>
        <v>2.5000000000000001E-3</v>
      </c>
      <c r="T35" s="8">
        <v>5.3E-3</v>
      </c>
      <c r="U35" s="8">
        <v>6.3E-3</v>
      </c>
      <c r="V35" s="8">
        <v>2.7000000000000001E-3</v>
      </c>
      <c r="W35" s="8">
        <v>1.5E-3</v>
      </c>
      <c r="X35" s="8">
        <v>1.4E-3</v>
      </c>
      <c r="Y35" s="8">
        <v>2.8E-3</v>
      </c>
      <c r="Z35" s="8">
        <v>1.6999999999999999E-3</v>
      </c>
      <c r="AA35" s="8"/>
      <c r="AB35" s="8"/>
      <c r="AC35" s="8">
        <v>6.9999999999999999E-4</v>
      </c>
    </row>
    <row r="36" spans="1:29" x14ac:dyDescent="0.3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>
        <v>1.32E-2</v>
      </c>
      <c r="P36" s="9">
        <v>2.3999999999999998E-3</v>
      </c>
      <c r="Q36" s="9">
        <v>4.1999999999999997E-3</v>
      </c>
      <c r="R36" s="9">
        <v>1.6999999999999999E-3</v>
      </c>
      <c r="S36" s="9">
        <v>2.5000000000000001E-3</v>
      </c>
      <c r="T36" s="9">
        <v>5.7999999999999996E-3</v>
      </c>
      <c r="U36" s="9">
        <v>3.5999999999999999E-3</v>
      </c>
      <c r="V36" s="9">
        <v>2.3E-3</v>
      </c>
      <c r="W36" s="9">
        <v>1.5E-3</v>
      </c>
      <c r="X36" s="9">
        <v>1E-3</v>
      </c>
      <c r="Y36" s="9">
        <v>3.0000000000000001E-3</v>
      </c>
      <c r="Z36" s="9">
        <v>1.8E-3</v>
      </c>
      <c r="AA36" s="9"/>
      <c r="AB36" s="9"/>
      <c r="AC36" s="9">
        <v>1E-3</v>
      </c>
    </row>
    <row r="37" spans="1:29" x14ac:dyDescent="0.3">
      <c r="B37" s="5">
        <v>202503</v>
      </c>
      <c r="C37" s="5"/>
      <c r="D37" s="9">
        <v>2.8E-3</v>
      </c>
      <c r="E37" s="9">
        <v>4.8999999999999998E-3</v>
      </c>
      <c r="F37" s="9">
        <v>2.5999999999999999E-3</v>
      </c>
      <c r="G37" s="9">
        <v>5.8999999999999999E-3</v>
      </c>
      <c r="H37" s="9">
        <v>5.8999999999999999E-3</v>
      </c>
      <c r="I37" s="9">
        <v>3.5999999999999999E-3</v>
      </c>
      <c r="J37" s="9">
        <v>3.3999999999999998E-3</v>
      </c>
      <c r="K37" s="9">
        <v>3.2000000000000002E-3</v>
      </c>
      <c r="L37" s="9">
        <v>3.0000000000000001E-3</v>
      </c>
      <c r="M37" s="9">
        <v>2.2000000000000001E-3</v>
      </c>
      <c r="N37" s="9">
        <v>1.6000000000000001E-3</v>
      </c>
      <c r="O37" s="9">
        <v>9.7999999999999997E-3</v>
      </c>
      <c r="P37" s="9">
        <v>2.5000000000000001E-3</v>
      </c>
      <c r="Q37" s="9">
        <v>3.3E-3</v>
      </c>
      <c r="R37" s="9">
        <v>1.8E-3</v>
      </c>
      <c r="S37" s="9">
        <v>2.5000000000000001E-3</v>
      </c>
      <c r="T37" s="9">
        <v>5.4999999999999997E-3</v>
      </c>
      <c r="U37" s="9">
        <v>3.5000000000000001E-3</v>
      </c>
      <c r="V37" s="9">
        <v>2.5000000000000001E-3</v>
      </c>
      <c r="W37" s="9">
        <v>1.6999999999999999E-3</v>
      </c>
      <c r="X37" s="9">
        <v>6.9999999999999999E-4</v>
      </c>
      <c r="Y37" s="9">
        <v>2.8E-3</v>
      </c>
      <c r="Z37" s="9">
        <v>1.4E-3</v>
      </c>
      <c r="AA37" s="9"/>
      <c r="AB37" s="9"/>
      <c r="AC37" s="9">
        <v>1.6000000000000001E-3</v>
      </c>
    </row>
    <row r="38" spans="1:29" x14ac:dyDescent="0.3">
      <c r="B38" s="5">
        <v>202504</v>
      </c>
      <c r="C38" s="5"/>
      <c r="D38" s="9">
        <v>2.5999999999999999E-3</v>
      </c>
      <c r="E38" s="9">
        <v>5.1000000000000004E-3</v>
      </c>
      <c r="F38" s="9">
        <v>2.3999999999999998E-3</v>
      </c>
      <c r="G38" s="9">
        <v>5.8999999999999999E-3</v>
      </c>
      <c r="H38" s="9">
        <v>5.7999999999999996E-3</v>
      </c>
      <c r="I38" s="9">
        <v>6.3E-3</v>
      </c>
      <c r="J38" s="9">
        <v>5.0000000000000001E-3</v>
      </c>
      <c r="K38" s="9">
        <v>4.1000000000000003E-3</v>
      </c>
      <c r="L38" s="9">
        <v>1.9E-3</v>
      </c>
      <c r="M38" s="9">
        <v>2.3999999999999998E-3</v>
      </c>
      <c r="N38" s="9">
        <v>2.2000000000000001E-3</v>
      </c>
      <c r="O38" s="9">
        <v>7.3000000000000001E-3</v>
      </c>
      <c r="P38" s="9">
        <v>2.5000000000000001E-3</v>
      </c>
      <c r="Q38" s="9">
        <v>4.1000000000000003E-3</v>
      </c>
      <c r="R38" s="9">
        <v>1.6999999999999999E-3</v>
      </c>
      <c r="S38" s="9">
        <v>2.5999999999999999E-3</v>
      </c>
      <c r="T38" s="9">
        <v>3.2000000000000002E-3</v>
      </c>
      <c r="U38" s="9">
        <v>3.7000000000000002E-3</v>
      </c>
      <c r="V38" s="9">
        <v>2.5000000000000001E-3</v>
      </c>
      <c r="W38" s="9">
        <v>1.6000000000000001E-3</v>
      </c>
      <c r="X38" s="9">
        <v>8.9999999999999998E-4</v>
      </c>
      <c r="Y38" s="9">
        <v>3.5000000000000001E-3</v>
      </c>
      <c r="Z38" s="9">
        <v>1.6000000000000001E-3</v>
      </c>
      <c r="AA38" s="9"/>
      <c r="AB38" s="9"/>
      <c r="AC38" s="9">
        <v>8.9999999999999998E-4</v>
      </c>
    </row>
    <row r="39" spans="1:29" x14ac:dyDescent="0.3">
      <c r="B39" s="5">
        <v>202505</v>
      </c>
      <c r="C39" s="5"/>
      <c r="D39" s="9">
        <v>2.5999999999999999E-3</v>
      </c>
      <c r="E39" s="9">
        <v>4.1000000000000003E-3</v>
      </c>
      <c r="F39" s="9">
        <v>2.5000000000000001E-3</v>
      </c>
      <c r="G39" s="9">
        <v>5.3E-3</v>
      </c>
      <c r="H39" s="9">
        <v>4.7000000000000002E-3</v>
      </c>
      <c r="I39" s="9">
        <v>2.7000000000000001E-3</v>
      </c>
      <c r="J39" s="9">
        <v>1.6000000000000001E-3</v>
      </c>
      <c r="K39" s="9">
        <v>3.0000000000000001E-3</v>
      </c>
      <c r="L39" s="9">
        <v>2.8E-3</v>
      </c>
      <c r="M39" s="9">
        <v>2.5000000000000001E-3</v>
      </c>
      <c r="N39" s="9">
        <v>2.7000000000000001E-3</v>
      </c>
      <c r="O39" s="9">
        <v>4.5999999999999999E-3</v>
      </c>
      <c r="P39" s="9">
        <v>4.1000000000000003E-3</v>
      </c>
      <c r="Q39" s="9">
        <v>4.1000000000000003E-3</v>
      </c>
      <c r="R39" s="9">
        <v>1.6999999999999999E-3</v>
      </c>
      <c r="S39" s="9">
        <v>2.3E-3</v>
      </c>
      <c r="T39" s="9">
        <v>2.2000000000000001E-3</v>
      </c>
      <c r="U39" s="9">
        <v>4.4000000000000003E-3</v>
      </c>
      <c r="V39" s="9">
        <v>2.3E-3</v>
      </c>
      <c r="W39" s="9">
        <v>1.6000000000000001E-3</v>
      </c>
      <c r="X39" s="9">
        <v>8.9999999999999998E-4</v>
      </c>
      <c r="Y39" s="9">
        <v>3.0999999999999999E-3</v>
      </c>
      <c r="Z39" s="9">
        <v>1.5E-3</v>
      </c>
      <c r="AA39" s="9"/>
      <c r="AB39" s="9"/>
      <c r="AC39" s="9">
        <v>8.9999999999999998E-4</v>
      </c>
    </row>
    <row r="40" spans="1:29" x14ac:dyDescent="0.3">
      <c r="B40" s="5">
        <v>202506</v>
      </c>
      <c r="C40" s="5"/>
      <c r="D40" s="9">
        <v>1.9E-3</v>
      </c>
      <c r="E40" s="9">
        <v>4.4999999999999997E-3</v>
      </c>
      <c r="F40" s="9">
        <v>1.6999999999999999E-3</v>
      </c>
      <c r="G40" s="9">
        <v>5.8999999999999999E-3</v>
      </c>
      <c r="H40" s="9">
        <v>5.4000000000000003E-3</v>
      </c>
      <c r="I40" s="9">
        <v>4.4999999999999997E-3</v>
      </c>
      <c r="J40" s="9">
        <v>2.5000000000000001E-3</v>
      </c>
      <c r="K40" s="9">
        <v>3.0000000000000001E-3</v>
      </c>
      <c r="L40" s="9">
        <v>1.2999999999999999E-3</v>
      </c>
      <c r="M40" s="9">
        <v>3.7000000000000002E-3</v>
      </c>
      <c r="N40" s="9">
        <v>2.5000000000000001E-3</v>
      </c>
      <c r="O40" s="9">
        <v>4.0000000000000001E-3</v>
      </c>
      <c r="P40" s="9">
        <v>2.7000000000000001E-3</v>
      </c>
      <c r="Q40" s="9">
        <v>3.8E-3</v>
      </c>
      <c r="R40" s="9">
        <v>1.5E-3</v>
      </c>
      <c r="S40" s="9">
        <v>1.6999999999999999E-3</v>
      </c>
      <c r="T40" s="9">
        <v>3.0000000000000001E-3</v>
      </c>
      <c r="U40" s="9">
        <v>3.5999999999999999E-3</v>
      </c>
      <c r="V40" s="9">
        <v>1.8E-3</v>
      </c>
      <c r="W40" s="9">
        <v>8.9999999999999998E-4</v>
      </c>
      <c r="X40" s="9">
        <v>5.9999999999999995E-4</v>
      </c>
      <c r="Y40" s="9">
        <v>1.6999999999999999E-3</v>
      </c>
      <c r="Z40" s="9">
        <v>1E-3</v>
      </c>
      <c r="AA40" s="9">
        <v>0</v>
      </c>
      <c r="AB40" s="9">
        <v>0</v>
      </c>
      <c r="AC40" s="9">
        <v>5.0000000000000001E-4</v>
      </c>
    </row>
    <row r="41" spans="1:29" x14ac:dyDescent="0.3">
      <c r="B41" s="5">
        <v>202507</v>
      </c>
      <c r="C41" s="5"/>
      <c r="D41" s="9">
        <v>2.3999999999999998E-3</v>
      </c>
      <c r="E41" s="9">
        <v>4.5999999999999999E-3</v>
      </c>
      <c r="F41" s="9">
        <v>2.2000000000000001E-3</v>
      </c>
      <c r="G41" s="9">
        <v>5.7999999999999996E-3</v>
      </c>
      <c r="H41" s="9">
        <v>4.3E-3</v>
      </c>
      <c r="I41" s="9">
        <v>4.4999999999999997E-3</v>
      </c>
      <c r="J41" s="9">
        <v>2.5000000000000001E-3</v>
      </c>
      <c r="K41" s="9">
        <v>5.1000000000000004E-3</v>
      </c>
      <c r="L41" s="9">
        <v>3.8E-3</v>
      </c>
      <c r="M41" s="9">
        <v>8.0999999999999996E-3</v>
      </c>
      <c r="N41" s="9">
        <v>2.8E-3</v>
      </c>
      <c r="O41" s="9">
        <v>4.4999999999999997E-3</v>
      </c>
      <c r="P41" s="9">
        <v>2E-3</v>
      </c>
      <c r="Q41" s="9">
        <v>4.8999999999999998E-3</v>
      </c>
      <c r="R41" s="9">
        <v>1.4E-3</v>
      </c>
      <c r="S41" s="9">
        <v>1.9E-3</v>
      </c>
      <c r="T41" s="9">
        <v>4.3E-3</v>
      </c>
      <c r="U41" s="9">
        <v>4.1999999999999997E-3</v>
      </c>
      <c r="V41" s="9">
        <v>4.4000000000000003E-3</v>
      </c>
      <c r="W41" s="9">
        <v>1.1000000000000001E-3</v>
      </c>
      <c r="X41" s="9">
        <v>5.0000000000000001E-4</v>
      </c>
      <c r="Y41" s="9">
        <v>2.0999999999999999E-3</v>
      </c>
      <c r="Z41" s="9">
        <v>1.1999999999999999E-3</v>
      </c>
      <c r="AA41" s="9">
        <v>8.9999999999999998E-4</v>
      </c>
      <c r="AB41" s="9">
        <v>8.0000000000000004E-4</v>
      </c>
      <c r="AC41" s="9">
        <v>6.9999999999999999E-4</v>
      </c>
    </row>
    <row r="42" spans="1:29" x14ac:dyDescent="0.3">
      <c r="B42" s="5">
        <v>202508</v>
      </c>
      <c r="C42" s="5"/>
      <c r="D42" s="9">
        <v>2E-3</v>
      </c>
      <c r="E42" s="9">
        <v>4.4000000000000003E-3</v>
      </c>
      <c r="F42" s="9">
        <v>1.8E-3</v>
      </c>
      <c r="G42" s="9">
        <v>6.6E-3</v>
      </c>
      <c r="H42" s="9">
        <v>3.8E-3</v>
      </c>
      <c r="I42" s="9">
        <v>2.7000000000000001E-3</v>
      </c>
      <c r="J42" s="9">
        <v>3.2000000000000002E-3</v>
      </c>
      <c r="K42" s="9">
        <v>4.1999999999999997E-3</v>
      </c>
      <c r="L42" s="9">
        <v>2.0999999999999999E-3</v>
      </c>
      <c r="M42" s="9">
        <v>2.5999999999999999E-3</v>
      </c>
      <c r="N42" s="9">
        <v>2.8999999999999998E-3</v>
      </c>
      <c r="O42" s="9">
        <v>5.1999999999999998E-3</v>
      </c>
      <c r="P42" s="9">
        <v>1.9E-3</v>
      </c>
      <c r="Q42" s="9">
        <v>2.3999999999999998E-3</v>
      </c>
      <c r="R42" s="9">
        <v>1.2999999999999999E-3</v>
      </c>
      <c r="S42" s="9">
        <v>1.9E-3</v>
      </c>
      <c r="T42" s="9">
        <v>3.0999999999999999E-3</v>
      </c>
      <c r="U42" s="9">
        <v>3.2000000000000002E-3</v>
      </c>
      <c r="V42" s="9">
        <v>2.3E-3</v>
      </c>
      <c r="W42" s="9">
        <v>1.1000000000000001E-3</v>
      </c>
      <c r="X42" s="9">
        <v>5.0000000000000001E-4</v>
      </c>
      <c r="Y42" s="9">
        <v>2.8E-3</v>
      </c>
      <c r="Z42" s="9">
        <v>1.2999999999999999E-3</v>
      </c>
      <c r="AA42" s="9">
        <v>1.1999999999999999E-3</v>
      </c>
      <c r="AB42" s="9">
        <v>6.9999999999999999E-4</v>
      </c>
      <c r="AC42" s="9">
        <v>5.9999999999999995E-4</v>
      </c>
    </row>
    <row r="43" spans="1:29" x14ac:dyDescent="0.3">
      <c r="B43" s="5">
        <v>202509</v>
      </c>
      <c r="C43" s="5"/>
      <c r="D43" s="9">
        <v>3.0000000000000001E-3</v>
      </c>
      <c r="E43" s="9">
        <v>8.8000000000000005E-3</v>
      </c>
      <c r="F43" s="9">
        <v>2.5000000000000001E-3</v>
      </c>
      <c r="G43" s="9">
        <v>1.7299999999999999E-2</v>
      </c>
      <c r="H43" s="9">
        <v>5.7000000000000002E-3</v>
      </c>
      <c r="I43" s="9">
        <v>9.1999999999999998E-3</v>
      </c>
      <c r="J43" s="9">
        <v>5.1000000000000004E-3</v>
      </c>
      <c r="K43" s="9">
        <v>4.4000000000000003E-3</v>
      </c>
      <c r="L43" s="9">
        <v>3.8999999999999998E-3</v>
      </c>
      <c r="M43" s="9">
        <v>2.0999999999999999E-3</v>
      </c>
      <c r="N43" s="9">
        <v>5.1999999999999998E-3</v>
      </c>
      <c r="O43" s="9">
        <v>5.0000000000000001E-3</v>
      </c>
      <c r="P43" s="9">
        <v>2.7000000000000001E-3</v>
      </c>
      <c r="Q43" s="9">
        <v>4.8999999999999998E-3</v>
      </c>
      <c r="R43" s="9">
        <v>2E-3</v>
      </c>
      <c r="S43" s="9">
        <v>2.5000000000000001E-3</v>
      </c>
      <c r="T43" s="9">
        <v>3.0999999999999999E-3</v>
      </c>
      <c r="U43" s="9">
        <v>4.5999999999999999E-3</v>
      </c>
      <c r="V43" s="9">
        <v>2.8E-3</v>
      </c>
      <c r="W43" s="9">
        <v>1.6999999999999999E-3</v>
      </c>
      <c r="X43" s="9">
        <v>1E-3</v>
      </c>
      <c r="Y43" s="9">
        <v>3.5999999999999999E-3</v>
      </c>
      <c r="Z43" s="9">
        <v>1.6000000000000001E-3</v>
      </c>
      <c r="AA43" s="9">
        <v>2.3E-3</v>
      </c>
      <c r="AB43" s="9">
        <v>1.1999999999999999E-3</v>
      </c>
      <c r="AC43" s="9">
        <v>1.1999999999999999E-3</v>
      </c>
    </row>
    <row r="44" spans="1:29" x14ac:dyDescent="0.3">
      <c r="B44" s="5">
        <v>202510</v>
      </c>
      <c r="C44" s="5"/>
      <c r="D44" s="9">
        <v>2.8E-3</v>
      </c>
      <c r="E44" s="9">
        <v>8.0000000000000002E-3</v>
      </c>
      <c r="F44" s="9">
        <v>2.3999999999999998E-3</v>
      </c>
      <c r="G44" s="9">
        <v>1.47E-2</v>
      </c>
      <c r="H44" s="9">
        <v>7.1000000000000004E-3</v>
      </c>
      <c r="I44" s="9">
        <v>1.12E-2</v>
      </c>
      <c r="J44" s="9">
        <v>2.8E-3</v>
      </c>
      <c r="K44" s="9">
        <v>2.0999999999999999E-3</v>
      </c>
      <c r="L44" s="9">
        <v>3.0000000000000001E-3</v>
      </c>
      <c r="M44" s="9">
        <v>2.5000000000000001E-3</v>
      </c>
      <c r="N44" s="9">
        <v>3.3999999999999998E-3</v>
      </c>
      <c r="O44" s="9">
        <v>5.5999999999999999E-3</v>
      </c>
      <c r="P44" s="9">
        <v>2.8999999999999998E-3</v>
      </c>
      <c r="Q44" s="9">
        <v>4.1999999999999997E-3</v>
      </c>
      <c r="R44" s="9">
        <v>2.3E-3</v>
      </c>
      <c r="S44" s="9">
        <v>2.5000000000000001E-3</v>
      </c>
      <c r="T44" s="9">
        <v>2.5999999999999999E-3</v>
      </c>
      <c r="U44" s="9">
        <v>3.3999999999999998E-3</v>
      </c>
      <c r="V44" s="9">
        <v>2.5000000000000001E-3</v>
      </c>
      <c r="W44" s="9">
        <v>2E-3</v>
      </c>
      <c r="X44" s="9">
        <v>1E-3</v>
      </c>
      <c r="Y44" s="9">
        <v>3.5000000000000001E-3</v>
      </c>
      <c r="Z44" s="9">
        <v>1.6999999999999999E-3</v>
      </c>
      <c r="AA44" s="9">
        <v>1.6999999999999999E-3</v>
      </c>
      <c r="AB44" s="9">
        <v>1.6000000000000001E-3</v>
      </c>
      <c r="AC44" s="9">
        <v>1.2999999999999999E-3</v>
      </c>
    </row>
    <row r="45" spans="1:29" x14ac:dyDescent="0.3">
      <c r="B45" s="5">
        <v>202511</v>
      </c>
      <c r="C45" s="5"/>
      <c r="D45" s="9">
        <v>2.3E-3</v>
      </c>
      <c r="E45" s="9">
        <v>3.5999999999999999E-3</v>
      </c>
      <c r="F45" s="9">
        <v>2.2000000000000001E-3</v>
      </c>
      <c r="G45" s="9">
        <v>5.0000000000000001E-3</v>
      </c>
      <c r="H45" s="9">
        <v>4.1000000000000003E-3</v>
      </c>
      <c r="I45" s="9">
        <v>6.6E-3</v>
      </c>
      <c r="J45" s="9">
        <v>1.9E-3</v>
      </c>
      <c r="K45" s="9">
        <v>2.0999999999999999E-3</v>
      </c>
      <c r="L45" s="9">
        <v>1.2999999999999999E-3</v>
      </c>
      <c r="M45" s="9">
        <v>2E-3</v>
      </c>
      <c r="N45" s="9">
        <v>2.5999999999999999E-3</v>
      </c>
      <c r="O45" s="9">
        <v>3.5000000000000001E-3</v>
      </c>
      <c r="P45" s="9">
        <v>2.5000000000000001E-3</v>
      </c>
      <c r="Q45" s="9">
        <v>3.5000000000000001E-3</v>
      </c>
      <c r="R45" s="9">
        <v>2.3E-3</v>
      </c>
      <c r="S45" s="9">
        <v>3.0000000000000001E-3</v>
      </c>
      <c r="T45" s="9">
        <v>2.3E-3</v>
      </c>
      <c r="U45" s="9">
        <v>3.0999999999999999E-3</v>
      </c>
      <c r="V45" s="9">
        <v>2.8E-3</v>
      </c>
      <c r="W45" s="9">
        <v>1.9E-3</v>
      </c>
      <c r="X45" s="9">
        <v>8.9999999999999998E-4</v>
      </c>
      <c r="Y45" s="9">
        <v>3.5000000000000001E-3</v>
      </c>
      <c r="Z45" s="9">
        <v>1.5E-3</v>
      </c>
      <c r="AA45" s="9">
        <v>1.1000000000000001E-3</v>
      </c>
      <c r="AB45" s="9">
        <v>1.1999999999999999E-3</v>
      </c>
      <c r="AC45" s="9">
        <v>1.4E-3</v>
      </c>
    </row>
    <row r="46" spans="1:29" x14ac:dyDescent="0.3">
      <c r="B46" s="5">
        <v>202512</v>
      </c>
      <c r="C46" s="5"/>
      <c r="D46" s="9">
        <v>2.5000000000000001E-3</v>
      </c>
      <c r="E46" s="9">
        <v>3.0999999999999999E-3</v>
      </c>
      <c r="F46" s="9">
        <v>2.3999999999999998E-3</v>
      </c>
      <c r="G46" s="9">
        <v>3.3999999999999998E-3</v>
      </c>
      <c r="H46" s="9">
        <v>3.2000000000000002E-3</v>
      </c>
      <c r="I46" s="9">
        <v>4.7000000000000002E-3</v>
      </c>
      <c r="J46" s="9">
        <v>8.9999999999999998E-4</v>
      </c>
      <c r="K46" s="9">
        <v>4.1999999999999997E-3</v>
      </c>
      <c r="L46" s="9">
        <v>2.5999999999999999E-3</v>
      </c>
      <c r="M46" s="9">
        <v>1.9E-3</v>
      </c>
      <c r="N46" s="9">
        <v>3.2000000000000002E-3</v>
      </c>
      <c r="O46" s="9">
        <v>4.4000000000000003E-3</v>
      </c>
      <c r="P46" s="9">
        <v>3.7000000000000002E-3</v>
      </c>
      <c r="Q46" s="9">
        <v>3.2000000000000002E-3</v>
      </c>
      <c r="R46" s="9">
        <v>2.5999999999999999E-3</v>
      </c>
      <c r="S46" s="9">
        <v>3.3999999999999998E-3</v>
      </c>
      <c r="T46" s="9">
        <v>2.5000000000000001E-3</v>
      </c>
      <c r="U46" s="9">
        <v>3.0999999999999999E-3</v>
      </c>
      <c r="V46" s="9">
        <v>3.2000000000000002E-3</v>
      </c>
      <c r="W46" s="9">
        <v>1.5E-3</v>
      </c>
      <c r="X46" s="9">
        <v>8.0000000000000004E-4</v>
      </c>
      <c r="Y46" s="9">
        <v>3.8999999999999998E-3</v>
      </c>
      <c r="Z46" s="9">
        <v>3.5999999999999999E-3</v>
      </c>
      <c r="AA46" s="9">
        <v>1.1000000000000001E-3</v>
      </c>
      <c r="AB46" s="9">
        <v>1E-3</v>
      </c>
      <c r="AC46" s="9">
        <v>8.9999999999999998E-4</v>
      </c>
    </row>
    <row r="47" spans="1:29" x14ac:dyDescent="0.3">
      <c r="B47" s="5">
        <v>202513</v>
      </c>
      <c r="C47" s="5"/>
      <c r="D47" s="9">
        <v>2.5000000000000001E-3</v>
      </c>
      <c r="E47" s="9">
        <v>3.0000000000000001E-3</v>
      </c>
      <c r="F47" s="9">
        <v>2.5000000000000001E-3</v>
      </c>
      <c r="G47" s="9">
        <v>3.0000000000000001E-3</v>
      </c>
      <c r="H47" s="9">
        <v>2.8999999999999998E-3</v>
      </c>
      <c r="I47" s="9">
        <v>4.7000000000000002E-3</v>
      </c>
      <c r="J47" s="9">
        <v>2.5999999999999999E-3</v>
      </c>
      <c r="K47" s="9">
        <v>4.4999999999999997E-3</v>
      </c>
      <c r="L47" s="9">
        <v>1.6999999999999999E-3</v>
      </c>
      <c r="M47" s="9">
        <v>2E-3</v>
      </c>
      <c r="N47" s="9">
        <v>3.5999999999999999E-3</v>
      </c>
      <c r="O47" s="9">
        <v>5.3E-3</v>
      </c>
      <c r="P47" s="9">
        <v>2.5000000000000001E-3</v>
      </c>
      <c r="Q47" s="9">
        <v>3.8E-3</v>
      </c>
      <c r="R47" s="9">
        <v>3.0000000000000001E-3</v>
      </c>
      <c r="S47" s="9">
        <v>3.5999999999999999E-3</v>
      </c>
      <c r="T47" s="9">
        <v>2.5000000000000001E-3</v>
      </c>
      <c r="U47" s="9">
        <v>3.5000000000000001E-3</v>
      </c>
      <c r="V47" s="9">
        <v>3.0999999999999999E-3</v>
      </c>
      <c r="W47" s="9">
        <v>2E-3</v>
      </c>
      <c r="X47" s="9">
        <v>1.1000000000000001E-3</v>
      </c>
      <c r="Y47" s="9">
        <v>3.7000000000000002E-3</v>
      </c>
      <c r="Z47" s="9">
        <v>1.8E-3</v>
      </c>
      <c r="AA47" s="9">
        <v>1.6999999999999999E-3</v>
      </c>
      <c r="AB47" s="9">
        <v>8.9999999999999998E-4</v>
      </c>
      <c r="AC47" s="9">
        <v>1E-3</v>
      </c>
    </row>
    <row r="48" spans="1:29" x14ac:dyDescent="0.3">
      <c r="B48" s="5">
        <v>202514</v>
      </c>
      <c r="C48" s="5"/>
      <c r="D48" s="9">
        <v>2.5999999999999999E-3</v>
      </c>
      <c r="E48" s="9">
        <v>4.1999999999999997E-3</v>
      </c>
      <c r="F48" s="9">
        <v>2.5000000000000001E-3</v>
      </c>
      <c r="G48" s="9">
        <v>4.8999999999999998E-3</v>
      </c>
      <c r="H48" s="9">
        <v>3.2000000000000002E-3</v>
      </c>
      <c r="I48" s="9">
        <v>2.8E-3</v>
      </c>
      <c r="J48" s="9">
        <v>6.1000000000000004E-3</v>
      </c>
      <c r="K48" s="9">
        <v>7.1000000000000004E-3</v>
      </c>
      <c r="L48" s="9">
        <v>8.9999999999999998E-4</v>
      </c>
      <c r="M48" s="9">
        <v>2.0999999999999999E-3</v>
      </c>
      <c r="N48" s="9">
        <v>3.7000000000000002E-3</v>
      </c>
      <c r="O48" s="9">
        <v>3.8999999999999998E-3</v>
      </c>
      <c r="P48" s="9">
        <v>2.5000000000000001E-3</v>
      </c>
      <c r="Q48" s="9">
        <v>-1</v>
      </c>
      <c r="R48" s="9">
        <v>2.8E-3</v>
      </c>
      <c r="S48" s="9">
        <v>3.5999999999999999E-3</v>
      </c>
      <c r="T48" s="9">
        <v>2.0999999999999999E-3</v>
      </c>
      <c r="U48" s="9">
        <v>3.2000000000000002E-3</v>
      </c>
      <c r="V48" s="9">
        <v>3.2000000000000002E-3</v>
      </c>
      <c r="W48" s="9">
        <v>2.3999999999999998E-3</v>
      </c>
      <c r="X48" s="9">
        <v>1.1999999999999999E-3</v>
      </c>
      <c r="Y48" s="9">
        <v>4.7999999999999996E-3</v>
      </c>
      <c r="Z48" s="9">
        <v>1.6999999999999999E-3</v>
      </c>
      <c r="AA48" s="9">
        <v>1.6999999999999999E-3</v>
      </c>
      <c r="AB48" s="9">
        <v>1.1000000000000001E-3</v>
      </c>
      <c r="AC48" s="9">
        <v>1.1000000000000001E-3</v>
      </c>
    </row>
    <row r="49" spans="2:29" ht="15" thickBot="1" x14ac:dyDescent="0.35">
      <c r="B49" s="5">
        <v>202515</v>
      </c>
      <c r="C49" s="5"/>
      <c r="D49" s="9">
        <v>2.5000000000000001E-3</v>
      </c>
      <c r="E49" s="9">
        <v>3.3E-3</v>
      </c>
      <c r="F49" s="9">
        <v>2.3999999999999998E-3</v>
      </c>
      <c r="G49" s="9">
        <v>5.1000000000000004E-3</v>
      </c>
      <c r="H49" s="9">
        <v>2.8E-3</v>
      </c>
      <c r="I49" s="9">
        <v>1.9E-3</v>
      </c>
      <c r="J49" s="9">
        <v>2.3999999999999998E-3</v>
      </c>
      <c r="K49" s="9">
        <v>3.0999999999999999E-3</v>
      </c>
      <c r="L49" s="9">
        <v>1.5E-3</v>
      </c>
      <c r="M49" s="9">
        <v>1.8E-3</v>
      </c>
      <c r="N49" s="9"/>
      <c r="O49" s="9">
        <v>5.3E-3</v>
      </c>
      <c r="P49" s="9">
        <v>2.5000000000000001E-3</v>
      </c>
      <c r="Q49" s="9"/>
      <c r="R49" s="9">
        <v>2.5000000000000001E-3</v>
      </c>
      <c r="S49" s="9">
        <v>3.7000000000000002E-3</v>
      </c>
      <c r="T49" s="9">
        <v>2.5999999999999999E-3</v>
      </c>
      <c r="U49" s="9">
        <v>2.8999999999999998E-3</v>
      </c>
      <c r="V49" s="9">
        <v>3.5999999999999999E-3</v>
      </c>
      <c r="W49" s="9">
        <v>2.5999999999999999E-3</v>
      </c>
      <c r="X49" s="9">
        <v>8.0000000000000004E-4</v>
      </c>
      <c r="Y49" s="9">
        <v>3.7000000000000002E-3</v>
      </c>
      <c r="Z49" s="9">
        <v>1.9E-3</v>
      </c>
      <c r="AA49" s="9">
        <v>1.4E-3</v>
      </c>
      <c r="AB49" s="9">
        <v>8.9999999999999998E-4</v>
      </c>
      <c r="AC49" s="9">
        <v>1.4E-3</v>
      </c>
    </row>
    <row r="50" spans="2:29" ht="15" thickBot="1" x14ac:dyDescent="0.35">
      <c r="B50" s="22" t="s">
        <v>82</v>
      </c>
      <c r="C50" s="22"/>
      <c r="D50" s="24">
        <f t="shared" ref="D50:AC50" si="23">AVERAGE(D35:D49)</f>
        <v>2.5466666666666671E-3</v>
      </c>
      <c r="E50" s="24">
        <f t="shared" si="23"/>
        <v>4.7399999999999994E-3</v>
      </c>
      <c r="F50" s="24">
        <f t="shared" si="23"/>
        <v>2.3599999999999997E-3</v>
      </c>
      <c r="G50" s="24">
        <f t="shared" si="23"/>
        <v>6.8600000000000015E-3</v>
      </c>
      <c r="H50" s="24">
        <f t="shared" si="23"/>
        <v>4.5266666666666667E-3</v>
      </c>
      <c r="I50" s="24">
        <f t="shared" si="23"/>
        <v>4.8866666666666659E-3</v>
      </c>
      <c r="J50" s="24">
        <f t="shared" si="23"/>
        <v>3.0933333333333329E-3</v>
      </c>
      <c r="K50" s="24">
        <f t="shared" si="23"/>
        <v>3.8399999999999992E-3</v>
      </c>
      <c r="L50" s="24">
        <f t="shared" si="23"/>
        <v>2.2533333333333338E-3</v>
      </c>
      <c r="M50" s="24">
        <f t="shared" si="23"/>
        <v>2.7799999999999999E-3</v>
      </c>
      <c r="N50" s="24">
        <f t="shared" si="23"/>
        <v>2.8785714285714287E-3</v>
      </c>
      <c r="O50" s="24">
        <f t="shared" si="23"/>
        <v>5.8266666666666666E-3</v>
      </c>
      <c r="P50" s="24">
        <f t="shared" si="23"/>
        <v>2.6533333333333335E-3</v>
      </c>
      <c r="Q50" s="24">
        <f t="shared" si="23"/>
        <v>-6.7871428571428569E-2</v>
      </c>
      <c r="R50" s="24">
        <f t="shared" si="23"/>
        <v>2.0199999999999997E-3</v>
      </c>
      <c r="S50" s="24">
        <f t="shared" si="23"/>
        <v>2.6800000000000001E-3</v>
      </c>
      <c r="T50" s="24">
        <f t="shared" si="23"/>
        <v>3.3399999999999997E-3</v>
      </c>
      <c r="U50" s="24">
        <f t="shared" si="23"/>
        <v>3.7533333333333329E-3</v>
      </c>
      <c r="V50" s="24">
        <f t="shared" si="23"/>
        <v>2.7999999999999995E-3</v>
      </c>
      <c r="W50" s="24">
        <f t="shared" si="23"/>
        <v>1.6733333333333331E-3</v>
      </c>
      <c r="X50" s="24">
        <f t="shared" si="23"/>
        <v>8.8666666666666679E-4</v>
      </c>
      <c r="Y50" s="24">
        <f t="shared" si="23"/>
        <v>3.2333333333333333E-3</v>
      </c>
      <c r="Z50" s="24">
        <f t="shared" si="23"/>
        <v>1.6866666666666666E-3</v>
      </c>
      <c r="AA50" s="24">
        <f t="shared" si="23"/>
        <v>1.31E-3</v>
      </c>
      <c r="AB50" s="24">
        <f t="shared" si="23"/>
        <v>9.3999999999999986E-4</v>
      </c>
      <c r="AC50" s="24">
        <f t="shared" si="23"/>
        <v>1.0133333333333333E-3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T51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45766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118</v>
      </c>
      <c r="C6" s="7">
        <v>8</v>
      </c>
      <c r="D6" s="7">
        <v>7</v>
      </c>
      <c r="E6" s="7">
        <v>1197</v>
      </c>
      <c r="F6" s="7">
        <v>1050</v>
      </c>
      <c r="G6" s="7">
        <v>3</v>
      </c>
      <c r="H6" s="9">
        <f t="shared" ref="H6:H12" si="0">IFERROR(G6/F6,0)</f>
        <v>2.8571428571428571E-3</v>
      </c>
      <c r="I6" s="9">
        <f>IFERROR((1197-F6)/1197,0)</f>
        <v>0.12280701754385964</v>
      </c>
      <c r="J6" s="7">
        <v>4620</v>
      </c>
      <c r="K6" s="11">
        <f t="shared" ref="K6:K12" si="1">IFERROR(J6/D6/F6*100,0)</f>
        <v>62.857142857142854</v>
      </c>
      <c r="L6" s="11">
        <f>K6-61.0501</f>
        <v>1.8070428571428536</v>
      </c>
      <c r="M6" s="11">
        <v>81</v>
      </c>
      <c r="N6" s="11">
        <f t="shared" ref="N6:N12" si="2">K6-M6</f>
        <v>-18.142857142857146</v>
      </c>
      <c r="O6" s="11">
        <f>IFERROR(119480/1197,0)</f>
        <v>99.81620718462824</v>
      </c>
      <c r="P6" s="11">
        <v>0</v>
      </c>
      <c r="Q6" s="11">
        <f t="shared" ref="Q6:Q11" si="3">IFERROR(O6-P6,0)</f>
        <v>99.81620718462824</v>
      </c>
      <c r="R6" s="7">
        <v>937</v>
      </c>
      <c r="S6" s="11">
        <f t="shared" ref="S6:S11" si="4">IFERROR(R6/D6/F6*1000,0)</f>
        <v>127.4829931972789</v>
      </c>
      <c r="T6" s="13">
        <f t="shared" ref="T6:T12" si="5">IFERROR(J6/R6,0)</f>
        <v>4.9306296691568834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202.81385281385278</v>
      </c>
      <c r="Z6" s="11">
        <f t="shared" ref="Z6:Z12" si="9">IFERROR(Y6*X6/1000,0)</f>
        <v>60.211376623376616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27</v>
      </c>
      <c r="AG6" s="7">
        <f t="shared" ref="AG6:AG11" si="10">IF(M6=0,0,IFERROR(N6/100*7*F6,0))</f>
        <v>-1333.5000000000002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78</v>
      </c>
      <c r="C7" s="7">
        <v>8</v>
      </c>
      <c r="D7" s="7">
        <v>7</v>
      </c>
      <c r="E7" s="7">
        <v>14440</v>
      </c>
      <c r="F7" s="7">
        <v>11436</v>
      </c>
      <c r="G7" s="7">
        <v>45</v>
      </c>
      <c r="H7" s="9">
        <f t="shared" si="0"/>
        <v>3.934942287513116E-3</v>
      </c>
      <c r="I7" s="9">
        <f>IFERROR((14440-F7)/14440,0)</f>
        <v>0.20803324099722992</v>
      </c>
      <c r="J7" s="7">
        <v>54780</v>
      </c>
      <c r="K7" s="11">
        <f t="shared" si="1"/>
        <v>68.430520161894776</v>
      </c>
      <c r="L7" s="11">
        <f>K7-65.9972</f>
        <v>2.4333201618947697</v>
      </c>
      <c r="M7" s="11">
        <v>81</v>
      </c>
      <c r="N7" s="11">
        <f t="shared" si="2"/>
        <v>-12.569479838105224</v>
      </c>
      <c r="O7" s="11">
        <f>IFERROR(4293790/14440,0)</f>
        <v>297.35387811634348</v>
      </c>
      <c r="P7" s="11">
        <v>0</v>
      </c>
      <c r="Q7" s="11">
        <f t="shared" si="3"/>
        <v>297.35387811634348</v>
      </c>
      <c r="R7" s="7">
        <v>10430</v>
      </c>
      <c r="S7" s="11">
        <f t="shared" si="4"/>
        <v>130.29031129765653</v>
      </c>
      <c r="T7" s="13">
        <f t="shared" si="5"/>
        <v>5.2521572387344202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190.39795545819641</v>
      </c>
      <c r="Z7" s="11">
        <f t="shared" si="9"/>
        <v>71.046997079225989</v>
      </c>
      <c r="AA7" s="7">
        <v>2066</v>
      </c>
      <c r="AB7" s="15">
        <f>IFERROR(AA7/1970,0)</f>
        <v>1.0487309644670051</v>
      </c>
      <c r="AC7" s="11">
        <v>0</v>
      </c>
      <c r="AD7" s="15">
        <f>IFERROR(AC7/64.6,0)</f>
        <v>0</v>
      </c>
      <c r="AE7" s="11">
        <v>0</v>
      </c>
      <c r="AF7" s="11">
        <v>27</v>
      </c>
      <c r="AG7" s="7">
        <f t="shared" si="10"/>
        <v>-10062.119999999994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78</v>
      </c>
      <c r="C8" s="7">
        <v>8</v>
      </c>
      <c r="D8" s="7">
        <v>7</v>
      </c>
      <c r="E8" s="7">
        <v>16063</v>
      </c>
      <c r="F8" s="7">
        <v>13348</v>
      </c>
      <c r="G8" s="7">
        <v>33</v>
      </c>
      <c r="H8" s="9">
        <f t="shared" si="0"/>
        <v>2.4722804914593948E-3</v>
      </c>
      <c r="I8" s="9">
        <f>IFERROR((16063-F8)/16063,0)</f>
        <v>0.16902197596961963</v>
      </c>
      <c r="J8" s="7">
        <v>60660</v>
      </c>
      <c r="K8" s="11">
        <f t="shared" si="1"/>
        <v>64.921443554946705</v>
      </c>
      <c r="L8" s="11">
        <f>K8-58.9001</f>
        <v>6.0213435549467036</v>
      </c>
      <c r="M8" s="11">
        <v>75</v>
      </c>
      <c r="N8" s="11">
        <f t="shared" si="2"/>
        <v>-10.078556445053295</v>
      </c>
      <c r="O8" s="11">
        <f>IFERROR(4458510/16063,0)</f>
        <v>277.56396688040837</v>
      </c>
      <c r="P8" s="11">
        <v>0</v>
      </c>
      <c r="Q8" s="11">
        <f t="shared" si="3"/>
        <v>277.56396688040837</v>
      </c>
      <c r="R8" s="7">
        <v>10920</v>
      </c>
      <c r="S8" s="11">
        <f t="shared" si="4"/>
        <v>116.87144141444411</v>
      </c>
      <c r="T8" s="13">
        <f t="shared" si="5"/>
        <v>5.5549450549450547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180.01978239366963</v>
      </c>
      <c r="Z8" s="11">
        <f t="shared" si="9"/>
        <v>66.607319485657754</v>
      </c>
      <c r="AA8" s="7">
        <v>1736</v>
      </c>
      <c r="AB8" s="15">
        <f>IFERROR(AA8/1580,0)</f>
        <v>1.09873417721519</v>
      </c>
      <c r="AC8" s="11">
        <v>0</v>
      </c>
      <c r="AD8" s="15">
        <f>IFERROR(AC8/63.5,0)</f>
        <v>0</v>
      </c>
      <c r="AE8" s="11">
        <v>0</v>
      </c>
      <c r="AF8" s="11">
        <v>27</v>
      </c>
      <c r="AG8" s="7">
        <f t="shared" si="10"/>
        <v>-9416.9999999999964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39</v>
      </c>
      <c r="C9" s="7"/>
      <c r="D9" s="7">
        <v>7</v>
      </c>
      <c r="E9" s="7">
        <v>4686</v>
      </c>
      <c r="F9" s="7">
        <v>4230</v>
      </c>
      <c r="G9" s="7">
        <v>8</v>
      </c>
      <c r="H9" s="9">
        <f t="shared" si="0"/>
        <v>1.8912529550827422E-3</v>
      </c>
      <c r="I9" s="9">
        <f>IFERROR((4686-F9)/4686,0)</f>
        <v>9.7311139564660698E-2</v>
      </c>
      <c r="J9" s="7">
        <v>29880</v>
      </c>
      <c r="K9" s="11">
        <f t="shared" si="1"/>
        <v>100.91185410334347</v>
      </c>
      <c r="L9" s="11">
        <f>K9-101.227</f>
        <v>-0.31514589665653148</v>
      </c>
      <c r="M9" s="11">
        <v>92.5</v>
      </c>
      <c r="N9" s="11">
        <f t="shared" si="2"/>
        <v>8.4118541033434724</v>
      </c>
      <c r="O9" s="11">
        <f>IFERROR(552210/4686,0)</f>
        <v>117.84250960307298</v>
      </c>
      <c r="P9" s="11">
        <v>130</v>
      </c>
      <c r="Q9" s="11">
        <f t="shared" si="3"/>
        <v>-12.157490396927017</v>
      </c>
      <c r="R9" s="7">
        <v>4784</v>
      </c>
      <c r="S9" s="11">
        <f t="shared" si="4"/>
        <v>161.56703816278284</v>
      </c>
      <c r="T9" s="13">
        <f t="shared" si="5"/>
        <v>6.2458193979933112</v>
      </c>
      <c r="U9" s="7">
        <v>5040</v>
      </c>
      <c r="V9" s="11">
        <f t="shared" si="6"/>
        <v>170.21276595744681</v>
      </c>
      <c r="W9" s="11">
        <f t="shared" si="7"/>
        <v>1.0535117056856187</v>
      </c>
      <c r="X9" s="11">
        <v>362.76</v>
      </c>
      <c r="Y9" s="11">
        <f t="shared" si="8"/>
        <v>160.10709504685406</v>
      </c>
      <c r="Z9" s="11">
        <f t="shared" si="9"/>
        <v>58.080449799196771</v>
      </c>
      <c r="AA9" s="7">
        <v>1886</v>
      </c>
      <c r="AB9" s="15">
        <f>IFERROR(AA9/1930,0)</f>
        <v>0.97720207253886016</v>
      </c>
      <c r="AC9" s="11">
        <v>0</v>
      </c>
      <c r="AD9" s="15">
        <f>IFERROR(AC9/62.4,0)</f>
        <v>0</v>
      </c>
      <c r="AE9" s="11">
        <v>15</v>
      </c>
      <c r="AF9" s="11">
        <v>28</v>
      </c>
      <c r="AG9" s="7">
        <f t="shared" si="10"/>
        <v>2490.7500000000018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78</v>
      </c>
      <c r="C10" s="7">
        <v>9</v>
      </c>
      <c r="D10" s="7">
        <v>7</v>
      </c>
      <c r="E10" s="7">
        <v>5000</v>
      </c>
      <c r="F10" s="7">
        <v>4179</v>
      </c>
      <c r="G10" s="7">
        <v>9</v>
      </c>
      <c r="H10" s="9">
        <f t="shared" si="0"/>
        <v>2.1536252692031586E-3</v>
      </c>
      <c r="I10" s="9">
        <f>IFERROR((5000-F10)/5000,0)</f>
        <v>0.16420000000000001</v>
      </c>
      <c r="J10" s="7">
        <v>27090</v>
      </c>
      <c r="K10" s="11">
        <f t="shared" si="1"/>
        <v>92.605886575735823</v>
      </c>
      <c r="L10" s="11">
        <f>K10-94.7605</f>
        <v>-2.1546134242641699</v>
      </c>
      <c r="M10" s="11">
        <v>83</v>
      </c>
      <c r="N10" s="11">
        <f t="shared" si="2"/>
        <v>9.6058865757358234</v>
      </c>
      <c r="O10" s="11">
        <f>IFERROR(1553720/5000,0)</f>
        <v>310.74400000000003</v>
      </c>
      <c r="P10" s="11">
        <v>0</v>
      </c>
      <c r="Q10" s="11">
        <f t="shared" si="3"/>
        <v>310.74400000000003</v>
      </c>
      <c r="R10" s="7">
        <v>4649</v>
      </c>
      <c r="S10" s="11">
        <f t="shared" si="4"/>
        <v>158.92387105596006</v>
      </c>
      <c r="T10" s="13">
        <f t="shared" si="5"/>
        <v>5.8270595827059584</v>
      </c>
      <c r="U10" s="7">
        <v>5040</v>
      </c>
      <c r="V10" s="11">
        <f t="shared" si="6"/>
        <v>172.29002153625271</v>
      </c>
      <c r="W10" s="11">
        <f t="shared" si="7"/>
        <v>1.084104108410411</v>
      </c>
      <c r="X10" s="11">
        <v>374.81</v>
      </c>
      <c r="Y10" s="11">
        <f t="shared" si="8"/>
        <v>171.61314138058324</v>
      </c>
      <c r="Z10" s="11">
        <f t="shared" si="9"/>
        <v>64.322321520856406</v>
      </c>
      <c r="AA10" s="7">
        <v>1983</v>
      </c>
      <c r="AB10" s="15">
        <f>IFERROR(AA10/1970,0)</f>
        <v>1.0065989847715735</v>
      </c>
      <c r="AC10" s="11">
        <v>0</v>
      </c>
      <c r="AD10" s="15">
        <f>IFERROR(AC10/64.6,0)</f>
        <v>0</v>
      </c>
      <c r="AE10" s="11">
        <v>15</v>
      </c>
      <c r="AF10" s="11">
        <v>25</v>
      </c>
      <c r="AG10" s="7">
        <f t="shared" si="10"/>
        <v>2810.0100000000007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39</v>
      </c>
      <c r="C11" s="7"/>
      <c r="D11" s="7">
        <v>7</v>
      </c>
      <c r="E11" s="7">
        <v>4819</v>
      </c>
      <c r="F11" s="7">
        <v>4607</v>
      </c>
      <c r="G11" s="7">
        <v>12</v>
      </c>
      <c r="H11" s="9">
        <f t="shared" si="0"/>
        <v>2.604731929672238E-3</v>
      </c>
      <c r="I11" s="9">
        <f>IFERROR((4819-F11)/4819,0)</f>
        <v>4.3992529570450301E-2</v>
      </c>
      <c r="J11" s="7">
        <v>30570</v>
      </c>
      <c r="K11" s="11">
        <f t="shared" si="1"/>
        <v>94.79363701200036</v>
      </c>
      <c r="L11" s="11">
        <f>K11-93.7742</f>
        <v>1.0194370120003668</v>
      </c>
      <c r="M11" s="11">
        <v>92.5</v>
      </c>
      <c r="N11" s="11">
        <f t="shared" si="2"/>
        <v>2.2936370120003602</v>
      </c>
      <c r="O11" s="11">
        <f>IFERROR(585056/4819,0)</f>
        <v>121.40610085079892</v>
      </c>
      <c r="P11" s="11">
        <v>130</v>
      </c>
      <c r="Q11" s="11">
        <f t="shared" si="3"/>
        <v>-8.5938991492010786</v>
      </c>
      <c r="R11" s="7">
        <v>5346</v>
      </c>
      <c r="S11" s="11">
        <f t="shared" si="4"/>
        <v>165.77258209556882</v>
      </c>
      <c r="T11" s="13">
        <f t="shared" si="5"/>
        <v>5.7182940516273852</v>
      </c>
      <c r="U11" s="7">
        <v>5040</v>
      </c>
      <c r="V11" s="11">
        <f t="shared" si="6"/>
        <v>156.28391578033427</v>
      </c>
      <c r="W11" s="11">
        <f t="shared" si="7"/>
        <v>0.94276094276094291</v>
      </c>
      <c r="X11" s="11">
        <v>362.76</v>
      </c>
      <c r="Y11" s="11">
        <f t="shared" si="8"/>
        <v>174.8773307163886</v>
      </c>
      <c r="Z11" s="11">
        <f t="shared" si="9"/>
        <v>63.438500490677129</v>
      </c>
      <c r="AA11" s="7">
        <v>1886</v>
      </c>
      <c r="AB11" s="15">
        <f>IFERROR(AA11/1930,0)</f>
        <v>0.97720207253886016</v>
      </c>
      <c r="AC11" s="11">
        <v>0</v>
      </c>
      <c r="AD11" s="15">
        <f>IFERROR(AC11/62.4,0)</f>
        <v>0</v>
      </c>
      <c r="AE11" s="11">
        <v>15</v>
      </c>
      <c r="AF11" s="11">
        <v>27</v>
      </c>
      <c r="AG11" s="7">
        <f t="shared" si="10"/>
        <v>739.6749999999962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38850</v>
      </c>
      <c r="G12" s="17">
        <f>SUM(G6:G11)</f>
        <v>110</v>
      </c>
      <c r="H12" s="18">
        <f t="shared" si="0"/>
        <v>2.8314028314028314E-3</v>
      </c>
      <c r="I12" s="18"/>
      <c r="J12" s="17">
        <f>SUM(J6:J11)</f>
        <v>207600</v>
      </c>
      <c r="K12" s="19">
        <f t="shared" si="1"/>
        <v>76.337562051847769</v>
      </c>
      <c r="L12" s="19"/>
      <c r="M12" s="19">
        <f>IFERROR(SUMPRODUCT($F6:$F11,M6:M11)/$F12, 0)</f>
        <v>81.769510939510937</v>
      </c>
      <c r="N12" s="19">
        <f t="shared" si="2"/>
        <v>-5.4319488876631681</v>
      </c>
      <c r="O12" s="19">
        <f>IFERROR(SUMPRODUCT($E6:$E11,O6:O11)/$E12, 0)</f>
        <v>250.24923709555242</v>
      </c>
      <c r="P12" s="19">
        <f>IFERROR(SUMPRODUCT($E6:$E11,P6:P11)/$E12, 0)</f>
        <v>26.742776755762364</v>
      </c>
      <c r="Q12" s="19">
        <f>IFERROR(SUMPRODUCT($E6:$E11,Q6:Q11)/$E12, 0)</f>
        <v>223.50646033979007</v>
      </c>
      <c r="R12" s="17">
        <f>SUM(R6:R11)</f>
        <v>37066</v>
      </c>
      <c r="S12" s="19">
        <f>IFERROR(R12/D12/$F12*1000,0)</f>
        <v>136.29711343997059</v>
      </c>
      <c r="T12" s="20">
        <f t="shared" si="5"/>
        <v>5.6008201586359467</v>
      </c>
      <c r="U12" s="17">
        <f>SUM(U6:U11)</f>
        <v>15120</v>
      </c>
      <c r="V12" s="19">
        <f>IFERROR(U12/D12/$F12*1000,0)</f>
        <v>55.598455598455594</v>
      </c>
      <c r="W12" s="19">
        <f t="shared" si="7"/>
        <v>0.40792100577348511</v>
      </c>
      <c r="X12" s="19">
        <f>IFERROR(SUMPRODUCT(R6:R11,X6:X11)/R12,0)</f>
        <v>367.66258970485075</v>
      </c>
      <c r="Y12" s="19">
        <f>IFERROR(($F12*S12)/($F12*K12)*100,0)</f>
        <v>178.54527938342966</v>
      </c>
      <c r="Z12" s="19">
        <f t="shared" si="9"/>
        <v>65.644419797687846</v>
      </c>
      <c r="AA12" s="17"/>
      <c r="AB12" s="21">
        <f>IFERROR(SUMPRODUCT($F6:$F11,AB6:AB11)/$F12,0)</f>
        <v>1.0167645554568685</v>
      </c>
      <c r="AC12" s="19"/>
      <c r="AD12" s="21">
        <f>AVERAGE(AD6:AD11)</f>
        <v>0</v>
      </c>
      <c r="AE12" s="19"/>
      <c r="AF12" s="19"/>
      <c r="AG12" s="17">
        <f>SUM(AG6:AG11)</f>
        <v>-14772.184999999992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78</v>
      </c>
      <c r="C14" s="6">
        <v>15</v>
      </c>
      <c r="D14" s="6">
        <v>7</v>
      </c>
      <c r="E14" s="6">
        <v>21388</v>
      </c>
      <c r="F14" s="6">
        <v>16755</v>
      </c>
      <c r="G14" s="6">
        <v>31</v>
      </c>
      <c r="H14" s="8">
        <f t="shared" ref="H14:H29" si="12">IFERROR(G14/F14,0)</f>
        <v>1.8501939719486721E-3</v>
      </c>
      <c r="I14" s="8">
        <f>IFERROR((21388-F14)/21388,0)</f>
        <v>0.21661679446418552</v>
      </c>
      <c r="J14" s="6">
        <v>93500</v>
      </c>
      <c r="K14" s="10">
        <f t="shared" ref="K14:K29" si="13">IFERROR(J14/D14/F14*100,0)</f>
        <v>79.720339344332174</v>
      </c>
      <c r="L14" s="10">
        <f>K14-78.8667</f>
        <v>0.85363934433217992</v>
      </c>
      <c r="M14" s="10">
        <v>85</v>
      </c>
      <c r="N14" s="10">
        <f t="shared" ref="N14:N29" si="14">K14-M14</f>
        <v>-5.2796606556678256</v>
      </c>
      <c r="O14" s="10">
        <f>IFERROR(4987430/21388,0)</f>
        <v>233.18823639423977</v>
      </c>
      <c r="P14" s="10">
        <v>0</v>
      </c>
      <c r="Q14" s="10">
        <f t="shared" ref="Q14:Q28" si="15">IFERROR(O14-P14,0)</f>
        <v>233.18823639423977</v>
      </c>
      <c r="R14" s="6">
        <v>12940</v>
      </c>
      <c r="S14" s="10">
        <f t="shared" ref="S14:S28" si="16">IFERROR(R14/D14/F14*1000,0)</f>
        <v>110.32953915675492</v>
      </c>
      <c r="T14" s="12">
        <f t="shared" ref="T14:T29" si="17">IFERROR(J14/R14,0)</f>
        <v>7.2256568778979906</v>
      </c>
      <c r="U14" s="6">
        <v>21120</v>
      </c>
      <c r="V14" s="10">
        <f t="shared" ref="V14:V28" si="18">IFERROR(U14/D14/F14*1000,0)</f>
        <v>180.074178283668</v>
      </c>
      <c r="W14" s="10">
        <f t="shared" ref="W14:W29" si="19">IFERROR(V14/S14,0)</f>
        <v>1.6321483771251932</v>
      </c>
      <c r="X14" s="10">
        <v>254.7</v>
      </c>
      <c r="Y14" s="10">
        <f t="shared" ref="Y14:Y28" si="20">IFERROR((F14*S14)/(F14*K14)*100,0)</f>
        <v>138.3957219251337</v>
      </c>
      <c r="Z14" s="10">
        <f t="shared" ref="Z14:Z29" si="21">IFERROR(Y14*X14/1000,0)</f>
        <v>35.249390374331554</v>
      </c>
      <c r="AA14" s="6">
        <v>2160</v>
      </c>
      <c r="AB14" s="14">
        <f>IFERROR(AA14/1580,0)</f>
        <v>1.3670886075949367</v>
      </c>
      <c r="AC14" s="10">
        <v>64.599999999999994</v>
      </c>
      <c r="AD14" s="14">
        <f>IFERROR(AC14/63.5,0)</f>
        <v>1.0173228346456693</v>
      </c>
      <c r="AE14" s="10">
        <v>22</v>
      </c>
      <c r="AF14" s="10">
        <v>25</v>
      </c>
      <c r="AG14" s="6">
        <f t="shared" ref="AG14:AG28" si="22">IF(M14=0,0,IFERROR(N14/100*7*F14,0))</f>
        <v>-6192.2500000000091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38</v>
      </c>
      <c r="C15" s="7"/>
      <c r="D15" s="7">
        <v>7</v>
      </c>
      <c r="E15" s="7">
        <v>10225</v>
      </c>
      <c r="F15" s="7">
        <v>9135</v>
      </c>
      <c r="G15" s="7">
        <v>46</v>
      </c>
      <c r="H15" s="9">
        <f t="shared" si="12"/>
        <v>5.0355774493705532E-3</v>
      </c>
      <c r="I15" s="9">
        <f>IFERROR((10225-F15)/10225,0)</f>
        <v>0.10660146699266504</v>
      </c>
      <c r="J15" s="7">
        <v>55740</v>
      </c>
      <c r="K15" s="11">
        <f t="shared" si="13"/>
        <v>87.168660567675346</v>
      </c>
      <c r="L15" s="11">
        <f>K15-87.8056</f>
        <v>-0.63693943232465244</v>
      </c>
      <c r="M15" s="11">
        <v>93.5</v>
      </c>
      <c r="N15" s="11">
        <f t="shared" si="14"/>
        <v>-6.3313394323246541</v>
      </c>
      <c r="O15" s="11">
        <f>IFERROR(1070690/10225,0)</f>
        <v>104.71295843520782</v>
      </c>
      <c r="P15" s="11">
        <v>124</v>
      </c>
      <c r="Q15" s="11">
        <f t="shared" si="15"/>
        <v>-19.287041564792176</v>
      </c>
      <c r="R15" s="7">
        <v>8250</v>
      </c>
      <c r="S15" s="11">
        <f t="shared" si="16"/>
        <v>129.01712409101575</v>
      </c>
      <c r="T15" s="13">
        <f t="shared" si="17"/>
        <v>6.7563636363636368</v>
      </c>
      <c r="U15" s="7">
        <v>12680</v>
      </c>
      <c r="V15" s="11">
        <f t="shared" si="18"/>
        <v>198.29541011807021</v>
      </c>
      <c r="W15" s="11">
        <f t="shared" si="19"/>
        <v>1.5369696969696967</v>
      </c>
      <c r="X15" s="11">
        <v>253.6757142857</v>
      </c>
      <c r="Y15" s="11">
        <f t="shared" si="20"/>
        <v>148.00861141011842</v>
      </c>
      <c r="Z15" s="11">
        <f t="shared" si="21"/>
        <v>37.546190219896395</v>
      </c>
      <c r="AA15" s="7">
        <v>2020</v>
      </c>
      <c r="AB15" s="15">
        <f>IFERROR(AA15/1920,0)</f>
        <v>1.0520833333333333</v>
      </c>
      <c r="AC15" s="11">
        <v>62.1</v>
      </c>
      <c r="AD15" s="15">
        <f>IFERROR(AC15/62.1,0)</f>
        <v>1</v>
      </c>
      <c r="AE15" s="11">
        <v>23</v>
      </c>
      <c r="AF15" s="11">
        <v>31</v>
      </c>
      <c r="AG15" s="7">
        <f t="shared" si="22"/>
        <v>-4048.5749999999994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67</v>
      </c>
      <c r="C16" s="7"/>
      <c r="D16" s="7">
        <v>7</v>
      </c>
      <c r="E16" s="7">
        <v>56050</v>
      </c>
      <c r="F16" s="7">
        <v>50290</v>
      </c>
      <c r="G16" s="7">
        <v>126</v>
      </c>
      <c r="H16" s="9">
        <f t="shared" si="12"/>
        <v>2.5054682839530723E-3</v>
      </c>
      <c r="I16" s="9">
        <f>IFERROR((56050-F16)/56050,0)</f>
        <v>0.10276538804638716</v>
      </c>
      <c r="J16" s="7">
        <v>327070</v>
      </c>
      <c r="K16" s="11">
        <f t="shared" si="13"/>
        <v>92.909695196432125</v>
      </c>
      <c r="L16" s="11">
        <f>K16-95.6499</f>
        <v>-2.7402048035678774</v>
      </c>
      <c r="M16" s="11">
        <v>89.3</v>
      </c>
      <c r="N16" s="11">
        <f t="shared" si="14"/>
        <v>3.6096951964321278</v>
      </c>
      <c r="O16" s="11">
        <f>IFERROR(16489711/56050,0)</f>
        <v>294.19644959857271</v>
      </c>
      <c r="P16" s="11">
        <v>298</v>
      </c>
      <c r="Q16" s="11">
        <f t="shared" si="15"/>
        <v>-3.8035504014272874</v>
      </c>
      <c r="R16" s="7">
        <v>41330</v>
      </c>
      <c r="S16" s="11">
        <f t="shared" si="16"/>
        <v>117.40476663920688</v>
      </c>
      <c r="T16" s="13">
        <f t="shared" si="17"/>
        <v>7.9136220662956687</v>
      </c>
      <c r="U16" s="7">
        <v>63900</v>
      </c>
      <c r="V16" s="11">
        <f t="shared" si="18"/>
        <v>181.51862057211036</v>
      </c>
      <c r="W16" s="11">
        <f t="shared" si="19"/>
        <v>1.5460924268086138</v>
      </c>
      <c r="X16" s="11">
        <v>272.6757142857</v>
      </c>
      <c r="Y16" s="11">
        <f t="shared" si="20"/>
        <v>126.36438682850766</v>
      </c>
      <c r="Z16" s="11">
        <f t="shared" si="21"/>
        <v>34.456499438737822</v>
      </c>
      <c r="AA16" s="7">
        <v>1790</v>
      </c>
      <c r="AB16" s="15">
        <f>IFERROR(AA16/1725,0)</f>
        <v>1.0376811594202899</v>
      </c>
      <c r="AC16" s="11">
        <v>0</v>
      </c>
      <c r="AD16" s="15">
        <f>IFERROR(AC16/63.5,0)</f>
        <v>0</v>
      </c>
      <c r="AE16" s="11">
        <v>21</v>
      </c>
      <c r="AF16" s="11">
        <v>26</v>
      </c>
      <c r="AG16" s="7">
        <f t="shared" si="22"/>
        <v>12707.210000000019</v>
      </c>
      <c r="AH16" s="7">
        <v>3</v>
      </c>
      <c r="AI16" s="7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IFERROR(1470/F16,0)</f>
        <v>2.9230463312785841E-2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60</v>
      </c>
      <c r="C17" s="7"/>
      <c r="D17" s="7">
        <v>7</v>
      </c>
      <c r="E17" s="7">
        <v>51536</v>
      </c>
      <c r="F17" s="7">
        <v>48007</v>
      </c>
      <c r="G17" s="7">
        <v>135</v>
      </c>
      <c r="H17" s="9">
        <f t="shared" si="12"/>
        <v>2.8120899035557314E-3</v>
      </c>
      <c r="I17" s="9">
        <f>IFERROR((51536-F17)/51536,0)</f>
        <v>6.847640484321639E-2</v>
      </c>
      <c r="J17" s="7">
        <v>302000</v>
      </c>
      <c r="K17" s="11">
        <f t="shared" si="13"/>
        <v>89.867846653315439</v>
      </c>
      <c r="L17" s="11">
        <f>K17-93.2242</f>
        <v>-3.356353346684557</v>
      </c>
      <c r="M17" s="11">
        <v>91.4</v>
      </c>
      <c r="N17" s="11">
        <f t="shared" si="14"/>
        <v>-1.5321533466845665</v>
      </c>
      <c r="O17" s="11">
        <f>IFERROR(12791962/51536,0)</f>
        <v>248.21410276311704</v>
      </c>
      <c r="P17" s="11">
        <v>257</v>
      </c>
      <c r="Q17" s="11">
        <f t="shared" si="15"/>
        <v>-8.7858972368829598</v>
      </c>
      <c r="R17" s="7">
        <v>39720</v>
      </c>
      <c r="S17" s="11">
        <f t="shared" si="16"/>
        <v>118.19704864469171</v>
      </c>
      <c r="T17" s="13">
        <f t="shared" si="17"/>
        <v>7.6032225579053376</v>
      </c>
      <c r="U17" s="7">
        <v>70626</v>
      </c>
      <c r="V17" s="11">
        <f t="shared" si="18"/>
        <v>210.16577939526672</v>
      </c>
      <c r="W17" s="11">
        <f t="shared" si="19"/>
        <v>1.7780966767371598</v>
      </c>
      <c r="X17" s="11">
        <v>258.56285714289999</v>
      </c>
      <c r="Y17" s="11">
        <f t="shared" si="20"/>
        <v>131.523178807947</v>
      </c>
      <c r="Z17" s="11">
        <f t="shared" si="21"/>
        <v>34.007008893099297</v>
      </c>
      <c r="AA17" s="7">
        <v>1696</v>
      </c>
      <c r="AB17" s="15">
        <f>IFERROR(AA17/1725,0)</f>
        <v>0.98318840579710143</v>
      </c>
      <c r="AC17" s="11">
        <v>0</v>
      </c>
      <c r="AD17" s="15">
        <f>IFERROR(AC17/63.2,0)</f>
        <v>0</v>
      </c>
      <c r="AE17" s="11">
        <v>21</v>
      </c>
      <c r="AF17" s="11">
        <v>26</v>
      </c>
      <c r="AG17" s="7">
        <f t="shared" si="22"/>
        <v>-5148.7860000000182</v>
      </c>
      <c r="AH17" s="7">
        <v>19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IFERROR(150/F17,0)</f>
        <v>3.1245443372841459E-3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108</v>
      </c>
      <c r="C18" s="7">
        <v>38</v>
      </c>
      <c r="D18" s="7">
        <v>7</v>
      </c>
      <c r="E18" s="7">
        <v>51311</v>
      </c>
      <c r="F18" s="7">
        <v>38798</v>
      </c>
      <c r="G18" s="7">
        <v>155</v>
      </c>
      <c r="H18" s="9">
        <f t="shared" si="12"/>
        <v>3.9950512913036751E-3</v>
      </c>
      <c r="I18" s="9">
        <f>IFERROR((51311-F18)/51311,0)</f>
        <v>0.24386583773459883</v>
      </c>
      <c r="J18" s="7">
        <v>211220</v>
      </c>
      <c r="K18" s="11">
        <f t="shared" si="13"/>
        <v>77.772786520660119</v>
      </c>
      <c r="L18" s="11">
        <f>K18-82.6637</f>
        <v>-4.8909134793398863</v>
      </c>
      <c r="M18" s="11">
        <v>70</v>
      </c>
      <c r="N18" s="11">
        <f t="shared" si="14"/>
        <v>7.7727865206601194</v>
      </c>
      <c r="O18" s="11">
        <f>IFERROR(23825869/51311,0)</f>
        <v>464.34232425795636</v>
      </c>
      <c r="P18" s="11">
        <v>0</v>
      </c>
      <c r="Q18" s="11">
        <f t="shared" si="15"/>
        <v>464.34232425795636</v>
      </c>
      <c r="R18" s="7">
        <v>33030</v>
      </c>
      <c r="S18" s="11">
        <f t="shared" si="16"/>
        <v>121.61893470208332</v>
      </c>
      <c r="T18" s="13">
        <f t="shared" si="17"/>
        <v>6.3947926127762642</v>
      </c>
      <c r="U18" s="7">
        <v>50860</v>
      </c>
      <c r="V18" s="11">
        <f t="shared" si="18"/>
        <v>187.27033057668658</v>
      </c>
      <c r="W18" s="11">
        <f t="shared" si="19"/>
        <v>1.5398122918558885</v>
      </c>
      <c r="X18" s="11">
        <v>270.4857142857</v>
      </c>
      <c r="Y18" s="11">
        <f t="shared" si="20"/>
        <v>156.37723700407159</v>
      </c>
      <c r="Z18" s="11">
        <f t="shared" si="21"/>
        <v>42.297808649070504</v>
      </c>
      <c r="AA18" s="7">
        <v>1710</v>
      </c>
      <c r="AB18" s="15">
        <f>IFERROR(AA18/0,0)</f>
        <v>0</v>
      </c>
      <c r="AC18" s="11">
        <v>0</v>
      </c>
      <c r="AD18" s="15">
        <f>IFERROR(AC18/0,0)</f>
        <v>0</v>
      </c>
      <c r="AE18" s="11">
        <v>21</v>
      </c>
      <c r="AF18" s="11">
        <v>26</v>
      </c>
      <c r="AG18" s="7">
        <f t="shared" si="22"/>
        <v>21109.799999999992</v>
      </c>
      <c r="AH18" s="7">
        <v>25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IFERROR(200/F18,0)</f>
        <v>5.1549048920047427E-3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39</v>
      </c>
      <c r="C19" s="7"/>
      <c r="D19" s="7">
        <v>7</v>
      </c>
      <c r="E19" s="7">
        <v>52424</v>
      </c>
      <c r="F19" s="7">
        <v>50506</v>
      </c>
      <c r="G19" s="7">
        <v>171</v>
      </c>
      <c r="H19" s="9">
        <f t="shared" si="12"/>
        <v>3.3857363481566548E-3</v>
      </c>
      <c r="I19" s="9">
        <f>IFERROR((52424-F19)/52424,0)</f>
        <v>3.6586296352815503E-2</v>
      </c>
      <c r="J19" s="7">
        <v>320540</v>
      </c>
      <c r="K19" s="11">
        <f t="shared" si="13"/>
        <v>90.665324063336186</v>
      </c>
      <c r="L19" s="11">
        <f>K19-95.6873</f>
        <v>-5.0219759366638073</v>
      </c>
      <c r="M19" s="11">
        <v>95.35</v>
      </c>
      <c r="N19" s="11">
        <f t="shared" si="14"/>
        <v>-4.6846759366638082</v>
      </c>
      <c r="O19" s="11">
        <f>IFERROR(6194740/52424,0)</f>
        <v>118.16610712650694</v>
      </c>
      <c r="P19" s="11">
        <v>125</v>
      </c>
      <c r="Q19" s="11">
        <f t="shared" si="15"/>
        <v>-6.8338928734930562</v>
      </c>
      <c r="R19" s="7">
        <v>38567</v>
      </c>
      <c r="S19" s="11">
        <f t="shared" si="16"/>
        <v>109.0874634414016</v>
      </c>
      <c r="T19" s="13">
        <f t="shared" si="17"/>
        <v>8.3112505509891879</v>
      </c>
      <c r="U19" s="7">
        <v>64065</v>
      </c>
      <c r="V19" s="11">
        <f t="shared" si="18"/>
        <v>181.20902184181796</v>
      </c>
      <c r="W19" s="11">
        <f t="shared" si="19"/>
        <v>1.6611351673710686</v>
      </c>
      <c r="X19" s="11">
        <v>270.31714285710001</v>
      </c>
      <c r="Y19" s="11">
        <f t="shared" si="20"/>
        <v>120.31883696262557</v>
      </c>
      <c r="Z19" s="11">
        <f t="shared" si="21"/>
        <v>32.524244239626178</v>
      </c>
      <c r="AA19" s="7">
        <v>1733</v>
      </c>
      <c r="AB19" s="15">
        <f>IFERROR(AA19/1700,0)</f>
        <v>1.0194117647058825</v>
      </c>
      <c r="AC19" s="11">
        <v>61.42</v>
      </c>
      <c r="AD19" s="15">
        <f>IFERROR(AC19/61.65,0)</f>
        <v>0.99626926196269272</v>
      </c>
      <c r="AE19" s="11">
        <v>23</v>
      </c>
      <c r="AF19" s="11">
        <v>26</v>
      </c>
      <c r="AG19" s="7">
        <f t="shared" si="22"/>
        <v>-16562.296999999962</v>
      </c>
      <c r="AH19" s="7">
        <v>34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IFERROR(1050/F19,0)</f>
        <v>2.0789609155347881E-2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29</v>
      </c>
      <c r="C20" s="7"/>
      <c r="D20" s="7">
        <v>7</v>
      </c>
      <c r="E20" s="7">
        <v>50525</v>
      </c>
      <c r="F20" s="7">
        <v>49700</v>
      </c>
      <c r="G20" s="7">
        <v>82</v>
      </c>
      <c r="H20" s="9">
        <f t="shared" si="12"/>
        <v>1.6498993963782696E-3</v>
      </c>
      <c r="I20" s="9">
        <f>IFERROR((50525-F20)/50525,0)</f>
        <v>1.6328550222662049E-2</v>
      </c>
      <c r="J20" s="7">
        <v>319400</v>
      </c>
      <c r="K20" s="11">
        <f t="shared" si="13"/>
        <v>91.807990801954588</v>
      </c>
      <c r="L20" s="11">
        <f>K20-90.9279</f>
        <v>0.88009080195459433</v>
      </c>
      <c r="M20" s="11">
        <v>96</v>
      </c>
      <c r="N20" s="11">
        <f t="shared" si="14"/>
        <v>-4.1920091980454117</v>
      </c>
      <c r="O20" s="11">
        <f>IFERROR(2680660/50525,0)</f>
        <v>53.056110836219695</v>
      </c>
      <c r="P20" s="11">
        <v>60</v>
      </c>
      <c r="Q20" s="11">
        <f t="shared" si="15"/>
        <v>-6.9438891637803053</v>
      </c>
      <c r="R20" s="7">
        <v>39990</v>
      </c>
      <c r="S20" s="11">
        <f t="shared" si="16"/>
        <v>114.94682379994252</v>
      </c>
      <c r="T20" s="13">
        <f t="shared" si="17"/>
        <v>7.9869967491872966</v>
      </c>
      <c r="U20" s="7">
        <v>71273</v>
      </c>
      <c r="V20" s="11">
        <f t="shared" si="18"/>
        <v>204.86634090255819</v>
      </c>
      <c r="W20" s="11">
        <f t="shared" si="19"/>
        <v>1.7822705676419102</v>
      </c>
      <c r="X20" s="11">
        <v>257.13571428569998</v>
      </c>
      <c r="Y20" s="11">
        <f t="shared" si="20"/>
        <v>125.20350657482781</v>
      </c>
      <c r="Z20" s="11">
        <f t="shared" si="21"/>
        <v>32.19429309419268</v>
      </c>
      <c r="AA20" s="7">
        <v>1643</v>
      </c>
      <c r="AB20" s="15">
        <f>IFERROR(AA20/1530,0)</f>
        <v>1.0738562091503268</v>
      </c>
      <c r="AC20" s="11">
        <v>58.01</v>
      </c>
      <c r="AD20" s="15">
        <f>IFERROR(AC20/57,0)</f>
        <v>1.017719298245614</v>
      </c>
      <c r="AE20" s="11">
        <v>22</v>
      </c>
      <c r="AF20" s="11">
        <v>27</v>
      </c>
      <c r="AG20" s="7">
        <f t="shared" si="22"/>
        <v>-14583.999999999989</v>
      </c>
      <c r="AH20" s="7">
        <v>28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48</v>
      </c>
      <c r="C21" s="7"/>
      <c r="D21" s="7">
        <v>7</v>
      </c>
      <c r="E21" s="7">
        <v>50845</v>
      </c>
      <c r="F21" s="7">
        <v>49217</v>
      </c>
      <c r="G21" s="7">
        <v>66</v>
      </c>
      <c r="H21" s="9">
        <f t="shared" si="12"/>
        <v>1.3410000609545482E-3</v>
      </c>
      <c r="I21" s="9">
        <f>IFERROR((50845-F21)/50845,0)</f>
        <v>3.2018880912577444E-2</v>
      </c>
      <c r="J21" s="7">
        <v>320840</v>
      </c>
      <c r="K21" s="11">
        <f t="shared" si="13"/>
        <v>93.126939297977756</v>
      </c>
      <c r="L21" s="11">
        <f>K21-100.4635</f>
        <v>-7.3365607020222399</v>
      </c>
      <c r="M21" s="11">
        <v>94.35</v>
      </c>
      <c r="N21" s="11">
        <f t="shared" si="14"/>
        <v>-1.2230607020222379</v>
      </c>
      <c r="O21" s="11">
        <f>IFERROR(9055560/50845,0)</f>
        <v>178.10128822893105</v>
      </c>
      <c r="P21" s="11">
        <v>182</v>
      </c>
      <c r="Q21" s="11">
        <f t="shared" si="15"/>
        <v>-3.8987117710689461</v>
      </c>
      <c r="R21" s="7">
        <v>41408</v>
      </c>
      <c r="S21" s="11">
        <f t="shared" si="16"/>
        <v>120.19075870996954</v>
      </c>
      <c r="T21" s="13">
        <f t="shared" si="17"/>
        <v>7.748261205564142</v>
      </c>
      <c r="U21" s="7">
        <v>68100</v>
      </c>
      <c r="V21" s="11">
        <f t="shared" si="18"/>
        <v>197.66689210174187</v>
      </c>
      <c r="W21" s="11">
        <f t="shared" si="19"/>
        <v>1.6446097372488411</v>
      </c>
      <c r="X21" s="11">
        <v>258.00857142860002</v>
      </c>
      <c r="Y21" s="11">
        <f t="shared" si="20"/>
        <v>129.06121431242988</v>
      </c>
      <c r="Z21" s="11">
        <f t="shared" si="21"/>
        <v>33.298899531590415</v>
      </c>
      <c r="AA21" s="7">
        <v>1695</v>
      </c>
      <c r="AB21" s="15">
        <f>IFERROR(AA21/1720,0)</f>
        <v>0.98546511627906974</v>
      </c>
      <c r="AC21" s="11">
        <v>62.23</v>
      </c>
      <c r="AD21" s="15">
        <f>IFERROR(AC21/62.55,0)</f>
        <v>0.99488409272581935</v>
      </c>
      <c r="AE21" s="11">
        <v>19</v>
      </c>
      <c r="AF21" s="11">
        <v>26</v>
      </c>
      <c r="AG21" s="7">
        <f t="shared" si="22"/>
        <v>-4213.6764999999932</v>
      </c>
      <c r="AH21" s="7">
        <v>34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39</v>
      </c>
      <c r="C22" s="7"/>
      <c r="D22" s="7">
        <v>7</v>
      </c>
      <c r="E22" s="7">
        <v>21875</v>
      </c>
      <c r="F22" s="7">
        <v>21352</v>
      </c>
      <c r="G22" s="7">
        <v>26</v>
      </c>
      <c r="H22" s="9">
        <f t="shared" si="12"/>
        <v>1.2176845260397152E-3</v>
      </c>
      <c r="I22" s="9">
        <f>IFERROR((21875-F22)/21875,0)</f>
        <v>2.3908571428571428E-2</v>
      </c>
      <c r="J22" s="7">
        <v>138240</v>
      </c>
      <c r="K22" s="11">
        <f t="shared" si="13"/>
        <v>92.490499384467157</v>
      </c>
      <c r="L22" s="11">
        <f>K22-92.4983</f>
        <v>-7.8006155328438354E-3</v>
      </c>
      <c r="M22" s="11">
        <v>92.5</v>
      </c>
      <c r="N22" s="11">
        <f t="shared" si="14"/>
        <v>-9.5006155328434261E-3</v>
      </c>
      <c r="O22" s="11">
        <f>IFERROR(2864490/21875,0)</f>
        <v>130.9481142857143</v>
      </c>
      <c r="P22" s="11">
        <v>130</v>
      </c>
      <c r="Q22" s="11">
        <f t="shared" si="15"/>
        <v>0.94811428571429701</v>
      </c>
      <c r="R22" s="7">
        <v>17440</v>
      </c>
      <c r="S22" s="11">
        <f t="shared" si="16"/>
        <v>116.68361612160788</v>
      </c>
      <c r="T22" s="13">
        <f t="shared" si="17"/>
        <v>7.9266055045871564</v>
      </c>
      <c r="U22" s="7">
        <v>32032</v>
      </c>
      <c r="V22" s="11">
        <f t="shared" si="18"/>
        <v>214.31247658298989</v>
      </c>
      <c r="W22" s="11">
        <f t="shared" si="19"/>
        <v>1.8366972477064221</v>
      </c>
      <c r="X22" s="11">
        <v>256.97000000000003</v>
      </c>
      <c r="Y22" s="11">
        <f t="shared" si="20"/>
        <v>126.15740740740742</v>
      </c>
      <c r="Z22" s="11">
        <f t="shared" si="21"/>
        <v>32.418668981481488</v>
      </c>
      <c r="AA22" s="7">
        <v>2075</v>
      </c>
      <c r="AB22" s="15">
        <f>IFERROR(AA22/1930,0)</f>
        <v>1.0751295336787565</v>
      </c>
      <c r="AC22" s="11">
        <v>62.26</v>
      </c>
      <c r="AD22" s="15">
        <f>IFERROR(AC22/62.4,0)</f>
        <v>0.99775641025641026</v>
      </c>
      <c r="AE22" s="11">
        <v>23</v>
      </c>
      <c r="AF22" s="11">
        <v>26</v>
      </c>
      <c r="AG22" s="7">
        <f t="shared" si="22"/>
        <v>-14.200000000009098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IFERROR(490/F22,0)</f>
        <v>2.2948669913825402E-2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67</v>
      </c>
      <c r="B23" s="5">
        <v>98</v>
      </c>
      <c r="C23" s="7">
        <v>31</v>
      </c>
      <c r="D23" s="7">
        <v>7</v>
      </c>
      <c r="E23" s="7">
        <v>51833</v>
      </c>
      <c r="F23" s="7">
        <v>41074</v>
      </c>
      <c r="G23" s="7">
        <v>178</v>
      </c>
      <c r="H23" s="9">
        <f t="shared" si="12"/>
        <v>4.3336417198227587E-3</v>
      </c>
      <c r="I23" s="9">
        <f>IFERROR((51833-F23)/51833,0)</f>
        <v>0.20757046669110413</v>
      </c>
      <c r="J23" s="7">
        <v>170160</v>
      </c>
      <c r="K23" s="11">
        <f t="shared" si="13"/>
        <v>59.182381624802616</v>
      </c>
      <c r="L23" s="11">
        <f>K23-64.7865</f>
        <v>-5.6041183751973875</v>
      </c>
      <c r="M23" s="11">
        <v>74</v>
      </c>
      <c r="N23" s="11">
        <f t="shared" si="14"/>
        <v>-14.817618375197384</v>
      </c>
      <c r="O23" s="11">
        <f>IFERROR(19936588/51833,0)</f>
        <v>384.63118090791579</v>
      </c>
      <c r="P23" s="11">
        <v>0</v>
      </c>
      <c r="Q23" s="11">
        <f t="shared" si="15"/>
        <v>384.63118090791579</v>
      </c>
      <c r="R23" s="7">
        <v>31676</v>
      </c>
      <c r="S23" s="11">
        <f t="shared" si="16"/>
        <v>110.17049367343958</v>
      </c>
      <c r="T23" s="13">
        <f t="shared" si="17"/>
        <v>5.3718903902007833</v>
      </c>
      <c r="U23" s="7">
        <v>45905</v>
      </c>
      <c r="V23" s="11">
        <f t="shared" si="18"/>
        <v>159.65956914001904</v>
      </c>
      <c r="W23" s="11">
        <f t="shared" si="19"/>
        <v>1.4492044450056822</v>
      </c>
      <c r="X23" s="11">
        <v>254.90714285710001</v>
      </c>
      <c r="Y23" s="11">
        <f t="shared" si="20"/>
        <v>186.15420780441937</v>
      </c>
      <c r="Z23" s="11">
        <f t="shared" si="21"/>
        <v>47.452037242251414</v>
      </c>
      <c r="AA23" s="7">
        <v>1773</v>
      </c>
      <c r="AB23" s="15">
        <f>IFERROR(AA23/1980,0)</f>
        <v>0.8954545454545455</v>
      </c>
      <c r="AC23" s="11">
        <v>0</v>
      </c>
      <c r="AD23" s="15">
        <f>IFERROR(AC23/65.3,0)</f>
        <v>0</v>
      </c>
      <c r="AE23" s="11">
        <v>21</v>
      </c>
      <c r="AF23" s="11">
        <v>26</v>
      </c>
      <c r="AG23" s="7">
        <f t="shared" si="22"/>
        <v>-42603.320000000007</v>
      </c>
      <c r="AH23" s="7">
        <v>37</v>
      </c>
      <c r="AI23" s="7">
        <v>19.4594594595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IFERROR(1050/F23,0)</f>
        <v>2.5563616886594927E-2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81</v>
      </c>
      <c r="B24" s="5">
        <v>96</v>
      </c>
      <c r="C24" s="7">
        <v>30</v>
      </c>
      <c r="D24" s="7">
        <v>7</v>
      </c>
      <c r="E24" s="7">
        <v>21623</v>
      </c>
      <c r="F24" s="7">
        <v>18087</v>
      </c>
      <c r="G24" s="7">
        <v>40</v>
      </c>
      <c r="H24" s="9">
        <f t="shared" si="12"/>
        <v>2.211533145353016E-3</v>
      </c>
      <c r="I24" s="9">
        <f>IFERROR((21623-F24)/21623,0)</f>
        <v>0.16352957498959442</v>
      </c>
      <c r="J24" s="7">
        <v>91080</v>
      </c>
      <c r="K24" s="11">
        <f t="shared" si="13"/>
        <v>71.938013885268816</v>
      </c>
      <c r="L24" s="11">
        <f>K24-72.4886</f>
        <v>-0.55058611473118901</v>
      </c>
      <c r="M24" s="11">
        <v>78</v>
      </c>
      <c r="N24" s="11">
        <f t="shared" si="14"/>
        <v>-6.0619861147311838</v>
      </c>
      <c r="O24" s="11">
        <f>IFERROR(8349245/21623,0)</f>
        <v>386.1279655921935</v>
      </c>
      <c r="P24" s="11">
        <v>0</v>
      </c>
      <c r="Q24" s="11">
        <f t="shared" si="15"/>
        <v>386.1279655921935</v>
      </c>
      <c r="R24" s="7">
        <v>15116</v>
      </c>
      <c r="S24" s="11">
        <f t="shared" si="16"/>
        <v>119.39119651841497</v>
      </c>
      <c r="T24" s="13">
        <f t="shared" si="17"/>
        <v>6.0254035459116171</v>
      </c>
      <c r="U24" s="7">
        <v>22953</v>
      </c>
      <c r="V24" s="11">
        <f t="shared" si="18"/>
        <v>181.29042959031349</v>
      </c>
      <c r="W24" s="11">
        <f t="shared" si="19"/>
        <v>1.5184572638264091</v>
      </c>
      <c r="X24" s="11">
        <v>252.14857142860001</v>
      </c>
      <c r="Y24" s="11">
        <f t="shared" si="20"/>
        <v>165.96398770311816</v>
      </c>
      <c r="Z24" s="11">
        <f t="shared" si="21"/>
        <v>41.847582407934986</v>
      </c>
      <c r="AA24" s="7">
        <v>2080</v>
      </c>
      <c r="AB24" s="15">
        <f>IFERROR(AA24/1980,0)</f>
        <v>1.0505050505050506</v>
      </c>
      <c r="AC24" s="11">
        <v>65.52</v>
      </c>
      <c r="AD24" s="15">
        <f>IFERROR(AC24/65.2,0)</f>
        <v>1.0049079754601227</v>
      </c>
      <c r="AE24" s="11">
        <v>21</v>
      </c>
      <c r="AF24" s="11">
        <v>26</v>
      </c>
      <c r="AG24" s="7">
        <f t="shared" si="22"/>
        <v>-7675.020000000005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68</v>
      </c>
      <c r="B25" s="5">
        <v>29</v>
      </c>
      <c r="C25" s="7"/>
      <c r="D25" s="7">
        <v>7</v>
      </c>
      <c r="E25" s="7">
        <v>21339</v>
      </c>
      <c r="F25" s="7">
        <v>21040</v>
      </c>
      <c r="G25" s="7">
        <v>27</v>
      </c>
      <c r="H25" s="9">
        <f t="shared" si="12"/>
        <v>1.2832699619771864E-3</v>
      </c>
      <c r="I25" s="9">
        <f>IFERROR((21339-F25)/21339,0)</f>
        <v>1.4011903088242185E-2</v>
      </c>
      <c r="J25" s="7">
        <v>135180</v>
      </c>
      <c r="K25" s="11">
        <f t="shared" si="13"/>
        <v>91.784356328082566</v>
      </c>
      <c r="L25" s="11">
        <f>K25-93.7417</f>
        <v>-1.9573436719174282</v>
      </c>
      <c r="M25" s="11">
        <v>95.5</v>
      </c>
      <c r="N25" s="11">
        <f t="shared" si="14"/>
        <v>-3.7156436719174337</v>
      </c>
      <c r="O25" s="11">
        <f>IFERROR(1295310/21339,0)</f>
        <v>60.701532405454799</v>
      </c>
      <c r="P25" s="11">
        <v>65</v>
      </c>
      <c r="Q25" s="11">
        <f t="shared" si="15"/>
        <v>-4.2984675945452011</v>
      </c>
      <c r="R25" s="7">
        <v>18260</v>
      </c>
      <c r="S25" s="11">
        <f t="shared" si="16"/>
        <v>123.98153177620857</v>
      </c>
      <c r="T25" s="13">
        <f t="shared" si="17"/>
        <v>7.4030668127053669</v>
      </c>
      <c r="U25" s="7">
        <v>36101</v>
      </c>
      <c r="V25" s="11">
        <f t="shared" si="18"/>
        <v>245.11814231395982</v>
      </c>
      <c r="W25" s="11">
        <f t="shared" si="19"/>
        <v>1.9770536692223442</v>
      </c>
      <c r="X25" s="11">
        <v>238.6442857143</v>
      </c>
      <c r="Y25" s="11">
        <f t="shared" si="20"/>
        <v>135.07915372096463</v>
      </c>
      <c r="Z25" s="11">
        <f t="shared" si="21"/>
        <v>32.235868154631731</v>
      </c>
      <c r="AA25" s="7">
        <v>1871</v>
      </c>
      <c r="AB25" s="15">
        <f>IFERROR(AA25/1900,0)</f>
        <v>0.98473684210526313</v>
      </c>
      <c r="AC25" s="11">
        <v>60.51</v>
      </c>
      <c r="AD25" s="15">
        <f>IFERROR(AC25/60.5,0)</f>
        <v>1.0001652892561983</v>
      </c>
      <c r="AE25" s="11">
        <v>22</v>
      </c>
      <c r="AF25" s="11">
        <v>26</v>
      </c>
      <c r="AG25" s="7">
        <f t="shared" si="22"/>
        <v>-5472.3999999999969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70</v>
      </c>
      <c r="B26" s="5">
        <v>87</v>
      </c>
      <c r="C26" s="7">
        <v>15</v>
      </c>
      <c r="D26" s="7">
        <v>7</v>
      </c>
      <c r="E26" s="7">
        <v>47224</v>
      </c>
      <c r="F26" s="7">
        <v>37534</v>
      </c>
      <c r="G26" s="7">
        <v>86</v>
      </c>
      <c r="H26" s="9">
        <f t="shared" si="12"/>
        <v>2.2912559279586507E-3</v>
      </c>
      <c r="I26" s="9">
        <f>IFERROR((47224-F26)/47224,0)</f>
        <v>0.20519227511434865</v>
      </c>
      <c r="J26" s="7">
        <v>188600</v>
      </c>
      <c r="K26" s="11">
        <f t="shared" si="13"/>
        <v>71.782536214784315</v>
      </c>
      <c r="L26" s="11">
        <f>K26-75.4994</f>
        <v>-3.7168637852156792</v>
      </c>
      <c r="M26" s="11">
        <v>80</v>
      </c>
      <c r="N26" s="11">
        <f t="shared" si="14"/>
        <v>-8.2174637852156849</v>
      </c>
      <c r="O26" s="11">
        <f>IFERROR(15534270/47224,0)</f>
        <v>328.94862781636454</v>
      </c>
      <c r="P26" s="11">
        <v>0</v>
      </c>
      <c r="Q26" s="11">
        <f t="shared" si="15"/>
        <v>328.94862781636454</v>
      </c>
      <c r="R26" s="7">
        <v>28920</v>
      </c>
      <c r="S26" s="11">
        <f t="shared" si="16"/>
        <v>110.07163029329598</v>
      </c>
      <c r="T26" s="13">
        <f t="shared" si="17"/>
        <v>6.5214384508990317</v>
      </c>
      <c r="U26" s="7">
        <v>53400</v>
      </c>
      <c r="V26" s="11">
        <f t="shared" si="18"/>
        <v>203.2442965996544</v>
      </c>
      <c r="W26" s="11">
        <f t="shared" si="19"/>
        <v>1.846473029045643</v>
      </c>
      <c r="X26" s="11">
        <v>262.11142857139998</v>
      </c>
      <c r="Y26" s="11">
        <f t="shared" si="20"/>
        <v>153.34040296924707</v>
      </c>
      <c r="Z26" s="11">
        <f t="shared" si="21"/>
        <v>40.192272079983496</v>
      </c>
      <c r="AA26" s="7">
        <v>1576</v>
      </c>
      <c r="AB26" s="15">
        <f>IFERROR(AA26/1580,0)</f>
        <v>0.99746835443037973</v>
      </c>
      <c r="AC26" s="11">
        <v>0</v>
      </c>
      <c r="AD26" s="15">
        <f>IFERROR(AC26/63.6,0)</f>
        <v>0</v>
      </c>
      <c r="AE26" s="11">
        <v>16</v>
      </c>
      <c r="AF26" s="11">
        <v>29</v>
      </c>
      <c r="AG26" s="7">
        <f t="shared" si="22"/>
        <v>-21590.399999999987</v>
      </c>
      <c r="AH26" s="7">
        <v>20</v>
      </c>
      <c r="AI26" s="7">
        <v>25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IFERROR(560/F26,0)</f>
        <v>1.4919806042521447E-2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117</v>
      </c>
      <c r="C27" s="7">
        <v>19</v>
      </c>
      <c r="D27" s="7">
        <v>7</v>
      </c>
      <c r="E27" s="7">
        <v>33376</v>
      </c>
      <c r="F27" s="7">
        <v>29157</v>
      </c>
      <c r="G27" s="7">
        <v>91</v>
      </c>
      <c r="H27" s="9">
        <f t="shared" si="12"/>
        <v>3.1210343999725624E-3</v>
      </c>
      <c r="I27" s="9">
        <f>IFERROR((33376-F27)/33376,0)</f>
        <v>0.12640819750719079</v>
      </c>
      <c r="J27" s="7">
        <v>129300</v>
      </c>
      <c r="K27" s="11">
        <f t="shared" si="13"/>
        <v>63.351608778092981</v>
      </c>
      <c r="L27" s="11">
        <f>K27-67.1987</f>
        <v>-3.8470912219070215</v>
      </c>
      <c r="M27" s="11">
        <v>77</v>
      </c>
      <c r="N27" s="11">
        <f t="shared" si="14"/>
        <v>-13.648391221907019</v>
      </c>
      <c r="O27" s="11">
        <f>IFERROR(15187993/33376,0)</f>
        <v>455.05731663470755</v>
      </c>
      <c r="P27" s="11">
        <v>0</v>
      </c>
      <c r="Q27" s="11">
        <f t="shared" si="15"/>
        <v>455.05731663470755</v>
      </c>
      <c r="R27" s="7">
        <v>24050</v>
      </c>
      <c r="S27" s="11">
        <f t="shared" si="16"/>
        <v>117.83497224386205</v>
      </c>
      <c r="T27" s="13">
        <f t="shared" si="17"/>
        <v>5.376299376299376</v>
      </c>
      <c r="U27" s="7">
        <v>33000</v>
      </c>
      <c r="V27" s="11">
        <f t="shared" si="18"/>
        <v>161.68624050093339</v>
      </c>
      <c r="W27" s="11">
        <f t="shared" si="19"/>
        <v>1.3721413721413722</v>
      </c>
      <c r="X27" s="11">
        <v>245.70142857139999</v>
      </c>
      <c r="Y27" s="11">
        <f t="shared" si="20"/>
        <v>186.00154679040992</v>
      </c>
      <c r="Z27" s="11">
        <f t="shared" si="21"/>
        <v>45.700845762893813</v>
      </c>
      <c r="AA27" s="7">
        <v>1691</v>
      </c>
      <c r="AB27" s="15">
        <f>IFERROR(AA27/0,0)</f>
        <v>0</v>
      </c>
      <c r="AC27" s="11">
        <v>0</v>
      </c>
      <c r="AD27" s="15">
        <f>IFERROR(AC27/0,0)</f>
        <v>0</v>
      </c>
      <c r="AE27" s="11">
        <v>16</v>
      </c>
      <c r="AF27" s="11">
        <v>30</v>
      </c>
      <c r="AG27" s="7">
        <f t="shared" si="22"/>
        <v>-27856.230000000007</v>
      </c>
      <c r="AH27" s="7">
        <v>60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IFERROR(910/F27,0)</f>
        <v>3.1210343999725623E-2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117</v>
      </c>
      <c r="C28" s="7">
        <v>19</v>
      </c>
      <c r="D28" s="7">
        <v>7</v>
      </c>
      <c r="E28" s="7">
        <v>12390</v>
      </c>
      <c r="F28" s="7">
        <v>9941</v>
      </c>
      <c r="G28" s="7">
        <v>36</v>
      </c>
      <c r="H28" s="9">
        <f t="shared" si="12"/>
        <v>3.6213660597525402E-3</v>
      </c>
      <c r="I28" s="9">
        <f>IFERROR((12390-F28)/12390,0)</f>
        <v>0.1976594027441485</v>
      </c>
      <c r="J28" s="7">
        <v>50660</v>
      </c>
      <c r="K28" s="11">
        <f t="shared" si="13"/>
        <v>72.800954201215745</v>
      </c>
      <c r="L28" s="11">
        <f>K28-79.583</f>
        <v>-6.7820457987842531</v>
      </c>
      <c r="M28" s="11">
        <v>77</v>
      </c>
      <c r="N28" s="11">
        <f t="shared" si="14"/>
        <v>-4.1990457987842547</v>
      </c>
      <c r="O28" s="11">
        <f>IFERROR(6171948/12390,0)</f>
        <v>498.13946731234864</v>
      </c>
      <c r="P28" s="11">
        <v>0</v>
      </c>
      <c r="Q28" s="11">
        <f t="shared" si="15"/>
        <v>498.13946731234864</v>
      </c>
      <c r="R28" s="7">
        <v>9550</v>
      </c>
      <c r="S28" s="11">
        <f t="shared" si="16"/>
        <v>137.23827726443159</v>
      </c>
      <c r="T28" s="13">
        <f t="shared" si="17"/>
        <v>5.3047120418848168</v>
      </c>
      <c r="U28" s="7">
        <v>16200</v>
      </c>
      <c r="V28" s="11">
        <f t="shared" si="18"/>
        <v>232.8021038412347</v>
      </c>
      <c r="W28" s="11">
        <f t="shared" si="19"/>
        <v>1.6963350785340312</v>
      </c>
      <c r="X28" s="11">
        <v>251.02</v>
      </c>
      <c r="Y28" s="11">
        <f t="shared" si="20"/>
        <v>188.51164626924597</v>
      </c>
      <c r="Z28" s="11">
        <f t="shared" si="21"/>
        <v>47.320193446506124</v>
      </c>
      <c r="AA28" s="7">
        <v>2013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16</v>
      </c>
      <c r="AF28" s="11">
        <v>30</v>
      </c>
      <c r="AG28" s="7">
        <f t="shared" si="22"/>
        <v>-2921.9899999999989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IFERROR(455/F28,0)</f>
        <v>4.5770043255205714E-2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7</v>
      </c>
      <c r="E29" s="17">
        <f>SUM(E14:E28)</f>
        <v>553964</v>
      </c>
      <c r="F29" s="17">
        <f>SUM(F14:F28)</f>
        <v>490593</v>
      </c>
      <c r="G29" s="17">
        <f>SUM(G14:G28)</f>
        <v>1296</v>
      </c>
      <c r="H29" s="18">
        <f t="shared" si="12"/>
        <v>2.6417009618971326E-3</v>
      </c>
      <c r="I29" s="18"/>
      <c r="J29" s="17">
        <f>SUM(J14:J28)</f>
        <v>2853530</v>
      </c>
      <c r="K29" s="19">
        <f t="shared" si="13"/>
        <v>83.092735293235492</v>
      </c>
      <c r="L29" s="19"/>
      <c r="M29" s="19">
        <f>IFERROR(SUMPRODUCT($F14:$F28,M14:M28)/$F29, 0)</f>
        <v>86.73457091723688</v>
      </c>
      <c r="N29" s="19">
        <f t="shared" si="14"/>
        <v>-3.6418356240013878</v>
      </c>
      <c r="O29" s="19">
        <f>IFERROR(SUMPRODUCT($E14:$E28,O14:O28)/$E29, 0)</f>
        <v>264.34292842134147</v>
      </c>
      <c r="P29" s="19">
        <f>IFERROR(SUMPRODUCT($E14:$E28,P14:P28)/$E29, 0)</f>
        <v>97.993059115754818</v>
      </c>
      <c r="Q29" s="19">
        <f>IFERROR(SUMPRODUCT($E14:$E28,Q14:Q28)/$E29, 0)</f>
        <v>166.34986930558665</v>
      </c>
      <c r="R29" s="17">
        <f>SUM(R14:R28)</f>
        <v>400247</v>
      </c>
      <c r="S29" s="19">
        <f>IFERROR(R29/D29/$F29*1000,0)</f>
        <v>116.54903934043669</v>
      </c>
      <c r="T29" s="20">
        <f t="shared" si="17"/>
        <v>7.1294225815558896</v>
      </c>
      <c r="U29" s="17">
        <f>SUM(U14:U28)</f>
        <v>662215</v>
      </c>
      <c r="V29" s="19">
        <f>IFERROR(U29/D29/$F29*1000,0)</f>
        <v>192.83223131423165</v>
      </c>
      <c r="W29" s="19">
        <f t="shared" si="19"/>
        <v>1.6545158364709789</v>
      </c>
      <c r="X29" s="19">
        <f>IFERROR(SUMPRODUCT(R14:R28,X14:X28)/R29,0)</f>
        <v>259.50507542306235</v>
      </c>
      <c r="Y29" s="19">
        <f>IFERROR(($F29*S29)/($F29*K29)*100,0)</f>
        <v>140.26381359228748</v>
      </c>
      <c r="Z29" s="19">
        <f t="shared" si="21"/>
        <v>36.399171525392923</v>
      </c>
      <c r="AA29" s="17"/>
      <c r="AB29" s="21">
        <f>IFERROR(SUMPRODUCT($F14:$F28,AB14:AB28)/$F29,0)</f>
        <v>0.86049811964335587</v>
      </c>
      <c r="AC29" s="19"/>
      <c r="AD29" s="21">
        <f>AVERAGE(AD14:AD28)</f>
        <v>0.53526834417016833</v>
      </c>
      <c r="AE29" s="19"/>
      <c r="AF29" s="19"/>
      <c r="AG29" s="17">
        <f>SUM(AG14:AG28)</f>
        <v>-125066.13449999997</v>
      </c>
      <c r="AH29" s="17">
        <f>SUM(AH14:AH28)</f>
        <v>260</v>
      </c>
      <c r="AI29" s="17">
        <f>IFERROR(SUMPRODUCT(AH14:AH28,AI14:AI28)/AH29, 0)</f>
        <v>20.076923076928846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7</v>
      </c>
      <c r="E31" s="23">
        <f>E12+E29</f>
        <v>600169</v>
      </c>
      <c r="F31" s="23">
        <f>F12+F29</f>
        <v>529443</v>
      </c>
      <c r="G31" s="23">
        <f>G12+G29</f>
        <v>1406</v>
      </c>
      <c r="H31" s="24">
        <f>IFERROR(G31/F31,0)</f>
        <v>2.6556210961331058E-3</v>
      </c>
      <c r="I31" s="23"/>
      <c r="J31" s="23">
        <f>J12+J29</f>
        <v>3061130</v>
      </c>
      <c r="K31" s="25">
        <f>IFERROR(J31/D31/F31*100,0)</f>
        <v>82.597047409123505</v>
      </c>
      <c r="L31" s="23"/>
      <c r="M31" s="25">
        <f>IFERROR($F$12/$F31*M$12,0)+IFERROR($F$29/$F31*M$29,0)</f>
        <v>86.370239761409621</v>
      </c>
      <c r="N31" s="25">
        <f>K31-M31</f>
        <v>-3.7731923522861166</v>
      </c>
      <c r="O31" s="23">
        <f>IFERROR($E$12/$E31*O$12,0)+IFERROR($E$29/$E31*O$29,0)</f>
        <v>263.25790235750264</v>
      </c>
      <c r="P31" s="23">
        <f>IFERROR($E$12/$E31*P$12,0)+IFERROR($E$29/$E31*P$29,0)</f>
        <v>92.507738653612563</v>
      </c>
      <c r="Q31" s="23">
        <f>IFERROR($E$12/$E31*Q$12,0)+IFERROR($E$29/$E31*Q$29,0)</f>
        <v>170.75016370389008</v>
      </c>
      <c r="R31" s="23">
        <f>R12+R29</f>
        <v>437313</v>
      </c>
      <c r="S31" s="25">
        <f>IFERROR(R31/D31/$F31*1000,0)</f>
        <v>117.9981333482277</v>
      </c>
      <c r="T31" s="26">
        <f>IFERROR(J31/R31,0)</f>
        <v>6.9998605118073325</v>
      </c>
      <c r="U31" s="23">
        <f>U12+U29</f>
        <v>677335</v>
      </c>
      <c r="V31" s="25">
        <f>IFERROR(U31/D31/$F31*1000,0)</f>
        <v>182.76215354087759</v>
      </c>
      <c r="W31" s="25">
        <f>IFERROR(V31/S31,0)</f>
        <v>1.5488563111547107</v>
      </c>
      <c r="X31" s="25">
        <f>IFERROR($F$12/$F31*X$12,0)+IFERROR($F$29/$F31*X$29,0)</f>
        <v>267.44156609315809</v>
      </c>
      <c r="Y31" s="25">
        <f>IFERROR(($F31*S31)/($F31*K31)*100,0)</f>
        <v>142.85998961167934</v>
      </c>
      <c r="Z31" s="25">
        <f>IFERROR(Y31*X31/1000,0)</f>
        <v>38.20669935379982</v>
      </c>
      <c r="AA31" s="23"/>
      <c r="AB31" s="27"/>
      <c r="AC31" s="23"/>
      <c r="AD31" s="27"/>
      <c r="AE31" s="23"/>
      <c r="AF31" s="23"/>
      <c r="AG31" s="23">
        <f>AG12+AG29</f>
        <v>-139838.31949999995</v>
      </c>
      <c r="AH31" s="23">
        <f>AH12+AH29</f>
        <v>260</v>
      </c>
      <c r="AI31" s="23">
        <f>IFERROR(AH$12/AH31*AI$12,0)+IFERROR(AH$29/AH31*AI$29,0)</f>
        <v>20.076923076928846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29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 spans="1:29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61</v>
      </c>
      <c r="T34" s="32" t="s">
        <v>70</v>
      </c>
      <c r="U34" s="32" t="s">
        <v>71</v>
      </c>
      <c r="V34" s="32" t="s">
        <v>72</v>
      </c>
      <c r="W34" s="32" t="s">
        <v>62</v>
      </c>
      <c r="X34" s="32" t="s">
        <v>66</v>
      </c>
      <c r="Y34" s="32" t="s">
        <v>67</v>
      </c>
      <c r="Z34" s="32" t="s">
        <v>81</v>
      </c>
      <c r="AA34" s="32" t="s">
        <v>63</v>
      </c>
      <c r="AB34" s="32" t="s">
        <v>68</v>
      </c>
      <c r="AC34" s="32" t="s">
        <v>64</v>
      </c>
    </row>
    <row r="35" spans="1:29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>
        <v>2.5000000000000001E-3</v>
      </c>
      <c r="T35" s="8">
        <v>5.3E-3</v>
      </c>
      <c r="U35" s="8">
        <v>6.3E-3</v>
      </c>
      <c r="V35" s="8">
        <v>2.7000000000000001E-3</v>
      </c>
      <c r="W35" s="8">
        <v>1.5E-3</v>
      </c>
      <c r="X35" s="8">
        <v>1.4E-3</v>
      </c>
      <c r="Y35" s="8">
        <v>2.8E-3</v>
      </c>
      <c r="Z35" s="8">
        <v>1.6999999999999999E-3</v>
      </c>
      <c r="AA35" s="8"/>
      <c r="AB35" s="8"/>
      <c r="AC35" s="8">
        <v>6.9999999999999999E-4</v>
      </c>
    </row>
    <row r="36" spans="1:29" x14ac:dyDescent="0.3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>
        <v>1.32E-2</v>
      </c>
      <c r="P36" s="9">
        <v>2.3999999999999998E-3</v>
      </c>
      <c r="Q36" s="9">
        <v>4.1999999999999997E-3</v>
      </c>
      <c r="R36" s="9">
        <v>1.6999999999999999E-3</v>
      </c>
      <c r="S36" s="9">
        <v>2.5000000000000001E-3</v>
      </c>
      <c r="T36" s="9">
        <v>5.7999999999999996E-3</v>
      </c>
      <c r="U36" s="9">
        <v>3.5999999999999999E-3</v>
      </c>
      <c r="V36" s="9">
        <v>2.3E-3</v>
      </c>
      <c r="W36" s="9">
        <v>1.5E-3</v>
      </c>
      <c r="X36" s="9">
        <v>1E-3</v>
      </c>
      <c r="Y36" s="9">
        <v>3.0000000000000001E-3</v>
      </c>
      <c r="Z36" s="9">
        <v>1.8E-3</v>
      </c>
      <c r="AA36" s="9"/>
      <c r="AB36" s="9"/>
      <c r="AC36" s="9">
        <v>1E-3</v>
      </c>
    </row>
    <row r="37" spans="1:29" x14ac:dyDescent="0.3">
      <c r="B37" s="5">
        <v>202503</v>
      </c>
      <c r="C37" s="5"/>
      <c r="D37" s="9">
        <v>2.8E-3</v>
      </c>
      <c r="E37" s="9">
        <v>4.8999999999999998E-3</v>
      </c>
      <c r="F37" s="9">
        <v>2.5999999999999999E-3</v>
      </c>
      <c r="G37" s="9">
        <v>5.8999999999999999E-3</v>
      </c>
      <c r="H37" s="9">
        <v>5.8999999999999999E-3</v>
      </c>
      <c r="I37" s="9">
        <v>3.5999999999999999E-3</v>
      </c>
      <c r="J37" s="9">
        <v>3.3999999999999998E-3</v>
      </c>
      <c r="K37" s="9">
        <v>3.2000000000000002E-3</v>
      </c>
      <c r="L37" s="9">
        <v>3.0000000000000001E-3</v>
      </c>
      <c r="M37" s="9">
        <v>2.2000000000000001E-3</v>
      </c>
      <c r="N37" s="9">
        <v>1.6000000000000001E-3</v>
      </c>
      <c r="O37" s="9">
        <v>9.7999999999999997E-3</v>
      </c>
      <c r="P37" s="9">
        <v>2.5000000000000001E-3</v>
      </c>
      <c r="Q37" s="9">
        <v>3.3E-3</v>
      </c>
      <c r="R37" s="9">
        <v>1.8E-3</v>
      </c>
      <c r="S37" s="9">
        <v>2.5000000000000001E-3</v>
      </c>
      <c r="T37" s="9">
        <v>5.4999999999999997E-3</v>
      </c>
      <c r="U37" s="9">
        <v>3.5000000000000001E-3</v>
      </c>
      <c r="V37" s="9">
        <v>2.5000000000000001E-3</v>
      </c>
      <c r="W37" s="9">
        <v>1.6999999999999999E-3</v>
      </c>
      <c r="X37" s="9">
        <v>6.9999999999999999E-4</v>
      </c>
      <c r="Y37" s="9">
        <v>2.8E-3</v>
      </c>
      <c r="Z37" s="9">
        <v>1.4E-3</v>
      </c>
      <c r="AA37" s="9"/>
      <c r="AB37" s="9"/>
      <c r="AC37" s="9">
        <v>1.6000000000000001E-3</v>
      </c>
    </row>
    <row r="38" spans="1:29" x14ac:dyDescent="0.3">
      <c r="B38" s="5">
        <v>202504</v>
      </c>
      <c r="C38" s="5"/>
      <c r="D38" s="9">
        <v>2.5999999999999999E-3</v>
      </c>
      <c r="E38" s="9">
        <v>5.1000000000000004E-3</v>
      </c>
      <c r="F38" s="9">
        <v>2.3999999999999998E-3</v>
      </c>
      <c r="G38" s="9">
        <v>5.8999999999999999E-3</v>
      </c>
      <c r="H38" s="9">
        <v>5.7999999999999996E-3</v>
      </c>
      <c r="I38" s="9">
        <v>6.3E-3</v>
      </c>
      <c r="J38" s="9">
        <v>5.0000000000000001E-3</v>
      </c>
      <c r="K38" s="9">
        <v>4.1000000000000003E-3</v>
      </c>
      <c r="L38" s="9">
        <v>1.9E-3</v>
      </c>
      <c r="M38" s="9">
        <v>2.3999999999999998E-3</v>
      </c>
      <c r="N38" s="9">
        <v>2.2000000000000001E-3</v>
      </c>
      <c r="O38" s="9">
        <v>7.3000000000000001E-3</v>
      </c>
      <c r="P38" s="9">
        <v>2.5000000000000001E-3</v>
      </c>
      <c r="Q38" s="9">
        <v>4.1000000000000003E-3</v>
      </c>
      <c r="R38" s="9">
        <v>1.6999999999999999E-3</v>
      </c>
      <c r="S38" s="9">
        <v>2.5999999999999999E-3</v>
      </c>
      <c r="T38" s="9">
        <v>3.2000000000000002E-3</v>
      </c>
      <c r="U38" s="9">
        <v>3.7000000000000002E-3</v>
      </c>
      <c r="V38" s="9">
        <v>2.5000000000000001E-3</v>
      </c>
      <c r="W38" s="9">
        <v>1.6000000000000001E-3</v>
      </c>
      <c r="X38" s="9">
        <v>8.9999999999999998E-4</v>
      </c>
      <c r="Y38" s="9">
        <v>3.5000000000000001E-3</v>
      </c>
      <c r="Z38" s="9">
        <v>1.6000000000000001E-3</v>
      </c>
      <c r="AA38" s="9"/>
      <c r="AB38" s="9"/>
      <c r="AC38" s="9">
        <v>8.9999999999999998E-4</v>
      </c>
    </row>
    <row r="39" spans="1:29" x14ac:dyDescent="0.3">
      <c r="B39" s="5">
        <v>202505</v>
      </c>
      <c r="C39" s="5"/>
      <c r="D39" s="9">
        <v>2.5999999999999999E-3</v>
      </c>
      <c r="E39" s="9">
        <v>4.1000000000000003E-3</v>
      </c>
      <c r="F39" s="9">
        <v>2.5000000000000001E-3</v>
      </c>
      <c r="G39" s="9">
        <v>5.3E-3</v>
      </c>
      <c r="H39" s="9">
        <v>4.7000000000000002E-3</v>
      </c>
      <c r="I39" s="9">
        <v>2.7000000000000001E-3</v>
      </c>
      <c r="J39" s="9">
        <v>1.6000000000000001E-3</v>
      </c>
      <c r="K39" s="9">
        <v>3.0000000000000001E-3</v>
      </c>
      <c r="L39" s="9">
        <v>2.8E-3</v>
      </c>
      <c r="M39" s="9">
        <v>2.5000000000000001E-3</v>
      </c>
      <c r="N39" s="9">
        <v>2.7000000000000001E-3</v>
      </c>
      <c r="O39" s="9">
        <v>4.5999999999999999E-3</v>
      </c>
      <c r="P39" s="9">
        <v>4.1000000000000003E-3</v>
      </c>
      <c r="Q39" s="9">
        <v>4.1000000000000003E-3</v>
      </c>
      <c r="R39" s="9">
        <v>1.6999999999999999E-3</v>
      </c>
      <c r="S39" s="9">
        <v>2.3E-3</v>
      </c>
      <c r="T39" s="9">
        <v>2.2000000000000001E-3</v>
      </c>
      <c r="U39" s="9">
        <v>4.4000000000000003E-3</v>
      </c>
      <c r="V39" s="9">
        <v>2.3E-3</v>
      </c>
      <c r="W39" s="9">
        <v>1.6000000000000001E-3</v>
      </c>
      <c r="X39" s="9">
        <v>8.9999999999999998E-4</v>
      </c>
      <c r="Y39" s="9">
        <v>3.0999999999999999E-3</v>
      </c>
      <c r="Z39" s="9">
        <v>1.5E-3</v>
      </c>
      <c r="AA39" s="9"/>
      <c r="AB39" s="9"/>
      <c r="AC39" s="9">
        <v>8.9999999999999998E-4</v>
      </c>
    </row>
    <row r="40" spans="1:29" x14ac:dyDescent="0.3">
      <c r="B40" s="5">
        <v>202506</v>
      </c>
      <c r="C40" s="5"/>
      <c r="D40" s="9">
        <v>1.9E-3</v>
      </c>
      <c r="E40" s="9">
        <v>4.4999999999999997E-3</v>
      </c>
      <c r="F40" s="9">
        <v>1.6999999999999999E-3</v>
      </c>
      <c r="G40" s="9">
        <v>5.8999999999999999E-3</v>
      </c>
      <c r="H40" s="9">
        <v>5.4000000000000003E-3</v>
      </c>
      <c r="I40" s="9">
        <v>4.4999999999999997E-3</v>
      </c>
      <c r="J40" s="9">
        <v>2.5000000000000001E-3</v>
      </c>
      <c r="K40" s="9">
        <v>3.0000000000000001E-3</v>
      </c>
      <c r="L40" s="9">
        <v>1.2999999999999999E-3</v>
      </c>
      <c r="M40" s="9">
        <v>3.7000000000000002E-3</v>
      </c>
      <c r="N40" s="9">
        <v>2.5000000000000001E-3</v>
      </c>
      <c r="O40" s="9">
        <v>4.0000000000000001E-3</v>
      </c>
      <c r="P40" s="9">
        <v>2.7000000000000001E-3</v>
      </c>
      <c r="Q40" s="9">
        <v>3.8E-3</v>
      </c>
      <c r="R40" s="9">
        <v>1.5E-3</v>
      </c>
      <c r="S40" s="9">
        <v>1.6999999999999999E-3</v>
      </c>
      <c r="T40" s="9">
        <v>3.0000000000000001E-3</v>
      </c>
      <c r="U40" s="9">
        <v>3.5999999999999999E-3</v>
      </c>
      <c r="V40" s="9">
        <v>1.8E-3</v>
      </c>
      <c r="W40" s="9">
        <v>8.9999999999999998E-4</v>
      </c>
      <c r="X40" s="9">
        <v>5.9999999999999995E-4</v>
      </c>
      <c r="Y40" s="9">
        <v>1.6999999999999999E-3</v>
      </c>
      <c r="Z40" s="9">
        <v>1E-3</v>
      </c>
      <c r="AA40" s="9">
        <v>0</v>
      </c>
      <c r="AB40" s="9">
        <v>0</v>
      </c>
      <c r="AC40" s="9">
        <v>5.0000000000000001E-4</v>
      </c>
    </row>
    <row r="41" spans="1:29" x14ac:dyDescent="0.3">
      <c r="B41" s="5">
        <v>202507</v>
      </c>
      <c r="C41" s="5"/>
      <c r="D41" s="9">
        <v>2.3999999999999998E-3</v>
      </c>
      <c r="E41" s="9">
        <v>4.5999999999999999E-3</v>
      </c>
      <c r="F41" s="9">
        <v>2.2000000000000001E-3</v>
      </c>
      <c r="G41" s="9">
        <v>5.7999999999999996E-3</v>
      </c>
      <c r="H41" s="9">
        <v>4.3E-3</v>
      </c>
      <c r="I41" s="9">
        <v>4.4999999999999997E-3</v>
      </c>
      <c r="J41" s="9">
        <v>2.5000000000000001E-3</v>
      </c>
      <c r="K41" s="9">
        <v>5.1000000000000004E-3</v>
      </c>
      <c r="L41" s="9">
        <v>3.8E-3</v>
      </c>
      <c r="M41" s="9">
        <v>8.0999999999999996E-3</v>
      </c>
      <c r="N41" s="9">
        <v>2.8E-3</v>
      </c>
      <c r="O41" s="9">
        <v>4.4999999999999997E-3</v>
      </c>
      <c r="P41" s="9">
        <v>2E-3</v>
      </c>
      <c r="Q41" s="9">
        <v>4.8999999999999998E-3</v>
      </c>
      <c r="R41" s="9">
        <v>1.4E-3</v>
      </c>
      <c r="S41" s="9">
        <v>1.9E-3</v>
      </c>
      <c r="T41" s="9">
        <v>4.3E-3</v>
      </c>
      <c r="U41" s="9">
        <v>4.1999999999999997E-3</v>
      </c>
      <c r="V41" s="9">
        <v>4.4000000000000003E-3</v>
      </c>
      <c r="W41" s="9">
        <v>1.1000000000000001E-3</v>
      </c>
      <c r="X41" s="9">
        <v>5.0000000000000001E-4</v>
      </c>
      <c r="Y41" s="9">
        <v>2.0999999999999999E-3</v>
      </c>
      <c r="Z41" s="9">
        <v>1.1999999999999999E-3</v>
      </c>
      <c r="AA41" s="9">
        <v>8.9999999999999998E-4</v>
      </c>
      <c r="AB41" s="9">
        <v>8.0000000000000004E-4</v>
      </c>
      <c r="AC41" s="9">
        <v>6.9999999999999999E-4</v>
      </c>
    </row>
    <row r="42" spans="1:29" x14ac:dyDescent="0.3">
      <c r="B42" s="5">
        <v>202508</v>
      </c>
      <c r="C42" s="5"/>
      <c r="D42" s="9">
        <v>2E-3</v>
      </c>
      <c r="E42" s="9">
        <v>4.4000000000000003E-3</v>
      </c>
      <c r="F42" s="9">
        <v>1.8E-3</v>
      </c>
      <c r="G42" s="9">
        <v>6.6E-3</v>
      </c>
      <c r="H42" s="9">
        <v>3.8E-3</v>
      </c>
      <c r="I42" s="9">
        <v>2.7000000000000001E-3</v>
      </c>
      <c r="J42" s="9">
        <v>3.2000000000000002E-3</v>
      </c>
      <c r="K42" s="9">
        <v>4.1999999999999997E-3</v>
      </c>
      <c r="L42" s="9">
        <v>2.0999999999999999E-3</v>
      </c>
      <c r="M42" s="9">
        <v>2.5999999999999999E-3</v>
      </c>
      <c r="N42" s="9">
        <v>2.8999999999999998E-3</v>
      </c>
      <c r="O42" s="9">
        <v>5.1999999999999998E-3</v>
      </c>
      <c r="P42" s="9">
        <v>1.9E-3</v>
      </c>
      <c r="Q42" s="9">
        <v>2.3999999999999998E-3</v>
      </c>
      <c r="R42" s="9">
        <v>1.2999999999999999E-3</v>
      </c>
      <c r="S42" s="9">
        <v>1.9E-3</v>
      </c>
      <c r="T42" s="9">
        <v>3.0999999999999999E-3</v>
      </c>
      <c r="U42" s="9">
        <v>3.2000000000000002E-3</v>
      </c>
      <c r="V42" s="9">
        <v>2.3E-3</v>
      </c>
      <c r="W42" s="9">
        <v>1.1000000000000001E-3</v>
      </c>
      <c r="X42" s="9">
        <v>5.0000000000000001E-4</v>
      </c>
      <c r="Y42" s="9">
        <v>2.8E-3</v>
      </c>
      <c r="Z42" s="9">
        <v>1.2999999999999999E-3</v>
      </c>
      <c r="AA42" s="9">
        <v>1.1999999999999999E-3</v>
      </c>
      <c r="AB42" s="9">
        <v>6.9999999999999999E-4</v>
      </c>
      <c r="AC42" s="9">
        <v>5.9999999999999995E-4</v>
      </c>
    </row>
    <row r="43" spans="1:29" x14ac:dyDescent="0.3">
      <c r="B43" s="5">
        <v>202509</v>
      </c>
      <c r="C43" s="5"/>
      <c r="D43" s="9">
        <v>3.0000000000000001E-3</v>
      </c>
      <c r="E43" s="9">
        <v>8.8000000000000005E-3</v>
      </c>
      <c r="F43" s="9">
        <v>2.5000000000000001E-3</v>
      </c>
      <c r="G43" s="9">
        <v>1.7299999999999999E-2</v>
      </c>
      <c r="H43" s="9">
        <v>5.7000000000000002E-3</v>
      </c>
      <c r="I43" s="9">
        <v>9.1999999999999998E-3</v>
      </c>
      <c r="J43" s="9">
        <v>5.1000000000000004E-3</v>
      </c>
      <c r="K43" s="9">
        <v>4.4000000000000003E-3</v>
      </c>
      <c r="L43" s="9">
        <v>3.8999999999999998E-3</v>
      </c>
      <c r="M43" s="9">
        <v>2.0999999999999999E-3</v>
      </c>
      <c r="N43" s="9">
        <v>5.1999999999999998E-3</v>
      </c>
      <c r="O43" s="9">
        <v>5.0000000000000001E-3</v>
      </c>
      <c r="P43" s="9">
        <v>2.7000000000000001E-3</v>
      </c>
      <c r="Q43" s="9">
        <v>4.8999999999999998E-3</v>
      </c>
      <c r="R43" s="9">
        <v>2E-3</v>
      </c>
      <c r="S43" s="9">
        <v>2.5000000000000001E-3</v>
      </c>
      <c r="T43" s="9">
        <v>3.0999999999999999E-3</v>
      </c>
      <c r="U43" s="9">
        <v>4.5999999999999999E-3</v>
      </c>
      <c r="V43" s="9">
        <v>2.8E-3</v>
      </c>
      <c r="W43" s="9">
        <v>1.6999999999999999E-3</v>
      </c>
      <c r="X43" s="9">
        <v>1E-3</v>
      </c>
      <c r="Y43" s="9">
        <v>3.5999999999999999E-3</v>
      </c>
      <c r="Z43" s="9">
        <v>1.6000000000000001E-3</v>
      </c>
      <c r="AA43" s="9">
        <v>2.3E-3</v>
      </c>
      <c r="AB43" s="9">
        <v>1.1999999999999999E-3</v>
      </c>
      <c r="AC43" s="9">
        <v>1.1999999999999999E-3</v>
      </c>
    </row>
    <row r="44" spans="1:29" x14ac:dyDescent="0.3">
      <c r="B44" s="5">
        <v>202510</v>
      </c>
      <c r="C44" s="5"/>
      <c r="D44" s="9">
        <v>2.8E-3</v>
      </c>
      <c r="E44" s="9">
        <v>8.0000000000000002E-3</v>
      </c>
      <c r="F44" s="9">
        <v>2.3999999999999998E-3</v>
      </c>
      <c r="G44" s="9">
        <v>1.47E-2</v>
      </c>
      <c r="H44" s="9">
        <v>7.1000000000000004E-3</v>
      </c>
      <c r="I44" s="9">
        <v>1.12E-2</v>
      </c>
      <c r="J44" s="9">
        <v>2.8E-3</v>
      </c>
      <c r="K44" s="9">
        <v>2.0999999999999999E-3</v>
      </c>
      <c r="L44" s="9">
        <v>3.0000000000000001E-3</v>
      </c>
      <c r="M44" s="9">
        <v>2.5000000000000001E-3</v>
      </c>
      <c r="N44" s="9">
        <v>3.3999999999999998E-3</v>
      </c>
      <c r="O44" s="9">
        <v>5.5999999999999999E-3</v>
      </c>
      <c r="P44" s="9">
        <v>2.8999999999999998E-3</v>
      </c>
      <c r="Q44" s="9">
        <v>4.1999999999999997E-3</v>
      </c>
      <c r="R44" s="9">
        <v>2.3E-3</v>
      </c>
      <c r="S44" s="9">
        <v>2.5000000000000001E-3</v>
      </c>
      <c r="T44" s="9">
        <v>2.5999999999999999E-3</v>
      </c>
      <c r="U44" s="9">
        <v>3.3999999999999998E-3</v>
      </c>
      <c r="V44" s="9">
        <v>2.5000000000000001E-3</v>
      </c>
      <c r="W44" s="9">
        <v>2E-3</v>
      </c>
      <c r="X44" s="9">
        <v>1E-3</v>
      </c>
      <c r="Y44" s="9">
        <v>3.5000000000000001E-3</v>
      </c>
      <c r="Z44" s="9">
        <v>1.6999999999999999E-3</v>
      </c>
      <c r="AA44" s="9">
        <v>1.6999999999999999E-3</v>
      </c>
      <c r="AB44" s="9">
        <v>1.6000000000000001E-3</v>
      </c>
      <c r="AC44" s="9">
        <v>1.2999999999999999E-3</v>
      </c>
    </row>
    <row r="45" spans="1:29" x14ac:dyDescent="0.3">
      <c r="B45" s="5">
        <v>202511</v>
      </c>
      <c r="C45" s="5"/>
      <c r="D45" s="9">
        <v>2.3E-3</v>
      </c>
      <c r="E45" s="9">
        <v>3.5999999999999999E-3</v>
      </c>
      <c r="F45" s="9">
        <v>2.2000000000000001E-3</v>
      </c>
      <c r="G45" s="9">
        <v>5.0000000000000001E-3</v>
      </c>
      <c r="H45" s="9">
        <v>4.1000000000000003E-3</v>
      </c>
      <c r="I45" s="9">
        <v>6.6E-3</v>
      </c>
      <c r="J45" s="9">
        <v>1.9E-3</v>
      </c>
      <c r="K45" s="9">
        <v>2.0999999999999999E-3</v>
      </c>
      <c r="L45" s="9">
        <v>1.2999999999999999E-3</v>
      </c>
      <c r="M45" s="9">
        <v>2E-3</v>
      </c>
      <c r="N45" s="9">
        <v>2.5999999999999999E-3</v>
      </c>
      <c r="O45" s="9">
        <v>3.5000000000000001E-3</v>
      </c>
      <c r="P45" s="9">
        <v>2.5000000000000001E-3</v>
      </c>
      <c r="Q45" s="9">
        <v>3.5000000000000001E-3</v>
      </c>
      <c r="R45" s="9">
        <v>2.3E-3</v>
      </c>
      <c r="S45" s="9">
        <v>3.0000000000000001E-3</v>
      </c>
      <c r="T45" s="9">
        <v>2.3E-3</v>
      </c>
      <c r="U45" s="9">
        <v>3.0999999999999999E-3</v>
      </c>
      <c r="V45" s="9">
        <v>2.8E-3</v>
      </c>
      <c r="W45" s="9">
        <v>1.9E-3</v>
      </c>
      <c r="X45" s="9">
        <v>8.9999999999999998E-4</v>
      </c>
      <c r="Y45" s="9">
        <v>3.5000000000000001E-3</v>
      </c>
      <c r="Z45" s="9">
        <v>1.5E-3</v>
      </c>
      <c r="AA45" s="9">
        <v>1.1000000000000001E-3</v>
      </c>
      <c r="AB45" s="9">
        <v>1.1999999999999999E-3</v>
      </c>
      <c r="AC45" s="9">
        <v>1.4E-3</v>
      </c>
    </row>
    <row r="46" spans="1:29" x14ac:dyDescent="0.3">
      <c r="B46" s="5">
        <v>202512</v>
      </c>
      <c r="C46" s="5"/>
      <c r="D46" s="9">
        <v>2.5000000000000001E-3</v>
      </c>
      <c r="E46" s="9">
        <v>3.0999999999999999E-3</v>
      </c>
      <c r="F46" s="9">
        <v>2.3999999999999998E-3</v>
      </c>
      <c r="G46" s="9">
        <v>3.3999999999999998E-3</v>
      </c>
      <c r="H46" s="9">
        <v>3.2000000000000002E-3</v>
      </c>
      <c r="I46" s="9">
        <v>4.7000000000000002E-3</v>
      </c>
      <c r="J46" s="9">
        <v>8.9999999999999998E-4</v>
      </c>
      <c r="K46" s="9">
        <v>4.1999999999999997E-3</v>
      </c>
      <c r="L46" s="9">
        <v>2.5999999999999999E-3</v>
      </c>
      <c r="M46" s="9">
        <v>1.9E-3</v>
      </c>
      <c r="N46" s="9">
        <v>3.2000000000000002E-3</v>
      </c>
      <c r="O46" s="9">
        <v>4.4000000000000003E-3</v>
      </c>
      <c r="P46" s="9">
        <v>3.7000000000000002E-3</v>
      </c>
      <c r="Q46" s="9">
        <v>3.2000000000000002E-3</v>
      </c>
      <c r="R46" s="9">
        <v>2.5999999999999999E-3</v>
      </c>
      <c r="S46" s="9">
        <v>3.3999999999999998E-3</v>
      </c>
      <c r="T46" s="9">
        <v>2.5000000000000001E-3</v>
      </c>
      <c r="U46" s="9">
        <v>3.0999999999999999E-3</v>
      </c>
      <c r="V46" s="9">
        <v>3.2000000000000002E-3</v>
      </c>
      <c r="W46" s="9">
        <v>1.5E-3</v>
      </c>
      <c r="X46" s="9">
        <v>8.0000000000000004E-4</v>
      </c>
      <c r="Y46" s="9">
        <v>3.8999999999999998E-3</v>
      </c>
      <c r="Z46" s="9">
        <v>3.5999999999999999E-3</v>
      </c>
      <c r="AA46" s="9">
        <v>1.1000000000000001E-3</v>
      </c>
      <c r="AB46" s="9">
        <v>1E-3</v>
      </c>
      <c r="AC46" s="9">
        <v>8.9999999999999998E-4</v>
      </c>
    </row>
    <row r="47" spans="1:29" x14ac:dyDescent="0.3">
      <c r="B47" s="5">
        <v>202513</v>
      </c>
      <c r="C47" s="5"/>
      <c r="D47" s="9">
        <v>2.5000000000000001E-3</v>
      </c>
      <c r="E47" s="9">
        <v>3.0000000000000001E-3</v>
      </c>
      <c r="F47" s="9">
        <v>2.5000000000000001E-3</v>
      </c>
      <c r="G47" s="9">
        <v>3.0000000000000001E-3</v>
      </c>
      <c r="H47" s="9">
        <v>2.8999999999999998E-3</v>
      </c>
      <c r="I47" s="9">
        <v>4.7000000000000002E-3</v>
      </c>
      <c r="J47" s="9">
        <v>2.5999999999999999E-3</v>
      </c>
      <c r="K47" s="9">
        <v>4.4999999999999997E-3</v>
      </c>
      <c r="L47" s="9">
        <v>1.6999999999999999E-3</v>
      </c>
      <c r="M47" s="9">
        <v>2E-3</v>
      </c>
      <c r="N47" s="9">
        <v>3.5999999999999999E-3</v>
      </c>
      <c r="O47" s="9">
        <v>5.3E-3</v>
      </c>
      <c r="P47" s="9">
        <v>2.5000000000000001E-3</v>
      </c>
      <c r="Q47" s="9">
        <v>3.8E-3</v>
      </c>
      <c r="R47" s="9">
        <v>3.0000000000000001E-3</v>
      </c>
      <c r="S47" s="9">
        <v>3.5999999999999999E-3</v>
      </c>
      <c r="T47" s="9">
        <v>2.5000000000000001E-3</v>
      </c>
      <c r="U47" s="9">
        <v>3.5000000000000001E-3</v>
      </c>
      <c r="V47" s="9">
        <v>3.0999999999999999E-3</v>
      </c>
      <c r="W47" s="9">
        <v>2E-3</v>
      </c>
      <c r="X47" s="9">
        <v>1.1000000000000001E-3</v>
      </c>
      <c r="Y47" s="9">
        <v>3.7000000000000002E-3</v>
      </c>
      <c r="Z47" s="9">
        <v>1.8E-3</v>
      </c>
      <c r="AA47" s="9">
        <v>1.6999999999999999E-3</v>
      </c>
      <c r="AB47" s="9">
        <v>8.9999999999999998E-4</v>
      </c>
      <c r="AC47" s="9">
        <v>1E-3</v>
      </c>
    </row>
    <row r="48" spans="1:29" x14ac:dyDescent="0.3">
      <c r="B48" s="5">
        <v>202514</v>
      </c>
      <c r="C48" s="5"/>
      <c r="D48" s="9">
        <v>2.5999999999999999E-3</v>
      </c>
      <c r="E48" s="9">
        <v>4.1999999999999997E-3</v>
      </c>
      <c r="F48" s="9">
        <v>2.5000000000000001E-3</v>
      </c>
      <c r="G48" s="9">
        <v>4.8999999999999998E-3</v>
      </c>
      <c r="H48" s="9">
        <v>3.2000000000000002E-3</v>
      </c>
      <c r="I48" s="9">
        <v>2.8E-3</v>
      </c>
      <c r="J48" s="9">
        <v>6.1000000000000004E-3</v>
      </c>
      <c r="K48" s="9">
        <v>7.1000000000000004E-3</v>
      </c>
      <c r="L48" s="9">
        <v>8.9999999999999998E-4</v>
      </c>
      <c r="M48" s="9">
        <v>2.0999999999999999E-3</v>
      </c>
      <c r="N48" s="9">
        <v>3.7000000000000002E-3</v>
      </c>
      <c r="O48" s="9">
        <v>3.8999999999999998E-3</v>
      </c>
      <c r="P48" s="9">
        <v>2.5000000000000001E-3</v>
      </c>
      <c r="Q48" s="9">
        <v>-1</v>
      </c>
      <c r="R48" s="9">
        <v>2.8E-3</v>
      </c>
      <c r="S48" s="9">
        <v>3.5999999999999999E-3</v>
      </c>
      <c r="T48" s="9">
        <v>2.0999999999999999E-3</v>
      </c>
      <c r="U48" s="9">
        <v>3.2000000000000002E-3</v>
      </c>
      <c r="V48" s="9">
        <v>3.2000000000000002E-3</v>
      </c>
      <c r="W48" s="9">
        <v>2.3999999999999998E-3</v>
      </c>
      <c r="X48" s="9">
        <v>1.1999999999999999E-3</v>
      </c>
      <c r="Y48" s="9">
        <v>4.7999999999999996E-3</v>
      </c>
      <c r="Z48" s="9">
        <v>1.6999999999999999E-3</v>
      </c>
      <c r="AA48" s="9">
        <v>1.6999999999999999E-3</v>
      </c>
      <c r="AB48" s="9">
        <v>1.1000000000000001E-3</v>
      </c>
      <c r="AC48" s="9">
        <v>1.1000000000000001E-3</v>
      </c>
    </row>
    <row r="49" spans="2:29" x14ac:dyDescent="0.3">
      <c r="B49" s="5">
        <v>202515</v>
      </c>
      <c r="C49" s="5"/>
      <c r="D49" s="9">
        <v>2.5000000000000001E-3</v>
      </c>
      <c r="E49" s="9">
        <v>3.3E-3</v>
      </c>
      <c r="F49" s="9">
        <v>2.3999999999999998E-3</v>
      </c>
      <c r="G49" s="9">
        <v>5.1000000000000004E-3</v>
      </c>
      <c r="H49" s="9">
        <v>2.8E-3</v>
      </c>
      <c r="I49" s="9">
        <v>1.9E-3</v>
      </c>
      <c r="J49" s="9">
        <v>2.3999999999999998E-3</v>
      </c>
      <c r="K49" s="9">
        <v>3.0999999999999999E-3</v>
      </c>
      <c r="L49" s="9">
        <v>1.5E-3</v>
      </c>
      <c r="M49" s="9">
        <v>1.8E-3</v>
      </c>
      <c r="N49" s="9"/>
      <c r="O49" s="9">
        <v>5.3E-3</v>
      </c>
      <c r="P49" s="9">
        <v>2.5000000000000001E-3</v>
      </c>
      <c r="Q49" s="9"/>
      <c r="R49" s="9">
        <v>2.5000000000000001E-3</v>
      </c>
      <c r="S49" s="9">
        <v>3.7000000000000002E-3</v>
      </c>
      <c r="T49" s="9">
        <v>2.5999999999999999E-3</v>
      </c>
      <c r="U49" s="9">
        <v>2.8999999999999998E-3</v>
      </c>
      <c r="V49" s="9">
        <v>3.5999999999999999E-3</v>
      </c>
      <c r="W49" s="9">
        <v>2.5999999999999999E-3</v>
      </c>
      <c r="X49" s="9">
        <v>8.0000000000000004E-4</v>
      </c>
      <c r="Y49" s="9">
        <v>3.7000000000000002E-3</v>
      </c>
      <c r="Z49" s="9">
        <v>1.9E-3</v>
      </c>
      <c r="AA49" s="9">
        <v>1.4E-3</v>
      </c>
      <c r="AB49" s="9">
        <v>8.9999999999999998E-4</v>
      </c>
      <c r="AC49" s="9">
        <v>1.4E-3</v>
      </c>
    </row>
    <row r="50" spans="2:29" ht="15" thickBot="1" x14ac:dyDescent="0.35">
      <c r="B50" s="5">
        <v>202516</v>
      </c>
      <c r="C50" s="5"/>
      <c r="D50" s="9">
        <v>2.7000000000000001E-3</v>
      </c>
      <c r="E50" s="9">
        <v>2.8E-3</v>
      </c>
      <c r="F50" s="9">
        <v>2.5999999999999999E-3</v>
      </c>
      <c r="G50" s="9">
        <v>3.8999999999999998E-3</v>
      </c>
      <c r="H50" s="9">
        <v>2.5000000000000001E-3</v>
      </c>
      <c r="I50" s="9">
        <v>2.8999999999999998E-3</v>
      </c>
      <c r="J50" s="9">
        <v>1.9E-3</v>
      </c>
      <c r="K50" s="9">
        <v>2.2000000000000001E-3</v>
      </c>
      <c r="L50" s="9">
        <v>2.5999999999999999E-3</v>
      </c>
      <c r="M50" s="9">
        <v>1.9E-3</v>
      </c>
      <c r="N50" s="9"/>
      <c r="O50" s="9">
        <v>5.0000000000000001E-3</v>
      </c>
      <c r="P50" s="9">
        <v>2.5000000000000001E-3</v>
      </c>
      <c r="Q50" s="9"/>
      <c r="R50" s="9">
        <v>2.8E-3</v>
      </c>
      <c r="S50" s="9">
        <v>4.0000000000000001E-3</v>
      </c>
      <c r="T50" s="9">
        <v>2.3E-3</v>
      </c>
      <c r="U50" s="9">
        <v>3.0999999999999999E-3</v>
      </c>
      <c r="V50" s="9">
        <v>3.5999999999999999E-3</v>
      </c>
      <c r="W50" s="9">
        <v>3.3999999999999998E-3</v>
      </c>
      <c r="X50" s="9">
        <v>1.1999999999999999E-3</v>
      </c>
      <c r="Y50" s="9">
        <v>4.3E-3</v>
      </c>
      <c r="Z50" s="9">
        <v>2.2000000000000001E-3</v>
      </c>
      <c r="AA50" s="9">
        <v>1.6000000000000001E-3</v>
      </c>
      <c r="AB50" s="9">
        <v>1.2999999999999999E-3</v>
      </c>
      <c r="AC50" s="9">
        <v>1.2999999999999999E-3</v>
      </c>
    </row>
    <row r="51" spans="2:29" ht="15" thickBot="1" x14ac:dyDescent="0.35">
      <c r="B51" s="22" t="s">
        <v>82</v>
      </c>
      <c r="C51" s="22"/>
      <c r="D51" s="24">
        <f t="shared" ref="D51:AC51" si="23">AVERAGE(D35:D50)</f>
        <v>2.5562500000000004E-3</v>
      </c>
      <c r="E51" s="24">
        <f t="shared" si="23"/>
        <v>4.6187499999999996E-3</v>
      </c>
      <c r="F51" s="24">
        <f t="shared" si="23"/>
        <v>2.3749999999999995E-3</v>
      </c>
      <c r="G51" s="24">
        <f t="shared" si="23"/>
        <v>6.6750000000000012E-3</v>
      </c>
      <c r="H51" s="24">
        <f t="shared" si="23"/>
        <v>4.4000000000000003E-3</v>
      </c>
      <c r="I51" s="24">
        <f t="shared" si="23"/>
        <v>4.7624999999999994E-3</v>
      </c>
      <c r="J51" s="24">
        <f t="shared" si="23"/>
        <v>3.0187499999999997E-3</v>
      </c>
      <c r="K51" s="24">
        <f t="shared" si="23"/>
        <v>3.7374999999999995E-3</v>
      </c>
      <c r="L51" s="24">
        <f t="shared" si="23"/>
        <v>2.2750000000000001E-3</v>
      </c>
      <c r="M51" s="24">
        <f t="shared" si="23"/>
        <v>2.725E-3</v>
      </c>
      <c r="N51" s="24">
        <f t="shared" si="23"/>
        <v>2.8785714285714287E-3</v>
      </c>
      <c r="O51" s="24">
        <f t="shared" si="23"/>
        <v>5.7750000000000006E-3</v>
      </c>
      <c r="P51" s="24">
        <f t="shared" si="23"/>
        <v>2.6437500000000003E-3</v>
      </c>
      <c r="Q51" s="24">
        <f t="shared" si="23"/>
        <v>-6.7871428571428569E-2</v>
      </c>
      <c r="R51" s="24">
        <f t="shared" si="23"/>
        <v>2.0687499999999998E-3</v>
      </c>
      <c r="S51" s="24">
        <f t="shared" si="23"/>
        <v>2.7625000000000002E-3</v>
      </c>
      <c r="T51" s="24">
        <f t="shared" si="23"/>
        <v>3.2749999999999993E-3</v>
      </c>
      <c r="U51" s="24">
        <f t="shared" si="23"/>
        <v>3.7124999999999997E-3</v>
      </c>
      <c r="V51" s="24">
        <f t="shared" si="23"/>
        <v>2.8499999999999997E-3</v>
      </c>
      <c r="W51" s="24">
        <f t="shared" si="23"/>
        <v>1.7812499999999998E-3</v>
      </c>
      <c r="X51" s="24">
        <f t="shared" si="23"/>
        <v>9.0625000000000005E-4</v>
      </c>
      <c r="Y51" s="24">
        <f t="shared" si="23"/>
        <v>3.3E-3</v>
      </c>
      <c r="Z51" s="24">
        <f t="shared" si="23"/>
        <v>1.71875E-3</v>
      </c>
      <c r="AA51" s="24">
        <f t="shared" si="23"/>
        <v>1.3363636363636364E-3</v>
      </c>
      <c r="AB51" s="24">
        <f t="shared" si="23"/>
        <v>9.7272727272727257E-4</v>
      </c>
      <c r="AC51" s="24">
        <f t="shared" si="23"/>
        <v>1.03125E-3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T52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45767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45773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119</v>
      </c>
      <c r="C6" s="7">
        <v>9</v>
      </c>
      <c r="D6" s="7">
        <v>7</v>
      </c>
      <c r="E6" s="7">
        <v>1197</v>
      </c>
      <c r="F6" s="7">
        <v>1046</v>
      </c>
      <c r="G6" s="7">
        <v>4</v>
      </c>
      <c r="H6" s="9">
        <f t="shared" ref="H6:H12" si="0">IFERROR(G6/F6,0)</f>
        <v>3.8240917782026767E-3</v>
      </c>
      <c r="I6" s="9">
        <f>IFERROR((1197-F6)/1197,0)</f>
        <v>0.12614870509607351</v>
      </c>
      <c r="J6" s="7">
        <v>4530</v>
      </c>
      <c r="K6" s="11">
        <f t="shared" ref="K6:K12" si="1">IFERROR(J6/D6/F6*100,0)</f>
        <v>61.868341983064731</v>
      </c>
      <c r="L6" s="11">
        <f>K6-62.8571</f>
        <v>-0.98875801693527166</v>
      </c>
      <c r="M6" s="11">
        <v>83</v>
      </c>
      <c r="N6" s="11">
        <f t="shared" ref="N6:N12" si="2">K6-M6</f>
        <v>-21.131658016935269</v>
      </c>
      <c r="O6" s="11">
        <f>IFERROR(124010/1197,0)</f>
        <v>103.60066833751044</v>
      </c>
      <c r="P6" s="11">
        <v>0</v>
      </c>
      <c r="Q6" s="11">
        <f t="shared" ref="Q6:Q11" si="3">IFERROR(O6-P6,0)</f>
        <v>103.60066833751044</v>
      </c>
      <c r="R6" s="7">
        <v>938</v>
      </c>
      <c r="S6" s="11">
        <f t="shared" ref="S6:S11" si="4">IFERROR(R6/D6/F6*1000,0)</f>
        <v>128.10707456978969</v>
      </c>
      <c r="T6" s="13">
        <f t="shared" ref="T6:T12" si="5">IFERROR(J6/R6,0)</f>
        <v>4.8294243070362475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207.06401766004413</v>
      </c>
      <c r="Z6" s="11">
        <f t="shared" ref="Z6:Z12" si="9">IFERROR(Y6*X6/1000,0)</f>
        <v>61.473165562913898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26</v>
      </c>
      <c r="AG6" s="7">
        <f t="shared" ref="AG6:AG11" si="10">IF(M6=0,0,IFERROR(N6/100*7*F6,0))</f>
        <v>-1547.2600000000007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79</v>
      </c>
      <c r="C7" s="7">
        <v>9</v>
      </c>
      <c r="D7" s="7">
        <v>7</v>
      </c>
      <c r="E7" s="7">
        <v>14440</v>
      </c>
      <c r="F7" s="7">
        <v>11404</v>
      </c>
      <c r="G7" s="7">
        <v>32</v>
      </c>
      <c r="H7" s="9">
        <f t="shared" si="0"/>
        <v>2.8060329708874078E-3</v>
      </c>
      <c r="I7" s="9">
        <f>IFERROR((14440-F7)/14440,0)</f>
        <v>0.21024930747922438</v>
      </c>
      <c r="J7" s="7">
        <v>58410</v>
      </c>
      <c r="K7" s="11">
        <f t="shared" si="1"/>
        <v>73.169815102470309</v>
      </c>
      <c r="L7" s="11">
        <f>K7-68.4305</f>
        <v>4.7393151024703144</v>
      </c>
      <c r="M7" s="11">
        <v>83</v>
      </c>
      <c r="N7" s="11">
        <f t="shared" si="2"/>
        <v>-9.8301848975296906</v>
      </c>
      <c r="O7" s="11">
        <f>IFERROR(4352200/14440,0)</f>
        <v>301.39889196675898</v>
      </c>
      <c r="P7" s="11">
        <v>0</v>
      </c>
      <c r="Q7" s="11">
        <f t="shared" si="3"/>
        <v>301.39889196675898</v>
      </c>
      <c r="R7" s="7">
        <v>10430</v>
      </c>
      <c r="S7" s="11">
        <f t="shared" si="4"/>
        <v>130.65591020694492</v>
      </c>
      <c r="T7" s="13">
        <f t="shared" si="5"/>
        <v>5.6001917545541708</v>
      </c>
      <c r="U7" s="7">
        <v>0</v>
      </c>
      <c r="V7" s="11">
        <f t="shared" si="6"/>
        <v>0</v>
      </c>
      <c r="W7" s="11">
        <f t="shared" si="7"/>
        <v>0</v>
      </c>
      <c r="X7" s="11">
        <v>319.84285714290002</v>
      </c>
      <c r="Y7" s="11">
        <f t="shared" si="8"/>
        <v>178.56531415853451</v>
      </c>
      <c r="Z7" s="11">
        <f t="shared" si="9"/>
        <v>57.112840267085218</v>
      </c>
      <c r="AA7" s="7">
        <v>2060</v>
      </c>
      <c r="AB7" s="15">
        <f>IFERROR(AA7/1970,0)</f>
        <v>1.0456852791878173</v>
      </c>
      <c r="AC7" s="11">
        <v>0</v>
      </c>
      <c r="AD7" s="15">
        <f>IFERROR(AC7/64.7,0)</f>
        <v>0</v>
      </c>
      <c r="AE7" s="11">
        <v>0</v>
      </c>
      <c r="AF7" s="11">
        <v>26</v>
      </c>
      <c r="AG7" s="7">
        <f t="shared" si="10"/>
        <v>-7847.2400000000016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79</v>
      </c>
      <c r="C8" s="7">
        <v>9</v>
      </c>
      <c r="D8" s="7">
        <v>7</v>
      </c>
      <c r="E8" s="7">
        <v>16063</v>
      </c>
      <c r="F8" s="7">
        <v>13309</v>
      </c>
      <c r="G8" s="7">
        <v>39</v>
      </c>
      <c r="H8" s="9">
        <f t="shared" si="0"/>
        <v>2.9303478848899242E-3</v>
      </c>
      <c r="I8" s="9">
        <f>IFERROR((16063-F8)/16063,0)</f>
        <v>0.17144991595592354</v>
      </c>
      <c r="J8" s="7">
        <v>64020</v>
      </c>
      <c r="K8" s="11">
        <f t="shared" si="1"/>
        <v>68.718267981924157</v>
      </c>
      <c r="L8" s="11">
        <f>K8-64.9214</f>
        <v>3.7968679819241515</v>
      </c>
      <c r="M8" s="11">
        <v>79</v>
      </c>
      <c r="N8" s="11">
        <f t="shared" si="2"/>
        <v>-10.281732018075843</v>
      </c>
      <c r="O8" s="11">
        <f>IFERROR(4522530/16063,0)</f>
        <v>281.54952375023345</v>
      </c>
      <c r="P8" s="11">
        <v>0</v>
      </c>
      <c r="Q8" s="11">
        <f t="shared" si="3"/>
        <v>281.54952375023345</v>
      </c>
      <c r="R8" s="7">
        <v>10920</v>
      </c>
      <c r="S8" s="11">
        <f t="shared" si="4"/>
        <v>117.21391539559696</v>
      </c>
      <c r="T8" s="13">
        <f t="shared" si="5"/>
        <v>5.8626373626373622</v>
      </c>
      <c r="U8" s="7">
        <v>0</v>
      </c>
      <c r="V8" s="11">
        <f t="shared" si="6"/>
        <v>0</v>
      </c>
      <c r="W8" s="11">
        <f t="shared" si="7"/>
        <v>0</v>
      </c>
      <c r="X8" s="11">
        <v>317.14285714290003</v>
      </c>
      <c r="Y8" s="11">
        <f t="shared" si="8"/>
        <v>170.57169634489219</v>
      </c>
      <c r="Z8" s="11">
        <f t="shared" si="9"/>
        <v>54.095595126530263</v>
      </c>
      <c r="AA8" s="7">
        <v>0</v>
      </c>
      <c r="AB8" s="15">
        <f>IFERROR(AA8/1580,0)</f>
        <v>0</v>
      </c>
      <c r="AC8" s="11">
        <v>0</v>
      </c>
      <c r="AD8" s="15">
        <f>IFERROR(AC8/63.5,0)</f>
        <v>0</v>
      </c>
      <c r="AE8" s="11">
        <v>0</v>
      </c>
      <c r="AF8" s="11">
        <v>26</v>
      </c>
      <c r="AG8" s="7">
        <f t="shared" si="10"/>
        <v>-9578.7699999999968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40</v>
      </c>
      <c r="C9" s="7"/>
      <c r="D9" s="7">
        <v>7</v>
      </c>
      <c r="E9" s="7">
        <v>4686</v>
      </c>
      <c r="F9" s="7">
        <v>4224</v>
      </c>
      <c r="G9" s="7">
        <v>6</v>
      </c>
      <c r="H9" s="9">
        <f t="shared" si="0"/>
        <v>1.4204545454545455E-3</v>
      </c>
      <c r="I9" s="9">
        <f>IFERROR((4686-F9)/4686,0)</f>
        <v>9.8591549295774641E-2</v>
      </c>
      <c r="J9" s="7">
        <v>29850</v>
      </c>
      <c r="K9" s="11">
        <f t="shared" si="1"/>
        <v>100.95373376623378</v>
      </c>
      <c r="L9" s="11">
        <f>K9-100.9119</f>
        <v>4.1833766233779102E-2</v>
      </c>
      <c r="M9" s="11">
        <v>92.5</v>
      </c>
      <c r="N9" s="11">
        <f t="shared" si="2"/>
        <v>8.4537337662337819</v>
      </c>
      <c r="O9" s="11">
        <f>IFERROR(582060/4686,0)</f>
        <v>124.21254801536492</v>
      </c>
      <c r="P9" s="11">
        <v>136</v>
      </c>
      <c r="Q9" s="11">
        <f t="shared" si="3"/>
        <v>-11.787451984635084</v>
      </c>
      <c r="R9" s="7">
        <v>4908</v>
      </c>
      <c r="S9" s="11">
        <f t="shared" si="4"/>
        <v>165.99025974025975</v>
      </c>
      <c r="T9" s="13">
        <f t="shared" si="5"/>
        <v>6.081907090464548</v>
      </c>
      <c r="U9" s="7">
        <v>5040</v>
      </c>
      <c r="V9" s="11">
        <f t="shared" si="6"/>
        <v>170.45454545454544</v>
      </c>
      <c r="W9" s="11">
        <f t="shared" si="7"/>
        <v>1.0268948655256722</v>
      </c>
      <c r="X9" s="11">
        <v>310.93714285710001</v>
      </c>
      <c r="Y9" s="11">
        <f t="shared" si="8"/>
        <v>164.4221105527638</v>
      </c>
      <c r="Z9" s="11">
        <f t="shared" si="9"/>
        <v>51.124941277810606</v>
      </c>
      <c r="AA9" s="7">
        <v>1987</v>
      </c>
      <c r="AB9" s="15">
        <f>IFERROR(AA9/1930,0)</f>
        <v>1.0295336787564766</v>
      </c>
      <c r="AC9" s="11">
        <v>0</v>
      </c>
      <c r="AD9" s="15">
        <f>IFERROR(AC9/62.3,0)</f>
        <v>0</v>
      </c>
      <c r="AE9" s="11">
        <v>14</v>
      </c>
      <c r="AF9" s="11">
        <v>28</v>
      </c>
      <c r="AG9" s="7">
        <f t="shared" si="10"/>
        <v>2499.6000000000045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79</v>
      </c>
      <c r="C10" s="7">
        <v>10</v>
      </c>
      <c r="D10" s="7">
        <v>7</v>
      </c>
      <c r="E10" s="7">
        <v>5000</v>
      </c>
      <c r="F10" s="7">
        <v>4169</v>
      </c>
      <c r="G10" s="7">
        <v>10</v>
      </c>
      <c r="H10" s="9">
        <f t="shared" si="0"/>
        <v>2.3986567522187576E-3</v>
      </c>
      <c r="I10" s="9">
        <f>IFERROR((5000-F10)/5000,0)</f>
        <v>0.16619999999999999</v>
      </c>
      <c r="J10" s="7">
        <v>27120</v>
      </c>
      <c r="K10" s="11">
        <f t="shared" si="1"/>
        <v>92.93081588596101</v>
      </c>
      <c r="L10" s="11">
        <f>K10-92.6059</f>
        <v>0.32491588596100485</v>
      </c>
      <c r="M10" s="11">
        <v>85</v>
      </c>
      <c r="N10" s="11">
        <f t="shared" si="2"/>
        <v>7.9308158859610103</v>
      </c>
      <c r="O10" s="11">
        <f>IFERROR(1580840/5000,0)</f>
        <v>316.16800000000001</v>
      </c>
      <c r="P10" s="11">
        <v>0</v>
      </c>
      <c r="Q10" s="11">
        <f t="shared" si="3"/>
        <v>316.16800000000001</v>
      </c>
      <c r="R10" s="7">
        <v>4808</v>
      </c>
      <c r="S10" s="11">
        <f t="shared" si="4"/>
        <v>164.75345235239695</v>
      </c>
      <c r="T10" s="13">
        <f t="shared" si="5"/>
        <v>5.6405990016638938</v>
      </c>
      <c r="U10" s="7">
        <v>4320</v>
      </c>
      <c r="V10" s="11">
        <f t="shared" si="6"/>
        <v>148.03138813692902</v>
      </c>
      <c r="W10" s="11">
        <f t="shared" si="7"/>
        <v>0.89850249584026609</v>
      </c>
      <c r="X10" s="11">
        <v>374.81</v>
      </c>
      <c r="Y10" s="11">
        <f t="shared" si="8"/>
        <v>177.28613569321533</v>
      </c>
      <c r="Z10" s="11">
        <f t="shared" si="9"/>
        <v>66.448616519174038</v>
      </c>
      <c r="AA10" s="7">
        <v>1945</v>
      </c>
      <c r="AB10" s="15">
        <f>IFERROR(AA10/1970,0)</f>
        <v>0.98730964467005078</v>
      </c>
      <c r="AC10" s="11">
        <v>0</v>
      </c>
      <c r="AD10" s="15">
        <f>IFERROR(AC10/64.7,0)</f>
        <v>0</v>
      </c>
      <c r="AE10" s="11">
        <v>15</v>
      </c>
      <c r="AF10" s="11">
        <v>24</v>
      </c>
      <c r="AG10" s="7">
        <f t="shared" si="10"/>
        <v>2314.4500000000021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40</v>
      </c>
      <c r="C11" s="7"/>
      <c r="D11" s="7">
        <v>7</v>
      </c>
      <c r="E11" s="7">
        <v>4819</v>
      </c>
      <c r="F11" s="7">
        <v>4599</v>
      </c>
      <c r="G11" s="7">
        <v>8</v>
      </c>
      <c r="H11" s="9">
        <f t="shared" si="0"/>
        <v>1.7395085888236572E-3</v>
      </c>
      <c r="I11" s="9">
        <f>IFERROR((4819-F11)/4819,0)</f>
        <v>4.5652625025938989E-2</v>
      </c>
      <c r="J11" s="7">
        <v>30960</v>
      </c>
      <c r="K11" s="11">
        <f t="shared" si="1"/>
        <v>96.16997483925077</v>
      </c>
      <c r="L11" s="11">
        <f>K11-94.7936</f>
        <v>1.3763748392507722</v>
      </c>
      <c r="M11" s="11">
        <v>92.5</v>
      </c>
      <c r="N11" s="11">
        <f t="shared" si="2"/>
        <v>3.6699748392507701</v>
      </c>
      <c r="O11" s="11">
        <f>IFERROR(616016/4819,0)</f>
        <v>127.83067026354016</v>
      </c>
      <c r="P11" s="11">
        <v>136</v>
      </c>
      <c r="Q11" s="11">
        <f t="shared" si="3"/>
        <v>-8.1693297364598436</v>
      </c>
      <c r="R11" s="7">
        <v>5117</v>
      </c>
      <c r="S11" s="11">
        <f t="shared" si="4"/>
        <v>158.94759730376168</v>
      </c>
      <c r="T11" s="13">
        <f t="shared" si="5"/>
        <v>6.0504201680672267</v>
      </c>
      <c r="U11" s="7">
        <v>5040</v>
      </c>
      <c r="V11" s="11">
        <f t="shared" si="6"/>
        <v>156.55577299412914</v>
      </c>
      <c r="W11" s="11">
        <f t="shared" si="7"/>
        <v>0.98495212038303681</v>
      </c>
      <c r="X11" s="11">
        <v>362.76</v>
      </c>
      <c r="Y11" s="11">
        <f t="shared" si="8"/>
        <v>165.27777777777777</v>
      </c>
      <c r="Z11" s="11">
        <f t="shared" si="9"/>
        <v>59.956166666666661</v>
      </c>
      <c r="AA11" s="7">
        <v>1985</v>
      </c>
      <c r="AB11" s="15">
        <f>IFERROR(AA11/1930,0)</f>
        <v>1.028497409326425</v>
      </c>
      <c r="AC11" s="11">
        <v>0</v>
      </c>
      <c r="AD11" s="15">
        <f>IFERROR(AC11/62.3,0)</f>
        <v>0</v>
      </c>
      <c r="AE11" s="11">
        <v>14</v>
      </c>
      <c r="AF11" s="11">
        <v>26</v>
      </c>
      <c r="AG11" s="7">
        <f t="shared" si="10"/>
        <v>1181.4750000000004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38751</v>
      </c>
      <c r="G12" s="17">
        <f>SUM(G6:G11)</f>
        <v>99</v>
      </c>
      <c r="H12" s="18">
        <f t="shared" si="0"/>
        <v>2.554772780057289E-3</v>
      </c>
      <c r="I12" s="18"/>
      <c r="J12" s="17">
        <f>SUM(J6:J11)</f>
        <v>214890</v>
      </c>
      <c r="K12" s="19">
        <f t="shared" si="1"/>
        <v>79.220075426624931</v>
      </c>
      <c r="L12" s="19"/>
      <c r="M12" s="19">
        <f>IFERROR(SUMPRODUCT($F6:$F11,M6:M11)/$F12, 0)</f>
        <v>84.004374080668882</v>
      </c>
      <c r="N12" s="19">
        <f t="shared" si="2"/>
        <v>-4.7842986540439512</v>
      </c>
      <c r="O12" s="19">
        <f>IFERROR(SUMPRODUCT($E6:$E11,O6:O11)/$E12, 0)</f>
        <v>254.90003246401903</v>
      </c>
      <c r="P12" s="19">
        <f>IFERROR(SUMPRODUCT($E6:$E11,P6:P11)/$E12, 0)</f>
        <v>27.977058759874474</v>
      </c>
      <c r="Q12" s="19">
        <f>IFERROR(SUMPRODUCT($E6:$E11,Q6:Q11)/$E12, 0)</f>
        <v>226.92297370414457</v>
      </c>
      <c r="R12" s="17">
        <f>SUM(R6:R11)</f>
        <v>37121</v>
      </c>
      <c r="S12" s="19">
        <f>IFERROR(R12/D12/$F12*1000,0)</f>
        <v>136.8480813398364</v>
      </c>
      <c r="T12" s="20">
        <f t="shared" si="5"/>
        <v>5.7889065488537481</v>
      </c>
      <c r="U12" s="17">
        <f>SUM(U6:U11)</f>
        <v>14400</v>
      </c>
      <c r="V12" s="19">
        <f>IFERROR(U12/D12/$F12*1000,0)</f>
        <v>53.086187637554055</v>
      </c>
      <c r="W12" s="19">
        <f t="shared" si="7"/>
        <v>0.38792058403599039</v>
      </c>
      <c r="X12" s="19">
        <f>IFERROR(SUMPRODUCT(R6:R11,X6:X11)/R12,0)</f>
        <v>330.32632033467746</v>
      </c>
      <c r="Y12" s="19">
        <f>IFERROR(($F12*S12)/($F12*K12)*100,0)</f>
        <v>172.74419470426733</v>
      </c>
      <c r="Z12" s="19">
        <f t="shared" si="9"/>
        <v>57.0619541958377</v>
      </c>
      <c r="AA12" s="17"/>
      <c r="AB12" s="21">
        <f>IFERROR(SUMPRODUCT($F6:$F11,AB6:AB11)/$F12,0)</f>
        <v>0.64823872098905577</v>
      </c>
      <c r="AC12" s="19"/>
      <c r="AD12" s="21">
        <f>AVERAGE(AD6:AD11)</f>
        <v>0</v>
      </c>
      <c r="AE12" s="19"/>
      <c r="AF12" s="19"/>
      <c r="AG12" s="17">
        <f>SUM(AG6:AG11)</f>
        <v>-12977.744999999988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79</v>
      </c>
      <c r="C14" s="6">
        <v>16</v>
      </c>
      <c r="D14" s="6">
        <v>7</v>
      </c>
      <c r="E14" s="6">
        <v>21388</v>
      </c>
      <c r="F14" s="6">
        <v>16734</v>
      </c>
      <c r="G14" s="6">
        <v>21</v>
      </c>
      <c r="H14" s="8">
        <f t="shared" ref="H14:H29" si="12">IFERROR(G14/F14,0)</f>
        <v>1.2549300824668339E-3</v>
      </c>
      <c r="I14" s="8">
        <f>IFERROR((21388-F14)/21388,0)</f>
        <v>0.217598653450533</v>
      </c>
      <c r="J14" s="6">
        <v>91620</v>
      </c>
      <c r="K14" s="10">
        <f t="shared" ref="K14:K29" si="13">IFERROR(J14/D14/F14*100,0)</f>
        <v>78.215438201096148</v>
      </c>
      <c r="L14" s="10">
        <f>K14-79.7203</f>
        <v>-1.5048617989038462</v>
      </c>
      <c r="M14" s="10">
        <v>84</v>
      </c>
      <c r="N14" s="10">
        <f t="shared" ref="N14:N29" si="14">K14-M14</f>
        <v>-5.7845617989038516</v>
      </c>
      <c r="O14" s="10">
        <f>IFERROR(5079050/21388,0)</f>
        <v>237.47194688610435</v>
      </c>
      <c r="P14" s="10">
        <v>0</v>
      </c>
      <c r="Q14" s="10">
        <f t="shared" ref="Q14:Q28" si="15">IFERROR(O14-P14,0)</f>
        <v>237.47194688610435</v>
      </c>
      <c r="R14" s="6">
        <v>12440</v>
      </c>
      <c r="S14" s="10">
        <f t="shared" ref="S14:S28" si="16">IFERROR(R14/D14/F14*1000,0)</f>
        <v>106.19952534617289</v>
      </c>
      <c r="T14" s="12">
        <f t="shared" ref="T14:T29" si="17">IFERROR(J14/R14,0)</f>
        <v>7.364951768488746</v>
      </c>
      <c r="U14" s="6">
        <v>21070</v>
      </c>
      <c r="V14" s="10">
        <f t="shared" ref="V14:V28" si="18">IFERROR(U14/D14/F14*1000,0)</f>
        <v>179.87331182024622</v>
      </c>
      <c r="W14" s="10">
        <f t="shared" ref="W14:W29" si="19">IFERROR(V14/S14,0)</f>
        <v>1.6937299035369775</v>
      </c>
      <c r="X14" s="10">
        <v>254.7</v>
      </c>
      <c r="Y14" s="10">
        <f t="shared" ref="Y14:Y28" si="20">IFERROR((F14*S14)/(F14*K14)*100,0)</f>
        <v>135.77821436367603</v>
      </c>
      <c r="Z14" s="10">
        <f t="shared" ref="Z14:Z29" si="21">IFERROR(Y14*X14/1000,0)</f>
        <v>34.582711198428285</v>
      </c>
      <c r="AA14" s="6">
        <v>2150</v>
      </c>
      <c r="AB14" s="14">
        <f>IFERROR(AA14/1580,0)</f>
        <v>1.360759493670886</v>
      </c>
      <c r="AC14" s="10">
        <v>0</v>
      </c>
      <c r="AD14" s="14">
        <f>IFERROR(AC14/63.5,0)</f>
        <v>0</v>
      </c>
      <c r="AE14" s="10">
        <v>20</v>
      </c>
      <c r="AF14" s="10">
        <v>25</v>
      </c>
      <c r="AG14" s="6">
        <f t="shared" ref="AG14:AG28" si="22">IF(M14=0,0,IFERROR(N14/100*7*F14,0))</f>
        <v>-6775.9199999999928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39</v>
      </c>
      <c r="C15" s="7"/>
      <c r="D15" s="7">
        <v>7</v>
      </c>
      <c r="E15" s="7">
        <v>10225</v>
      </c>
      <c r="F15" s="7">
        <v>9061</v>
      </c>
      <c r="G15" s="7">
        <v>74</v>
      </c>
      <c r="H15" s="9">
        <f t="shared" si="12"/>
        <v>8.1668689990067322E-3</v>
      </c>
      <c r="I15" s="9">
        <f>IFERROR((10225-F15)/10225,0)</f>
        <v>0.11383863080684596</v>
      </c>
      <c r="J15" s="7">
        <v>53850</v>
      </c>
      <c r="K15" s="11">
        <f t="shared" si="13"/>
        <v>84.900752045658791</v>
      </c>
      <c r="L15" s="11">
        <f>K15-87.1687</f>
        <v>-2.26794795434121</v>
      </c>
      <c r="M15" s="11">
        <v>92.5</v>
      </c>
      <c r="N15" s="11">
        <f t="shared" si="14"/>
        <v>-7.5992479543412088</v>
      </c>
      <c r="O15" s="11">
        <f>IFERROR(1124540/10225,0)</f>
        <v>109.97946210268948</v>
      </c>
      <c r="P15" s="11">
        <v>130</v>
      </c>
      <c r="Q15" s="11">
        <f t="shared" si="15"/>
        <v>-20.020537897310518</v>
      </c>
      <c r="R15" s="7">
        <v>9010</v>
      </c>
      <c r="S15" s="11">
        <f t="shared" si="16"/>
        <v>142.05306888233719</v>
      </c>
      <c r="T15" s="13">
        <f t="shared" si="17"/>
        <v>5.9766925638179798</v>
      </c>
      <c r="U15" s="7">
        <v>12660</v>
      </c>
      <c r="V15" s="11">
        <f t="shared" si="18"/>
        <v>199.59953962823403</v>
      </c>
      <c r="W15" s="11">
        <f t="shared" si="19"/>
        <v>1.4051054384017756</v>
      </c>
      <c r="X15" s="11">
        <v>256.87857142860003</v>
      </c>
      <c r="Y15" s="11">
        <f t="shared" si="20"/>
        <v>167.31662024141133</v>
      </c>
      <c r="Z15" s="11">
        <f t="shared" si="21"/>
        <v>42.98005438387532</v>
      </c>
      <c r="AA15" s="7">
        <v>2030</v>
      </c>
      <c r="AB15" s="15">
        <f>IFERROR(AA15/1930,0)</f>
        <v>1.0518134715025906</v>
      </c>
      <c r="AC15" s="11">
        <v>62.2</v>
      </c>
      <c r="AD15" s="15">
        <f>IFERROR(AC15/62.4,0)</f>
        <v>0.99679487179487192</v>
      </c>
      <c r="AE15" s="11">
        <v>23</v>
      </c>
      <c r="AF15" s="11">
        <v>30</v>
      </c>
      <c r="AG15" s="7">
        <f t="shared" si="22"/>
        <v>-4819.9749999999985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68</v>
      </c>
      <c r="C16" s="7"/>
      <c r="D16" s="7">
        <v>7</v>
      </c>
      <c r="E16" s="7">
        <v>56050</v>
      </c>
      <c r="F16" s="7">
        <v>50136</v>
      </c>
      <c r="G16" s="7">
        <v>154</v>
      </c>
      <c r="H16" s="9">
        <f t="shared" si="12"/>
        <v>3.0716451252592947E-3</v>
      </c>
      <c r="I16" s="9">
        <f>IFERROR((56050-F16)/56050,0)</f>
        <v>0.10551293487957181</v>
      </c>
      <c r="J16" s="7">
        <v>332220</v>
      </c>
      <c r="K16" s="11">
        <f t="shared" si="13"/>
        <v>94.662517951172802</v>
      </c>
      <c r="L16" s="11">
        <f>K16-92.9097</f>
        <v>1.7528179511728013</v>
      </c>
      <c r="M16" s="11">
        <v>89</v>
      </c>
      <c r="N16" s="11">
        <f t="shared" si="14"/>
        <v>5.6625179511728021</v>
      </c>
      <c r="O16" s="11">
        <f>IFERROR(16821931/56050,0)</f>
        <v>300.12365744870652</v>
      </c>
      <c r="P16" s="11">
        <v>304</v>
      </c>
      <c r="Q16" s="11">
        <f t="shared" si="15"/>
        <v>-3.8763425512934759</v>
      </c>
      <c r="R16" s="7">
        <v>38260</v>
      </c>
      <c r="S16" s="11">
        <f t="shared" si="16"/>
        <v>109.0177574141193</v>
      </c>
      <c r="T16" s="13">
        <f t="shared" si="17"/>
        <v>8.683220073183481</v>
      </c>
      <c r="U16" s="7">
        <v>61100</v>
      </c>
      <c r="V16" s="11">
        <f t="shared" si="18"/>
        <v>174.09788233148694</v>
      </c>
      <c r="W16" s="11">
        <f t="shared" si="19"/>
        <v>1.5969681129116573</v>
      </c>
      <c r="X16" s="11">
        <v>277.07571428569997</v>
      </c>
      <c r="Y16" s="11">
        <f t="shared" si="20"/>
        <v>115.16464993076876</v>
      </c>
      <c r="Z16" s="11">
        <f t="shared" si="21"/>
        <v>31.909327640030344</v>
      </c>
      <c r="AA16" s="7">
        <v>1782</v>
      </c>
      <c r="AB16" s="15">
        <f>IFERROR(AA16/1725,0)</f>
        <v>1.0330434782608695</v>
      </c>
      <c r="AC16" s="11">
        <v>0</v>
      </c>
      <c r="AD16" s="15">
        <f>IFERROR(AC16/63.6,0)</f>
        <v>0</v>
      </c>
      <c r="AE16" s="11">
        <v>22</v>
      </c>
      <c r="AF16" s="11">
        <v>26</v>
      </c>
      <c r="AG16" s="7">
        <f t="shared" si="22"/>
        <v>19872.719999999972</v>
      </c>
      <c r="AH16" s="7">
        <v>27</v>
      </c>
      <c r="AI16" s="7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IFERROR(1260/F16,0)</f>
        <v>2.5131641933939686E-2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61</v>
      </c>
      <c r="C17" s="7"/>
      <c r="D17" s="7">
        <v>7</v>
      </c>
      <c r="E17" s="7">
        <v>51536</v>
      </c>
      <c r="F17" s="7">
        <v>47872</v>
      </c>
      <c r="G17" s="7">
        <v>135</v>
      </c>
      <c r="H17" s="9">
        <f t="shared" si="12"/>
        <v>2.8200200534759358E-3</v>
      </c>
      <c r="I17" s="9">
        <f>IFERROR((51536-F17)/51536,0)</f>
        <v>7.1095932940080722E-2</v>
      </c>
      <c r="J17" s="7">
        <v>304760</v>
      </c>
      <c r="K17" s="11">
        <f t="shared" si="13"/>
        <v>90.944900687547744</v>
      </c>
      <c r="L17" s="11">
        <f>K17-89.8678</f>
        <v>1.0771006875477411</v>
      </c>
      <c r="M17" s="11">
        <v>91.05</v>
      </c>
      <c r="N17" s="11">
        <f t="shared" si="14"/>
        <v>-0.10509931245225346</v>
      </c>
      <c r="O17" s="11">
        <f>IFERROR(13096722/51536,0)</f>
        <v>254.12763893200869</v>
      </c>
      <c r="P17" s="11">
        <v>257</v>
      </c>
      <c r="Q17" s="11">
        <f t="shared" si="15"/>
        <v>-2.8723610679913065</v>
      </c>
      <c r="R17" s="7">
        <v>38560</v>
      </c>
      <c r="S17" s="11">
        <f t="shared" si="16"/>
        <v>115.06875477463713</v>
      </c>
      <c r="T17" s="13">
        <f t="shared" si="17"/>
        <v>7.9035269709543572</v>
      </c>
      <c r="U17" s="7">
        <v>69960</v>
      </c>
      <c r="V17" s="11">
        <f t="shared" si="18"/>
        <v>208.77100840336132</v>
      </c>
      <c r="W17" s="11">
        <f t="shared" si="19"/>
        <v>1.8143153526970952</v>
      </c>
      <c r="X17" s="11">
        <v>263.76571428570003</v>
      </c>
      <c r="Y17" s="11">
        <f t="shared" si="20"/>
        <v>126.52579078619242</v>
      </c>
      <c r="Z17" s="11">
        <f t="shared" si="21"/>
        <v>33.373165582283086</v>
      </c>
      <c r="AA17" s="7">
        <v>1688</v>
      </c>
      <c r="AB17" s="15">
        <f>IFERROR(AA17/1725,0)</f>
        <v>0.97855072463768111</v>
      </c>
      <c r="AC17" s="11">
        <v>0</v>
      </c>
      <c r="AD17" s="15">
        <f>IFERROR(AC17/63.7,0)</f>
        <v>0</v>
      </c>
      <c r="AE17" s="11">
        <v>21</v>
      </c>
      <c r="AF17" s="11">
        <v>27</v>
      </c>
      <c r="AG17" s="7">
        <f t="shared" si="22"/>
        <v>-352.19199999999938</v>
      </c>
      <c r="AH17" s="7">
        <v>22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IFERROR(150/F17,0)</f>
        <v>3.133355614973262E-3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109</v>
      </c>
      <c r="C18" s="7">
        <v>39</v>
      </c>
      <c r="D18" s="7">
        <v>7</v>
      </c>
      <c r="E18" s="7">
        <v>51311</v>
      </c>
      <c r="F18" s="7">
        <v>38649</v>
      </c>
      <c r="G18" s="7">
        <v>149</v>
      </c>
      <c r="H18" s="9">
        <f t="shared" si="12"/>
        <v>3.8552097078837747E-3</v>
      </c>
      <c r="I18" s="9">
        <f>IFERROR((51311-F18)/51311,0)</f>
        <v>0.24676969850519381</v>
      </c>
      <c r="J18" s="7">
        <v>215100</v>
      </c>
      <c r="K18" s="11">
        <f t="shared" si="13"/>
        <v>79.506769718676878</v>
      </c>
      <c r="L18" s="11">
        <f>K18-77.7728</f>
        <v>1.7339697186768745</v>
      </c>
      <c r="M18" s="11">
        <v>70</v>
      </c>
      <c r="N18" s="11">
        <f t="shared" si="14"/>
        <v>9.5067697186768783</v>
      </c>
      <c r="O18" s="11">
        <f>IFERROR(24040969/51311,0)</f>
        <v>468.53440782678177</v>
      </c>
      <c r="P18" s="11">
        <v>0</v>
      </c>
      <c r="Q18" s="11">
        <f t="shared" si="15"/>
        <v>468.53440782678177</v>
      </c>
      <c r="R18" s="7">
        <v>31350</v>
      </c>
      <c r="S18" s="11">
        <f t="shared" si="16"/>
        <v>115.87806744214413</v>
      </c>
      <c r="T18" s="13">
        <f t="shared" si="17"/>
        <v>6.8612440191387556</v>
      </c>
      <c r="U18" s="7">
        <v>49470</v>
      </c>
      <c r="V18" s="11">
        <f t="shared" si="18"/>
        <v>182.85448154267527</v>
      </c>
      <c r="W18" s="11">
        <f t="shared" si="19"/>
        <v>1.5779904306220096</v>
      </c>
      <c r="X18" s="11">
        <v>273.5428571429</v>
      </c>
      <c r="Y18" s="11">
        <f t="shared" si="20"/>
        <v>145.74616457461644</v>
      </c>
      <c r="Z18" s="11">
        <f t="shared" si="21"/>
        <v>39.867822275359899</v>
      </c>
      <c r="AA18" s="7">
        <v>1705</v>
      </c>
      <c r="AB18" s="15">
        <f>IFERROR(AA18/0,0)</f>
        <v>0</v>
      </c>
      <c r="AC18" s="11">
        <v>0</v>
      </c>
      <c r="AD18" s="15">
        <f>IFERROR(AC18/0,0)</f>
        <v>0</v>
      </c>
      <c r="AE18" s="11">
        <v>21</v>
      </c>
      <c r="AF18" s="11">
        <v>27</v>
      </c>
      <c r="AG18" s="7">
        <f t="shared" si="22"/>
        <v>25719.899999999987</v>
      </c>
      <c r="AH18" s="7">
        <v>22</v>
      </c>
      <c r="AI18" s="7">
        <v>24.5454545455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IFERROR(200/F18,0)</f>
        <v>5.1747781313876166E-3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40</v>
      </c>
      <c r="C19" s="7"/>
      <c r="D19" s="7">
        <v>7</v>
      </c>
      <c r="E19" s="7">
        <v>52424</v>
      </c>
      <c r="F19" s="7">
        <v>50341</v>
      </c>
      <c r="G19" s="7">
        <v>165</v>
      </c>
      <c r="H19" s="9">
        <f t="shared" si="12"/>
        <v>3.2776464512027969E-3</v>
      </c>
      <c r="I19" s="9">
        <f>IFERROR((52424-F19)/52424,0)</f>
        <v>3.9733709751258964E-2</v>
      </c>
      <c r="J19" s="7">
        <v>330580</v>
      </c>
      <c r="K19" s="11">
        <f t="shared" si="13"/>
        <v>93.811633232781006</v>
      </c>
      <c r="L19" s="11">
        <f>K19-90.6653</f>
        <v>3.1463332327810036</v>
      </c>
      <c r="M19" s="11">
        <v>95.25</v>
      </c>
      <c r="N19" s="11">
        <f t="shared" si="14"/>
        <v>-1.4383667672189944</v>
      </c>
      <c r="O19" s="11">
        <f>IFERROR(6525320/52424,0)</f>
        <v>124.47199755837021</v>
      </c>
      <c r="P19" s="11">
        <v>131</v>
      </c>
      <c r="Q19" s="11">
        <f t="shared" si="15"/>
        <v>-6.5280024416297948</v>
      </c>
      <c r="R19" s="7">
        <v>38429</v>
      </c>
      <c r="S19" s="11">
        <f t="shared" si="16"/>
        <v>109.05339867815783</v>
      </c>
      <c r="T19" s="13">
        <f t="shared" si="17"/>
        <v>8.6023575945249675</v>
      </c>
      <c r="U19" s="7">
        <v>66394</v>
      </c>
      <c r="V19" s="11">
        <f t="shared" si="18"/>
        <v>188.41217184515887</v>
      </c>
      <c r="W19" s="11">
        <f t="shared" si="19"/>
        <v>1.7277056389705687</v>
      </c>
      <c r="X19" s="11">
        <v>277.77999999999997</v>
      </c>
      <c r="Y19" s="11">
        <f t="shared" si="20"/>
        <v>116.24720188759153</v>
      </c>
      <c r="Z19" s="11">
        <f t="shared" si="21"/>
        <v>32.29114774033517</v>
      </c>
      <c r="AA19" s="7">
        <v>1742</v>
      </c>
      <c r="AB19" s="15">
        <f>IFERROR(AA19/1705,0)</f>
        <v>1.0217008797653959</v>
      </c>
      <c r="AC19" s="11">
        <v>61.52</v>
      </c>
      <c r="AD19" s="15">
        <f>IFERROR(AC19/61.75,0)</f>
        <v>0.99627530364372474</v>
      </c>
      <c r="AE19" s="11">
        <v>23</v>
      </c>
      <c r="AF19" s="11">
        <v>26</v>
      </c>
      <c r="AG19" s="7">
        <f t="shared" si="22"/>
        <v>-5068.6174999999976</v>
      </c>
      <c r="AH19" s="7">
        <v>35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IFERROR(1050/F19,0)</f>
        <v>2.0857750144017799E-2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30</v>
      </c>
      <c r="C20" s="7"/>
      <c r="D20" s="7">
        <v>7</v>
      </c>
      <c r="E20" s="7">
        <v>50525</v>
      </c>
      <c r="F20" s="7">
        <v>49589</v>
      </c>
      <c r="G20" s="7">
        <v>111</v>
      </c>
      <c r="H20" s="9">
        <f t="shared" si="12"/>
        <v>2.2383996450825788E-3</v>
      </c>
      <c r="I20" s="9">
        <f>IFERROR((50525-F20)/50525,0)</f>
        <v>1.8525482434438398E-2</v>
      </c>
      <c r="J20" s="7">
        <v>325360</v>
      </c>
      <c r="K20" s="11">
        <f t="shared" si="13"/>
        <v>93.730464417511953</v>
      </c>
      <c r="L20" s="11">
        <f>K20-91.808</f>
        <v>1.9224644175119465</v>
      </c>
      <c r="M20" s="11">
        <v>96</v>
      </c>
      <c r="N20" s="11">
        <f t="shared" si="14"/>
        <v>-2.2695355824880465</v>
      </c>
      <c r="O20" s="11">
        <f>IFERROR(3006020/50525,0)</f>
        <v>59.495695200395843</v>
      </c>
      <c r="P20" s="11">
        <v>67</v>
      </c>
      <c r="Q20" s="11">
        <f t="shared" si="15"/>
        <v>-7.5043047996041565</v>
      </c>
      <c r="R20" s="7">
        <v>40269</v>
      </c>
      <c r="S20" s="11">
        <f t="shared" si="16"/>
        <v>116.00787040904808</v>
      </c>
      <c r="T20" s="13">
        <f t="shared" si="17"/>
        <v>8.0796642578658524</v>
      </c>
      <c r="U20" s="7">
        <v>71858</v>
      </c>
      <c r="V20" s="11">
        <f t="shared" si="18"/>
        <v>207.01019523338988</v>
      </c>
      <c r="W20" s="11">
        <f t="shared" si="19"/>
        <v>1.7844495765973827</v>
      </c>
      <c r="X20" s="11">
        <v>266.42142857139999</v>
      </c>
      <c r="Y20" s="11">
        <f t="shared" si="20"/>
        <v>123.76751905581509</v>
      </c>
      <c r="Z20" s="11">
        <f t="shared" si="21"/>
        <v>32.974319237588226</v>
      </c>
      <c r="AA20" s="7">
        <v>1642</v>
      </c>
      <c r="AB20" s="15">
        <f>IFERROR(AA20/1530,0)</f>
        <v>1.0732026143790849</v>
      </c>
      <c r="AC20" s="11">
        <v>58.61</v>
      </c>
      <c r="AD20" s="15">
        <f>IFERROR(AC20/57.6,0)</f>
        <v>1.0175347222222222</v>
      </c>
      <c r="AE20" s="11">
        <v>22</v>
      </c>
      <c r="AF20" s="11">
        <v>26</v>
      </c>
      <c r="AG20" s="7">
        <f t="shared" si="22"/>
        <v>-7878.0799999999817</v>
      </c>
      <c r="AH20" s="7">
        <v>26</v>
      </c>
      <c r="AI20" s="7">
        <v>22.307692307700002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49</v>
      </c>
      <c r="C21" s="7"/>
      <c r="D21" s="7">
        <v>7</v>
      </c>
      <c r="E21" s="7">
        <v>50845</v>
      </c>
      <c r="F21" s="7">
        <v>49151</v>
      </c>
      <c r="G21" s="7">
        <v>66</v>
      </c>
      <c r="H21" s="9">
        <f t="shared" si="12"/>
        <v>1.3428007568513356E-3</v>
      </c>
      <c r="I21" s="9">
        <f>IFERROR((50845-F21)/50845,0)</f>
        <v>3.3316943652276526E-2</v>
      </c>
      <c r="J21" s="7">
        <v>319320</v>
      </c>
      <c r="K21" s="11">
        <f t="shared" si="13"/>
        <v>92.810202960555955</v>
      </c>
      <c r="L21" s="11">
        <f>K21-93.1269</f>
        <v>-0.31669703944405114</v>
      </c>
      <c r="M21" s="11">
        <v>94.2</v>
      </c>
      <c r="N21" s="11">
        <f t="shared" si="14"/>
        <v>-1.3897970394440478</v>
      </c>
      <c r="O21" s="11">
        <f>IFERROR(9374880/50845,0)</f>
        <v>184.38155177500246</v>
      </c>
      <c r="P21" s="11">
        <v>189</v>
      </c>
      <c r="Q21" s="11">
        <f t="shared" si="15"/>
        <v>-4.618448224997536</v>
      </c>
      <c r="R21" s="7">
        <v>39916</v>
      </c>
      <c r="S21" s="11">
        <f t="shared" si="16"/>
        <v>116.01566019583966</v>
      </c>
      <c r="T21" s="13">
        <f t="shared" si="17"/>
        <v>7.9997995791161438</v>
      </c>
      <c r="U21" s="7">
        <v>68600</v>
      </c>
      <c r="V21" s="11">
        <f t="shared" si="18"/>
        <v>199.38556692641046</v>
      </c>
      <c r="W21" s="11">
        <f t="shared" si="19"/>
        <v>1.7186090790660387</v>
      </c>
      <c r="X21" s="11">
        <v>265.77999999999997</v>
      </c>
      <c r="Y21" s="11">
        <f t="shared" si="20"/>
        <v>125.00313165476642</v>
      </c>
      <c r="Z21" s="11">
        <f t="shared" si="21"/>
        <v>33.223332331203821</v>
      </c>
      <c r="AA21" s="7">
        <v>1788</v>
      </c>
      <c r="AB21" s="15">
        <f>IFERROR(AA21/1720,0)</f>
        <v>1.0395348837209302</v>
      </c>
      <c r="AC21" s="11">
        <v>62.23</v>
      </c>
      <c r="AD21" s="15">
        <f>IFERROR(AC21/62.6,0)</f>
        <v>0.99408945686900951</v>
      </c>
      <c r="AE21" s="11">
        <v>19</v>
      </c>
      <c r="AF21" s="11">
        <v>26</v>
      </c>
      <c r="AG21" s="7">
        <f t="shared" si="22"/>
        <v>-4781.6940000000077</v>
      </c>
      <c r="AH21" s="7">
        <v>36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IFERROR(700/F21,0)</f>
        <v>1.4241826209029317E-2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40</v>
      </c>
      <c r="C22" s="7"/>
      <c r="D22" s="7">
        <v>7</v>
      </c>
      <c r="E22" s="7">
        <v>21875</v>
      </c>
      <c r="F22" s="7">
        <v>21332</v>
      </c>
      <c r="G22" s="7">
        <v>20</v>
      </c>
      <c r="H22" s="9">
        <f t="shared" si="12"/>
        <v>9.3755859741233825E-4</v>
      </c>
      <c r="I22" s="9">
        <f>IFERROR((21875-F22)/21875,0)</f>
        <v>2.4822857142857143E-2</v>
      </c>
      <c r="J22" s="7">
        <v>138420</v>
      </c>
      <c r="K22" s="11">
        <f t="shared" si="13"/>
        <v>92.697757895582754</v>
      </c>
      <c r="L22" s="11">
        <f>K22-92.4905</f>
        <v>0.20725789558275665</v>
      </c>
      <c r="M22" s="11">
        <v>92.5</v>
      </c>
      <c r="N22" s="11">
        <f t="shared" si="14"/>
        <v>0.19775789558275392</v>
      </c>
      <c r="O22" s="11">
        <f>IFERROR(3002910/21875,0)</f>
        <v>137.27588571428572</v>
      </c>
      <c r="P22" s="11">
        <v>136</v>
      </c>
      <c r="Q22" s="11">
        <f t="shared" si="15"/>
        <v>1.275885714285721</v>
      </c>
      <c r="R22" s="7">
        <v>17640</v>
      </c>
      <c r="S22" s="11">
        <f t="shared" si="16"/>
        <v>118.13238327395462</v>
      </c>
      <c r="T22" s="13">
        <f t="shared" si="17"/>
        <v>7.8469387755102042</v>
      </c>
      <c r="U22" s="7">
        <v>33197</v>
      </c>
      <c r="V22" s="11">
        <f t="shared" si="18"/>
        <v>222.31523398783852</v>
      </c>
      <c r="W22" s="11">
        <f t="shared" si="19"/>
        <v>1.8819160997732427</v>
      </c>
      <c r="X22" s="11">
        <v>258.26</v>
      </c>
      <c r="Y22" s="11">
        <f t="shared" si="20"/>
        <v>127.43823146944084</v>
      </c>
      <c r="Z22" s="11">
        <f t="shared" si="21"/>
        <v>32.912197659297789</v>
      </c>
      <c r="AA22" s="7">
        <v>2006</v>
      </c>
      <c r="AB22" s="15">
        <f>IFERROR(AA22/1930,0)</f>
        <v>1.039378238341969</v>
      </c>
      <c r="AC22" s="11">
        <v>62.31</v>
      </c>
      <c r="AD22" s="15">
        <f>IFERROR(AC22/62.3,0)</f>
        <v>1.0001605136436598</v>
      </c>
      <c r="AE22" s="11">
        <v>23</v>
      </c>
      <c r="AF22" s="11">
        <v>26</v>
      </c>
      <c r="AG22" s="7">
        <f t="shared" si="22"/>
        <v>295.29999999999148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IFERROR(490/F22,0)</f>
        <v>2.2970185636602289E-2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67</v>
      </c>
      <c r="B23" s="5">
        <v>99</v>
      </c>
      <c r="C23" s="7">
        <v>32</v>
      </c>
      <c r="D23" s="7">
        <v>7</v>
      </c>
      <c r="E23" s="7">
        <v>51833</v>
      </c>
      <c r="F23" s="7">
        <v>40902</v>
      </c>
      <c r="G23" s="7">
        <v>172</v>
      </c>
      <c r="H23" s="9">
        <f t="shared" si="12"/>
        <v>4.2051733411569113E-3</v>
      </c>
      <c r="I23" s="9">
        <f>IFERROR((51833-F23)/51833,0)</f>
        <v>0.21088881600524761</v>
      </c>
      <c r="J23" s="7">
        <v>161460</v>
      </c>
      <c r="K23" s="11">
        <f t="shared" si="13"/>
        <v>56.392631865713874</v>
      </c>
      <c r="L23" s="11">
        <f>K23-59.1824</f>
        <v>-2.7897681342861276</v>
      </c>
      <c r="M23" s="11">
        <v>73</v>
      </c>
      <c r="N23" s="11">
        <f t="shared" si="14"/>
        <v>-16.607368134286126</v>
      </c>
      <c r="O23" s="11">
        <f>IFERROR(20098048/51833,0)</f>
        <v>387.74618486292519</v>
      </c>
      <c r="P23" s="11">
        <v>0</v>
      </c>
      <c r="Q23" s="11">
        <f t="shared" si="15"/>
        <v>387.74618486292519</v>
      </c>
      <c r="R23" s="7">
        <v>33761</v>
      </c>
      <c r="S23" s="11">
        <f t="shared" si="16"/>
        <v>117.91599432790572</v>
      </c>
      <c r="T23" s="13">
        <f t="shared" si="17"/>
        <v>4.782441278398152</v>
      </c>
      <c r="U23" s="7">
        <v>48557</v>
      </c>
      <c r="V23" s="11">
        <f t="shared" si="18"/>
        <v>169.59352319481408</v>
      </c>
      <c r="W23" s="11">
        <f t="shared" si="19"/>
        <v>1.4382571606291283</v>
      </c>
      <c r="X23" s="11">
        <v>261.7</v>
      </c>
      <c r="Y23" s="11">
        <f t="shared" si="20"/>
        <v>209.09822866344604</v>
      </c>
      <c r="Z23" s="11">
        <f t="shared" si="21"/>
        <v>54.721006441223828</v>
      </c>
      <c r="AA23" s="7">
        <v>1732</v>
      </c>
      <c r="AB23" s="15">
        <f>IFERROR(AA23/1980,0)</f>
        <v>0.87474747474747472</v>
      </c>
      <c r="AC23" s="11">
        <v>0</v>
      </c>
      <c r="AD23" s="15">
        <f>IFERROR(AC23/65.3,0)</f>
        <v>0</v>
      </c>
      <c r="AE23" s="11">
        <v>21</v>
      </c>
      <c r="AF23" s="11">
        <v>26</v>
      </c>
      <c r="AG23" s="7">
        <f t="shared" si="22"/>
        <v>-47549.219999999987</v>
      </c>
      <c r="AH23" s="7">
        <v>44</v>
      </c>
      <c r="AI23" s="7">
        <v>17.727272727300001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IFERROR(1050/F23,0)</f>
        <v>2.5671116326829984E-2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81</v>
      </c>
      <c r="B24" s="5">
        <v>97</v>
      </c>
      <c r="C24" s="7">
        <v>31</v>
      </c>
      <c r="D24" s="7">
        <v>7</v>
      </c>
      <c r="E24" s="7">
        <v>21623</v>
      </c>
      <c r="F24" s="7">
        <v>18050</v>
      </c>
      <c r="G24" s="7">
        <v>37</v>
      </c>
      <c r="H24" s="9">
        <f t="shared" si="12"/>
        <v>2.0498614958448752E-3</v>
      </c>
      <c r="I24" s="9">
        <f>IFERROR((21623-F24)/21623,0)</f>
        <v>0.1652407159043611</v>
      </c>
      <c r="J24" s="7">
        <v>89280</v>
      </c>
      <c r="K24" s="11">
        <f t="shared" si="13"/>
        <v>70.660862683023339</v>
      </c>
      <c r="L24" s="11">
        <f>K24-71.938</f>
        <v>-1.2771373169766633</v>
      </c>
      <c r="M24" s="11">
        <v>77</v>
      </c>
      <c r="N24" s="11">
        <f t="shared" si="14"/>
        <v>-6.3391373169766609</v>
      </c>
      <c r="O24" s="11">
        <f>IFERROR(8438525/21623,0)</f>
        <v>390.25690237247375</v>
      </c>
      <c r="P24" s="11">
        <v>0</v>
      </c>
      <c r="Q24" s="11">
        <f t="shared" si="15"/>
        <v>390.25690237247375</v>
      </c>
      <c r="R24" s="7">
        <v>14897</v>
      </c>
      <c r="S24" s="11">
        <f t="shared" si="16"/>
        <v>117.90265136525525</v>
      </c>
      <c r="T24" s="13">
        <f t="shared" si="17"/>
        <v>5.9931529838222461</v>
      </c>
      <c r="U24" s="7">
        <v>24277</v>
      </c>
      <c r="V24" s="11">
        <f t="shared" si="18"/>
        <v>192.14087851206966</v>
      </c>
      <c r="W24" s="11">
        <f t="shared" si="19"/>
        <v>1.6296569779150165</v>
      </c>
      <c r="X24" s="11">
        <v>259.30571428569999</v>
      </c>
      <c r="Y24" s="11">
        <f t="shared" si="20"/>
        <v>166.8570788530466</v>
      </c>
      <c r="Z24" s="11">
        <f t="shared" si="21"/>
        <v>43.266994015614621</v>
      </c>
      <c r="AA24" s="7">
        <v>2125</v>
      </c>
      <c r="AB24" s="15">
        <f>IFERROR(AA24/1980,0)</f>
        <v>1.0732323232323233</v>
      </c>
      <c r="AC24" s="11">
        <v>65.510000000000005</v>
      </c>
      <c r="AD24" s="15">
        <f>IFERROR(AC24/65.3,0)</f>
        <v>1.0032159264931089</v>
      </c>
      <c r="AE24" s="11">
        <v>21</v>
      </c>
      <c r="AF24" s="11">
        <v>26</v>
      </c>
      <c r="AG24" s="7">
        <f t="shared" si="22"/>
        <v>-8009.50000000001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IFERROR(490/F24,0)</f>
        <v>2.7146814404432132E-2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68</v>
      </c>
      <c r="B25" s="5">
        <v>30</v>
      </c>
      <c r="C25" s="7"/>
      <c r="D25" s="7">
        <v>7</v>
      </c>
      <c r="E25" s="7">
        <v>21339</v>
      </c>
      <c r="F25" s="7">
        <v>21021</v>
      </c>
      <c r="G25" s="7">
        <v>19</v>
      </c>
      <c r="H25" s="9">
        <f t="shared" si="12"/>
        <v>9.0385804671518956E-4</v>
      </c>
      <c r="I25" s="9">
        <f>IFERROR((21339-F25)/21339,0)</f>
        <v>1.4902291578799381E-2</v>
      </c>
      <c r="J25" s="7">
        <v>131040</v>
      </c>
      <c r="K25" s="11">
        <f t="shared" si="13"/>
        <v>89.053803339517629</v>
      </c>
      <c r="L25" s="11">
        <f>K25-91.7844</f>
        <v>-2.7305966604823766</v>
      </c>
      <c r="M25" s="11">
        <v>95</v>
      </c>
      <c r="N25" s="11">
        <f t="shared" si="14"/>
        <v>-5.9461966604823715</v>
      </c>
      <c r="O25" s="11">
        <f>IFERROR(1426350/21339,0)</f>
        <v>66.842401237171373</v>
      </c>
      <c r="P25" s="11">
        <v>71</v>
      </c>
      <c r="Q25" s="11">
        <f t="shared" si="15"/>
        <v>-4.1575987628286271</v>
      </c>
      <c r="R25" s="7">
        <v>17920</v>
      </c>
      <c r="S25" s="11">
        <f t="shared" si="16"/>
        <v>121.78297892583608</v>
      </c>
      <c r="T25" s="13">
        <f t="shared" si="17"/>
        <v>7.3125</v>
      </c>
      <c r="U25" s="7">
        <v>35928</v>
      </c>
      <c r="V25" s="11">
        <f t="shared" si="18"/>
        <v>244.16399926604007</v>
      </c>
      <c r="W25" s="11">
        <f t="shared" si="19"/>
        <v>2.0049107142857139</v>
      </c>
      <c r="X25" s="11">
        <v>247.4171428571</v>
      </c>
      <c r="Y25" s="11">
        <f t="shared" si="20"/>
        <v>136.75213675213675</v>
      </c>
      <c r="Z25" s="11">
        <f t="shared" si="21"/>
        <v>33.834822954817092</v>
      </c>
      <c r="AA25" s="7">
        <v>1857</v>
      </c>
      <c r="AB25" s="15">
        <f>IFERROR(AA25/1900,0)</f>
        <v>0.97736842105263155</v>
      </c>
      <c r="AC25" s="11">
        <v>60.92</v>
      </c>
      <c r="AD25" s="15">
        <f>IFERROR(AC25/60.9,0)</f>
        <v>1.000328407224959</v>
      </c>
      <c r="AE25" s="11">
        <v>22</v>
      </c>
      <c r="AF25" s="11">
        <v>26</v>
      </c>
      <c r="AG25" s="7">
        <f t="shared" si="22"/>
        <v>-8749.649999999996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70</v>
      </c>
      <c r="B26" s="5">
        <v>88</v>
      </c>
      <c r="C26" s="7">
        <v>16</v>
      </c>
      <c r="D26" s="7">
        <v>7</v>
      </c>
      <c r="E26" s="7">
        <v>47224</v>
      </c>
      <c r="F26" s="7">
        <v>37425</v>
      </c>
      <c r="G26" s="7">
        <v>109</v>
      </c>
      <c r="H26" s="9">
        <f t="shared" si="12"/>
        <v>2.9124916499665998E-3</v>
      </c>
      <c r="I26" s="9">
        <f>IFERROR((47224-F26)/47224,0)</f>
        <v>0.20750042351346773</v>
      </c>
      <c r="J26" s="7">
        <v>182900</v>
      </c>
      <c r="K26" s="11">
        <f t="shared" si="13"/>
        <v>69.815822120431335</v>
      </c>
      <c r="L26" s="11">
        <f>K26-71.7825</f>
        <v>-1.9666778795686639</v>
      </c>
      <c r="M26" s="11">
        <v>79</v>
      </c>
      <c r="N26" s="11">
        <f t="shared" si="14"/>
        <v>-9.184177879568665</v>
      </c>
      <c r="O26" s="11">
        <f>IFERROR(15717170/47224,0)</f>
        <v>332.82165847873961</v>
      </c>
      <c r="P26" s="11">
        <v>0</v>
      </c>
      <c r="Q26" s="11">
        <f t="shared" si="15"/>
        <v>332.82165847873961</v>
      </c>
      <c r="R26" s="7">
        <v>28280</v>
      </c>
      <c r="S26" s="11">
        <f t="shared" si="16"/>
        <v>107.94923179692718</v>
      </c>
      <c r="T26" s="13">
        <f t="shared" si="17"/>
        <v>6.4674681753889676</v>
      </c>
      <c r="U26" s="7">
        <v>48900</v>
      </c>
      <c r="V26" s="11">
        <f t="shared" si="18"/>
        <v>186.65903235041512</v>
      </c>
      <c r="W26" s="11">
        <f t="shared" si="19"/>
        <v>1.7291371994342293</v>
      </c>
      <c r="X26" s="11">
        <v>253.2371428571</v>
      </c>
      <c r="Y26" s="11">
        <f t="shared" si="20"/>
        <v>154.62001093493711</v>
      </c>
      <c r="Z26" s="11">
        <f t="shared" si="21"/>
        <v>39.155529797697035</v>
      </c>
      <c r="AA26" s="7">
        <v>1543</v>
      </c>
      <c r="AB26" s="15">
        <f>IFERROR(AA26/1580,0)</f>
        <v>0.97658227848101264</v>
      </c>
      <c r="AC26" s="11">
        <v>0</v>
      </c>
      <c r="AD26" s="15">
        <f>IFERROR(AC26/63.6,0)</f>
        <v>0</v>
      </c>
      <c r="AE26" s="11">
        <v>16</v>
      </c>
      <c r="AF26" s="11">
        <v>30</v>
      </c>
      <c r="AG26" s="7">
        <f t="shared" si="22"/>
        <v>-24060.250000000011</v>
      </c>
      <c r="AH26" s="7">
        <v>34</v>
      </c>
      <c r="AI26" s="7">
        <v>20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IFERROR(560/F26,0)</f>
        <v>1.4963259853039413E-2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118</v>
      </c>
      <c r="C27" s="7">
        <v>20</v>
      </c>
      <c r="D27" s="7">
        <v>7</v>
      </c>
      <c r="E27" s="7">
        <v>33376</v>
      </c>
      <c r="F27" s="7">
        <v>29051</v>
      </c>
      <c r="G27" s="7">
        <v>106</v>
      </c>
      <c r="H27" s="9">
        <f t="shared" si="12"/>
        <v>3.6487556366390141E-3</v>
      </c>
      <c r="I27" s="9">
        <f>IFERROR((33376-F27)/33376,0)</f>
        <v>0.12958413231064239</v>
      </c>
      <c r="J27" s="7">
        <v>130180</v>
      </c>
      <c r="K27" s="11">
        <f t="shared" si="13"/>
        <v>64.015499835265075</v>
      </c>
      <c r="L27" s="11">
        <f>K27-63.3516</f>
        <v>0.66389983526507734</v>
      </c>
      <c r="M27" s="11">
        <v>77</v>
      </c>
      <c r="N27" s="11">
        <f t="shared" si="14"/>
        <v>-12.984500164734925</v>
      </c>
      <c r="O27" s="11">
        <f>IFERROR(15318173/33376,0)</f>
        <v>458.95772411313521</v>
      </c>
      <c r="P27" s="11">
        <v>0</v>
      </c>
      <c r="Q27" s="11">
        <f t="shared" si="15"/>
        <v>458.95772411313521</v>
      </c>
      <c r="R27" s="7">
        <v>24500</v>
      </c>
      <c r="S27" s="11">
        <f t="shared" si="16"/>
        <v>120.47778045506179</v>
      </c>
      <c r="T27" s="13">
        <f t="shared" si="17"/>
        <v>5.3134693877551022</v>
      </c>
      <c r="U27" s="7">
        <v>31800</v>
      </c>
      <c r="V27" s="11">
        <f t="shared" si="18"/>
        <v>156.37524157024347</v>
      </c>
      <c r="W27" s="11">
        <f t="shared" si="19"/>
        <v>1.2979591836734694</v>
      </c>
      <c r="X27" s="11">
        <v>250.1371428571</v>
      </c>
      <c r="Y27" s="11">
        <f t="shared" si="20"/>
        <v>188.20095252726995</v>
      </c>
      <c r="Z27" s="11">
        <f t="shared" si="21"/>
        <v>47.076048548156017</v>
      </c>
      <c r="AA27" s="7">
        <v>1682</v>
      </c>
      <c r="AB27" s="15">
        <f>IFERROR(AA27/0,0)</f>
        <v>0</v>
      </c>
      <c r="AC27" s="11">
        <v>0</v>
      </c>
      <c r="AD27" s="15">
        <f>IFERROR(AC27/0,0)</f>
        <v>0</v>
      </c>
      <c r="AE27" s="11">
        <v>16</v>
      </c>
      <c r="AF27" s="11">
        <v>31</v>
      </c>
      <c r="AG27" s="7">
        <f t="shared" si="22"/>
        <v>-26404.89</v>
      </c>
      <c r="AH27" s="7">
        <v>53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IFERROR(910/F27,0)</f>
        <v>3.1324222918316068E-2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118</v>
      </c>
      <c r="C28" s="7">
        <v>20</v>
      </c>
      <c r="D28" s="7">
        <v>7</v>
      </c>
      <c r="E28" s="7">
        <v>12390</v>
      </c>
      <c r="F28" s="7">
        <v>9914</v>
      </c>
      <c r="G28" s="7">
        <v>27</v>
      </c>
      <c r="H28" s="9">
        <f t="shared" si="12"/>
        <v>2.7234214242485375E-3</v>
      </c>
      <c r="I28" s="9">
        <f>IFERROR((12390-F28)/12390,0)</f>
        <v>0.19983857949959644</v>
      </c>
      <c r="J28" s="7">
        <v>51600</v>
      </c>
      <c r="K28" s="11">
        <f t="shared" si="13"/>
        <v>74.353727773134665</v>
      </c>
      <c r="L28" s="11">
        <f>K28-72.801</f>
        <v>1.5527277731346629</v>
      </c>
      <c r="M28" s="11">
        <v>77</v>
      </c>
      <c r="N28" s="11">
        <f t="shared" si="14"/>
        <v>-2.6462722268653351</v>
      </c>
      <c r="O28" s="11">
        <f>IFERROR(6223548/12390,0)</f>
        <v>502.30411622276029</v>
      </c>
      <c r="P28" s="11">
        <v>0</v>
      </c>
      <c r="Q28" s="11">
        <f t="shared" si="15"/>
        <v>502.30411622276029</v>
      </c>
      <c r="R28" s="7">
        <v>9560</v>
      </c>
      <c r="S28" s="11">
        <f t="shared" si="16"/>
        <v>137.75613130061384</v>
      </c>
      <c r="T28" s="13">
        <f t="shared" si="17"/>
        <v>5.3974895397489542</v>
      </c>
      <c r="U28" s="7">
        <v>15700</v>
      </c>
      <c r="V28" s="11">
        <f t="shared" si="18"/>
        <v>226.23130349577798</v>
      </c>
      <c r="W28" s="11">
        <f t="shared" si="19"/>
        <v>1.6422594142259415</v>
      </c>
      <c r="X28" s="11">
        <v>252.44</v>
      </c>
      <c r="Y28" s="11">
        <f t="shared" si="20"/>
        <v>185.27131782945739</v>
      </c>
      <c r="Z28" s="11">
        <f t="shared" si="21"/>
        <v>46.769891472868224</v>
      </c>
      <c r="AA28" s="7">
        <v>2008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16</v>
      </c>
      <c r="AF28" s="11">
        <v>31</v>
      </c>
      <c r="AG28" s="7">
        <f t="shared" si="22"/>
        <v>-1836.4600000000053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IFERROR(455/F28,0)</f>
        <v>4.5894694371595726E-2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7</v>
      </c>
      <c r="E29" s="17">
        <f>SUM(E14:E28)</f>
        <v>553964</v>
      </c>
      <c r="F29" s="17">
        <f>SUM(F14:F28)</f>
        <v>489228</v>
      </c>
      <c r="G29" s="17">
        <f>SUM(G14:G28)</f>
        <v>1365</v>
      </c>
      <c r="H29" s="18">
        <f t="shared" si="12"/>
        <v>2.7901101326988642E-3</v>
      </c>
      <c r="I29" s="18"/>
      <c r="J29" s="17">
        <f>SUM(J14:J28)</f>
        <v>2857690</v>
      </c>
      <c r="K29" s="19">
        <f t="shared" si="13"/>
        <v>83.446047358578952</v>
      </c>
      <c r="L29" s="19"/>
      <c r="M29" s="19">
        <f>IFERROR(SUMPRODUCT($F14:$F28,M14:M28)/$F29, 0)</f>
        <v>86.377737067379627</v>
      </c>
      <c r="N29" s="19">
        <f t="shared" si="14"/>
        <v>-2.9316897088006755</v>
      </c>
      <c r="O29" s="19">
        <f>IFERROR(SUMPRODUCT($E14:$E28,O14:O28)/$E29, 0)</f>
        <v>269.50154883710854</v>
      </c>
      <c r="P29" s="19">
        <f>IFERROR(SUMPRODUCT($E14:$E28,P14:P28)/$E29, 0)</f>
        <v>101.02767508357944</v>
      </c>
      <c r="Q29" s="19">
        <f>IFERROR(SUMPRODUCT($E14:$E28,Q14:Q28)/$E29, 0)</f>
        <v>168.47387375352912</v>
      </c>
      <c r="R29" s="17">
        <f>SUM(R14:R28)</f>
        <v>394792</v>
      </c>
      <c r="S29" s="19">
        <f>IFERROR(R29/D29/$F29*1000,0)</f>
        <v>115.28133537503402</v>
      </c>
      <c r="T29" s="20">
        <f t="shared" si="17"/>
        <v>7.2384698778090746</v>
      </c>
      <c r="U29" s="17">
        <f>SUM(U14:U28)</f>
        <v>659471</v>
      </c>
      <c r="V29" s="19">
        <f>IFERROR(U29/D29/$F29*1000,0)</f>
        <v>192.56899207964966</v>
      </c>
      <c r="W29" s="19">
        <f t="shared" si="19"/>
        <v>1.6704264524103829</v>
      </c>
      <c r="X29" s="19">
        <f>IFERROR(SUMPRODUCT(R14:R28,X14:X28)/R29,0)</f>
        <v>264.0206164367105</v>
      </c>
      <c r="Y29" s="19">
        <f>IFERROR(($F29*S29)/($F29*K29)*100,0)</f>
        <v>138.1507441324986</v>
      </c>
      <c r="Z29" s="19">
        <f t="shared" si="21"/>
        <v>36.474644627052548</v>
      </c>
      <c r="AA29" s="17"/>
      <c r="AB29" s="21">
        <f>IFERROR(SUMPRODUCT($F14:$F28,AB14:AB28)/$F29,0)</f>
        <v>0.86074914238079592</v>
      </c>
      <c r="AC29" s="19"/>
      <c r="AD29" s="21">
        <f>AVERAGE(AD14:AD28)</f>
        <v>0.46722661345943711</v>
      </c>
      <c r="AE29" s="19"/>
      <c r="AF29" s="19"/>
      <c r="AG29" s="17">
        <f>SUM(AG14:AG28)</f>
        <v>-100398.52850000003</v>
      </c>
      <c r="AH29" s="17">
        <f>SUM(AH14:AH28)</f>
        <v>299</v>
      </c>
      <c r="AI29" s="17">
        <f>IFERROR(SUMPRODUCT(AH14:AH28,AI14:AI28)/AH29, 0)</f>
        <v>18.394648829439465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7</v>
      </c>
      <c r="E31" s="23">
        <f>E12+E29</f>
        <v>600169</v>
      </c>
      <c r="F31" s="23">
        <f>F12+F29</f>
        <v>527979</v>
      </c>
      <c r="G31" s="23">
        <f>G12+G29</f>
        <v>1464</v>
      </c>
      <c r="H31" s="24">
        <f>IFERROR(G31/F31,0)</f>
        <v>2.7728375560391607E-3</v>
      </c>
      <c r="I31" s="23"/>
      <c r="J31" s="23">
        <f>J12+J29</f>
        <v>3072580</v>
      </c>
      <c r="K31" s="25">
        <f>IFERROR(J31/D31/F31*100,0)</f>
        <v>83.135882298348989</v>
      </c>
      <c r="L31" s="23"/>
      <c r="M31" s="25">
        <f>IFERROR($F$12/$F31*M$12,0)+IFERROR($F$29/$F31*M$29,0)</f>
        <v>86.203544175052428</v>
      </c>
      <c r="N31" s="25">
        <f>K31-M31</f>
        <v>-3.0676618767034398</v>
      </c>
      <c r="O31" s="23">
        <f>IFERROR($E$12/$E31*O$12,0)+IFERROR($E$29/$E31*O$29,0)</f>
        <v>268.37742702472133</v>
      </c>
      <c r="P31" s="23">
        <f>IFERROR($E$12/$E31*P$12,0)+IFERROR($E$29/$E31*P$29,0)</f>
        <v>95.403752942921074</v>
      </c>
      <c r="Q31" s="23">
        <f>IFERROR($E$12/$E31*Q$12,0)+IFERROR($E$29/$E31*Q$29,0)</f>
        <v>172.97367408180028</v>
      </c>
      <c r="R31" s="23">
        <f>R12+R29</f>
        <v>431913</v>
      </c>
      <c r="S31" s="25">
        <f>IFERROR(R31/D31/$F31*1000,0)</f>
        <v>116.86422593106383</v>
      </c>
      <c r="T31" s="26">
        <f>IFERROR(J31/R31,0)</f>
        <v>7.1138863613737024</v>
      </c>
      <c r="U31" s="23">
        <f>U12+U29</f>
        <v>673871</v>
      </c>
      <c r="V31" s="25">
        <f>IFERROR(U31/D31/$F31*1000,0)</f>
        <v>182.33165658915544</v>
      </c>
      <c r="W31" s="25">
        <f>IFERROR(V31/S31,0)</f>
        <v>1.5602007811758383</v>
      </c>
      <c r="X31" s="25">
        <f>IFERROR($F$12/$F31*X$12,0)+IFERROR($F$29/$F31*X$29,0)</f>
        <v>268.88712122525345</v>
      </c>
      <c r="Y31" s="25">
        <f>IFERROR(($F31*S31)/($F31*K31)*100,0)</f>
        <v>140.57013975226033</v>
      </c>
      <c r="Z31" s="25">
        <f>IFERROR(Y31*X31/1000,0)</f>
        <v>37.797500208216846</v>
      </c>
      <c r="AA31" s="23"/>
      <c r="AB31" s="27"/>
      <c r="AC31" s="23"/>
      <c r="AD31" s="27"/>
      <c r="AE31" s="23"/>
      <c r="AF31" s="23"/>
      <c r="AG31" s="23">
        <f>AG12+AG29</f>
        <v>-113376.27350000001</v>
      </c>
      <c r="AH31" s="23">
        <f>AH12+AH29</f>
        <v>299</v>
      </c>
      <c r="AI31" s="23">
        <f>IFERROR(AH$12/AH31*AI$12,0)+IFERROR(AH$29/AH31*AI$29,0)</f>
        <v>18.394648829439465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29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 spans="1:29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61</v>
      </c>
      <c r="T34" s="32" t="s">
        <v>70</v>
      </c>
      <c r="U34" s="32" t="s">
        <v>71</v>
      </c>
      <c r="V34" s="32" t="s">
        <v>72</v>
      </c>
      <c r="W34" s="32" t="s">
        <v>62</v>
      </c>
      <c r="X34" s="32" t="s">
        <v>66</v>
      </c>
      <c r="Y34" s="32" t="s">
        <v>67</v>
      </c>
      <c r="Z34" s="32" t="s">
        <v>81</v>
      </c>
      <c r="AA34" s="32" t="s">
        <v>63</v>
      </c>
      <c r="AB34" s="32" t="s">
        <v>68</v>
      </c>
      <c r="AC34" s="32" t="s">
        <v>64</v>
      </c>
    </row>
    <row r="35" spans="1:29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>
        <v>2.5000000000000001E-3</v>
      </c>
      <c r="T35" s="8">
        <v>5.3E-3</v>
      </c>
      <c r="U35" s="8">
        <v>6.3E-3</v>
      </c>
      <c r="V35" s="8">
        <v>2.7000000000000001E-3</v>
      </c>
      <c r="W35" s="8">
        <v>1.5E-3</v>
      </c>
      <c r="X35" s="8">
        <v>1.4E-3</v>
      </c>
      <c r="Y35" s="8">
        <v>2.8E-3</v>
      </c>
      <c r="Z35" s="8">
        <v>1.6999999999999999E-3</v>
      </c>
      <c r="AA35" s="8"/>
      <c r="AB35" s="8"/>
      <c r="AC35" s="8">
        <v>6.9999999999999999E-4</v>
      </c>
    </row>
    <row r="36" spans="1:29" x14ac:dyDescent="0.3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>
        <v>1.32E-2</v>
      </c>
      <c r="P36" s="9">
        <v>2.3999999999999998E-3</v>
      </c>
      <c r="Q36" s="9">
        <v>4.1999999999999997E-3</v>
      </c>
      <c r="R36" s="9">
        <v>1.6999999999999999E-3</v>
      </c>
      <c r="S36" s="9">
        <v>2.5000000000000001E-3</v>
      </c>
      <c r="T36" s="9">
        <v>5.7999999999999996E-3</v>
      </c>
      <c r="U36" s="9">
        <v>3.5999999999999999E-3</v>
      </c>
      <c r="V36" s="9">
        <v>2.3E-3</v>
      </c>
      <c r="W36" s="9">
        <v>1.5E-3</v>
      </c>
      <c r="X36" s="9">
        <v>1E-3</v>
      </c>
      <c r="Y36" s="9">
        <v>3.0000000000000001E-3</v>
      </c>
      <c r="Z36" s="9">
        <v>1.8E-3</v>
      </c>
      <c r="AA36" s="9"/>
      <c r="AB36" s="9"/>
      <c r="AC36" s="9">
        <v>1E-3</v>
      </c>
    </row>
    <row r="37" spans="1:29" x14ac:dyDescent="0.3">
      <c r="B37" s="5">
        <v>202503</v>
      </c>
      <c r="C37" s="5"/>
      <c r="D37" s="9">
        <v>2.8E-3</v>
      </c>
      <c r="E37" s="9">
        <v>4.8999999999999998E-3</v>
      </c>
      <c r="F37" s="9">
        <v>2.5999999999999999E-3</v>
      </c>
      <c r="G37" s="9">
        <v>5.8999999999999999E-3</v>
      </c>
      <c r="H37" s="9">
        <v>5.8999999999999999E-3</v>
      </c>
      <c r="I37" s="9">
        <v>3.5999999999999999E-3</v>
      </c>
      <c r="J37" s="9">
        <v>3.3999999999999998E-3</v>
      </c>
      <c r="K37" s="9">
        <v>3.2000000000000002E-3</v>
      </c>
      <c r="L37" s="9">
        <v>3.0000000000000001E-3</v>
      </c>
      <c r="M37" s="9">
        <v>2.2000000000000001E-3</v>
      </c>
      <c r="N37" s="9">
        <v>1.6000000000000001E-3</v>
      </c>
      <c r="O37" s="9">
        <v>9.7999999999999997E-3</v>
      </c>
      <c r="P37" s="9">
        <v>2.5000000000000001E-3</v>
      </c>
      <c r="Q37" s="9">
        <v>3.3E-3</v>
      </c>
      <c r="R37" s="9">
        <v>1.8E-3</v>
      </c>
      <c r="S37" s="9">
        <v>2.5000000000000001E-3</v>
      </c>
      <c r="T37" s="9">
        <v>5.4999999999999997E-3</v>
      </c>
      <c r="U37" s="9">
        <v>3.5000000000000001E-3</v>
      </c>
      <c r="V37" s="9">
        <v>2.5000000000000001E-3</v>
      </c>
      <c r="W37" s="9">
        <v>1.6999999999999999E-3</v>
      </c>
      <c r="X37" s="9">
        <v>6.9999999999999999E-4</v>
      </c>
      <c r="Y37" s="9">
        <v>2.8E-3</v>
      </c>
      <c r="Z37" s="9">
        <v>1.4E-3</v>
      </c>
      <c r="AA37" s="9"/>
      <c r="AB37" s="9"/>
      <c r="AC37" s="9">
        <v>1.6000000000000001E-3</v>
      </c>
    </row>
    <row r="38" spans="1:29" x14ac:dyDescent="0.3">
      <c r="B38" s="5">
        <v>202504</v>
      </c>
      <c r="C38" s="5"/>
      <c r="D38" s="9">
        <v>2.5999999999999999E-3</v>
      </c>
      <c r="E38" s="9">
        <v>5.1000000000000004E-3</v>
      </c>
      <c r="F38" s="9">
        <v>2.3999999999999998E-3</v>
      </c>
      <c r="G38" s="9">
        <v>5.8999999999999999E-3</v>
      </c>
      <c r="H38" s="9">
        <v>5.7999999999999996E-3</v>
      </c>
      <c r="I38" s="9">
        <v>6.3E-3</v>
      </c>
      <c r="J38" s="9">
        <v>5.0000000000000001E-3</v>
      </c>
      <c r="K38" s="9">
        <v>4.1000000000000003E-3</v>
      </c>
      <c r="L38" s="9">
        <v>1.9E-3</v>
      </c>
      <c r="M38" s="9">
        <v>2.3999999999999998E-3</v>
      </c>
      <c r="N38" s="9">
        <v>2.2000000000000001E-3</v>
      </c>
      <c r="O38" s="9">
        <v>7.3000000000000001E-3</v>
      </c>
      <c r="P38" s="9">
        <v>2.5000000000000001E-3</v>
      </c>
      <c r="Q38" s="9">
        <v>4.1000000000000003E-3</v>
      </c>
      <c r="R38" s="9">
        <v>1.6999999999999999E-3</v>
      </c>
      <c r="S38" s="9">
        <v>2.5999999999999999E-3</v>
      </c>
      <c r="T38" s="9">
        <v>3.2000000000000002E-3</v>
      </c>
      <c r="U38" s="9">
        <v>3.7000000000000002E-3</v>
      </c>
      <c r="V38" s="9">
        <v>2.5000000000000001E-3</v>
      </c>
      <c r="W38" s="9">
        <v>1.6000000000000001E-3</v>
      </c>
      <c r="X38" s="9">
        <v>8.9999999999999998E-4</v>
      </c>
      <c r="Y38" s="9">
        <v>3.5000000000000001E-3</v>
      </c>
      <c r="Z38" s="9">
        <v>1.6000000000000001E-3</v>
      </c>
      <c r="AA38" s="9"/>
      <c r="AB38" s="9"/>
      <c r="AC38" s="9">
        <v>8.9999999999999998E-4</v>
      </c>
    </row>
    <row r="39" spans="1:29" x14ac:dyDescent="0.3">
      <c r="B39" s="5">
        <v>202505</v>
      </c>
      <c r="C39" s="5"/>
      <c r="D39" s="9">
        <v>2.5999999999999999E-3</v>
      </c>
      <c r="E39" s="9">
        <v>4.1000000000000003E-3</v>
      </c>
      <c r="F39" s="9">
        <v>2.5000000000000001E-3</v>
      </c>
      <c r="G39" s="9">
        <v>5.3E-3</v>
      </c>
      <c r="H39" s="9">
        <v>4.7000000000000002E-3</v>
      </c>
      <c r="I39" s="9">
        <v>2.7000000000000001E-3</v>
      </c>
      <c r="J39" s="9">
        <v>1.6000000000000001E-3</v>
      </c>
      <c r="K39" s="9">
        <v>3.0000000000000001E-3</v>
      </c>
      <c r="L39" s="9">
        <v>2.8E-3</v>
      </c>
      <c r="M39" s="9">
        <v>2.5000000000000001E-3</v>
      </c>
      <c r="N39" s="9">
        <v>2.7000000000000001E-3</v>
      </c>
      <c r="O39" s="9">
        <v>4.5999999999999999E-3</v>
      </c>
      <c r="P39" s="9">
        <v>4.1000000000000003E-3</v>
      </c>
      <c r="Q39" s="9">
        <v>4.1000000000000003E-3</v>
      </c>
      <c r="R39" s="9">
        <v>1.6999999999999999E-3</v>
      </c>
      <c r="S39" s="9">
        <v>2.3E-3</v>
      </c>
      <c r="T39" s="9">
        <v>2.2000000000000001E-3</v>
      </c>
      <c r="U39" s="9">
        <v>4.4000000000000003E-3</v>
      </c>
      <c r="V39" s="9">
        <v>2.3E-3</v>
      </c>
      <c r="W39" s="9">
        <v>1.6000000000000001E-3</v>
      </c>
      <c r="X39" s="9">
        <v>8.9999999999999998E-4</v>
      </c>
      <c r="Y39" s="9">
        <v>3.0999999999999999E-3</v>
      </c>
      <c r="Z39" s="9">
        <v>1.5E-3</v>
      </c>
      <c r="AA39" s="9"/>
      <c r="AB39" s="9"/>
      <c r="AC39" s="9">
        <v>8.9999999999999998E-4</v>
      </c>
    </row>
    <row r="40" spans="1:29" x14ac:dyDescent="0.3">
      <c r="B40" s="5">
        <v>202506</v>
      </c>
      <c r="C40" s="5"/>
      <c r="D40" s="9">
        <v>1.9E-3</v>
      </c>
      <c r="E40" s="9">
        <v>4.4999999999999997E-3</v>
      </c>
      <c r="F40" s="9">
        <v>1.6999999999999999E-3</v>
      </c>
      <c r="G40" s="9">
        <v>5.8999999999999999E-3</v>
      </c>
      <c r="H40" s="9">
        <v>5.4000000000000003E-3</v>
      </c>
      <c r="I40" s="9">
        <v>4.4999999999999997E-3</v>
      </c>
      <c r="J40" s="9">
        <v>2.5000000000000001E-3</v>
      </c>
      <c r="K40" s="9">
        <v>3.0000000000000001E-3</v>
      </c>
      <c r="L40" s="9">
        <v>1.2999999999999999E-3</v>
      </c>
      <c r="M40" s="9">
        <v>3.7000000000000002E-3</v>
      </c>
      <c r="N40" s="9">
        <v>2.5000000000000001E-3</v>
      </c>
      <c r="O40" s="9">
        <v>4.0000000000000001E-3</v>
      </c>
      <c r="P40" s="9">
        <v>2.7000000000000001E-3</v>
      </c>
      <c r="Q40" s="9">
        <v>3.8E-3</v>
      </c>
      <c r="R40" s="9">
        <v>1.5E-3</v>
      </c>
      <c r="S40" s="9">
        <v>1.6999999999999999E-3</v>
      </c>
      <c r="T40" s="9">
        <v>3.0000000000000001E-3</v>
      </c>
      <c r="U40" s="9">
        <v>3.5999999999999999E-3</v>
      </c>
      <c r="V40" s="9">
        <v>1.8E-3</v>
      </c>
      <c r="W40" s="9">
        <v>8.9999999999999998E-4</v>
      </c>
      <c r="X40" s="9">
        <v>5.9999999999999995E-4</v>
      </c>
      <c r="Y40" s="9">
        <v>1.6999999999999999E-3</v>
      </c>
      <c r="Z40" s="9">
        <v>1E-3</v>
      </c>
      <c r="AA40" s="9">
        <v>0</v>
      </c>
      <c r="AB40" s="9">
        <v>0</v>
      </c>
      <c r="AC40" s="9">
        <v>5.0000000000000001E-4</v>
      </c>
    </row>
    <row r="41" spans="1:29" x14ac:dyDescent="0.3">
      <c r="B41" s="5">
        <v>202507</v>
      </c>
      <c r="C41" s="5"/>
      <c r="D41" s="9">
        <v>2.3999999999999998E-3</v>
      </c>
      <c r="E41" s="9">
        <v>4.5999999999999999E-3</v>
      </c>
      <c r="F41" s="9">
        <v>2.2000000000000001E-3</v>
      </c>
      <c r="G41" s="9">
        <v>5.7999999999999996E-3</v>
      </c>
      <c r="H41" s="9">
        <v>4.3E-3</v>
      </c>
      <c r="I41" s="9">
        <v>4.4999999999999997E-3</v>
      </c>
      <c r="J41" s="9">
        <v>2.5000000000000001E-3</v>
      </c>
      <c r="K41" s="9">
        <v>5.1000000000000004E-3</v>
      </c>
      <c r="L41" s="9">
        <v>3.8E-3</v>
      </c>
      <c r="M41" s="9">
        <v>8.0999999999999996E-3</v>
      </c>
      <c r="N41" s="9">
        <v>2.8E-3</v>
      </c>
      <c r="O41" s="9">
        <v>4.4999999999999997E-3</v>
      </c>
      <c r="P41" s="9">
        <v>2E-3</v>
      </c>
      <c r="Q41" s="9">
        <v>4.8999999999999998E-3</v>
      </c>
      <c r="R41" s="9">
        <v>1.4E-3</v>
      </c>
      <c r="S41" s="9">
        <v>1.9E-3</v>
      </c>
      <c r="T41" s="9">
        <v>4.3E-3</v>
      </c>
      <c r="U41" s="9">
        <v>4.1999999999999997E-3</v>
      </c>
      <c r="V41" s="9">
        <v>4.4000000000000003E-3</v>
      </c>
      <c r="W41" s="9">
        <v>1.1000000000000001E-3</v>
      </c>
      <c r="X41" s="9">
        <v>5.0000000000000001E-4</v>
      </c>
      <c r="Y41" s="9">
        <v>2.0999999999999999E-3</v>
      </c>
      <c r="Z41" s="9">
        <v>1.1999999999999999E-3</v>
      </c>
      <c r="AA41" s="9">
        <v>8.9999999999999998E-4</v>
      </c>
      <c r="AB41" s="9">
        <v>8.0000000000000004E-4</v>
      </c>
      <c r="AC41" s="9">
        <v>6.9999999999999999E-4</v>
      </c>
    </row>
    <row r="42" spans="1:29" x14ac:dyDescent="0.3">
      <c r="B42" s="5">
        <v>202508</v>
      </c>
      <c r="C42" s="5"/>
      <c r="D42" s="9">
        <v>2E-3</v>
      </c>
      <c r="E42" s="9">
        <v>4.4000000000000003E-3</v>
      </c>
      <c r="F42" s="9">
        <v>1.8E-3</v>
      </c>
      <c r="G42" s="9">
        <v>6.6E-3</v>
      </c>
      <c r="H42" s="9">
        <v>3.8E-3</v>
      </c>
      <c r="I42" s="9">
        <v>2.7000000000000001E-3</v>
      </c>
      <c r="J42" s="9">
        <v>3.2000000000000002E-3</v>
      </c>
      <c r="K42" s="9">
        <v>4.1999999999999997E-3</v>
      </c>
      <c r="L42" s="9">
        <v>2.0999999999999999E-3</v>
      </c>
      <c r="M42" s="9">
        <v>2.5999999999999999E-3</v>
      </c>
      <c r="N42" s="9">
        <v>2.8999999999999998E-3</v>
      </c>
      <c r="O42" s="9">
        <v>5.1999999999999998E-3</v>
      </c>
      <c r="P42" s="9">
        <v>1.9E-3</v>
      </c>
      <c r="Q42" s="9">
        <v>2.3999999999999998E-3</v>
      </c>
      <c r="R42" s="9">
        <v>1.2999999999999999E-3</v>
      </c>
      <c r="S42" s="9">
        <v>1.9E-3</v>
      </c>
      <c r="T42" s="9">
        <v>3.0999999999999999E-3</v>
      </c>
      <c r="U42" s="9">
        <v>3.2000000000000002E-3</v>
      </c>
      <c r="V42" s="9">
        <v>2.3E-3</v>
      </c>
      <c r="W42" s="9">
        <v>1.1000000000000001E-3</v>
      </c>
      <c r="X42" s="9">
        <v>5.0000000000000001E-4</v>
      </c>
      <c r="Y42" s="9">
        <v>2.8E-3</v>
      </c>
      <c r="Z42" s="9">
        <v>1.2999999999999999E-3</v>
      </c>
      <c r="AA42" s="9">
        <v>1.1999999999999999E-3</v>
      </c>
      <c r="AB42" s="9">
        <v>6.9999999999999999E-4</v>
      </c>
      <c r="AC42" s="9">
        <v>5.9999999999999995E-4</v>
      </c>
    </row>
    <row r="43" spans="1:29" x14ac:dyDescent="0.3">
      <c r="B43" s="5">
        <v>202509</v>
      </c>
      <c r="C43" s="5"/>
      <c r="D43" s="9">
        <v>3.0000000000000001E-3</v>
      </c>
      <c r="E43" s="9">
        <v>8.8000000000000005E-3</v>
      </c>
      <c r="F43" s="9">
        <v>2.5000000000000001E-3</v>
      </c>
      <c r="G43" s="9">
        <v>1.7299999999999999E-2</v>
      </c>
      <c r="H43" s="9">
        <v>5.7000000000000002E-3</v>
      </c>
      <c r="I43" s="9">
        <v>9.1999999999999998E-3</v>
      </c>
      <c r="J43" s="9">
        <v>5.1000000000000004E-3</v>
      </c>
      <c r="K43" s="9">
        <v>4.4000000000000003E-3</v>
      </c>
      <c r="L43" s="9">
        <v>3.8999999999999998E-3</v>
      </c>
      <c r="M43" s="9">
        <v>2.0999999999999999E-3</v>
      </c>
      <c r="N43" s="9">
        <v>5.1999999999999998E-3</v>
      </c>
      <c r="O43" s="9">
        <v>5.0000000000000001E-3</v>
      </c>
      <c r="P43" s="9">
        <v>2.7000000000000001E-3</v>
      </c>
      <c r="Q43" s="9">
        <v>4.8999999999999998E-3</v>
      </c>
      <c r="R43" s="9">
        <v>2E-3</v>
      </c>
      <c r="S43" s="9">
        <v>2.5000000000000001E-3</v>
      </c>
      <c r="T43" s="9">
        <v>3.0999999999999999E-3</v>
      </c>
      <c r="U43" s="9">
        <v>4.5999999999999999E-3</v>
      </c>
      <c r="V43" s="9">
        <v>2.8E-3</v>
      </c>
      <c r="W43" s="9">
        <v>1.6999999999999999E-3</v>
      </c>
      <c r="X43" s="9">
        <v>1E-3</v>
      </c>
      <c r="Y43" s="9">
        <v>3.5999999999999999E-3</v>
      </c>
      <c r="Z43" s="9">
        <v>1.6000000000000001E-3</v>
      </c>
      <c r="AA43" s="9">
        <v>2.3E-3</v>
      </c>
      <c r="AB43" s="9">
        <v>1.1999999999999999E-3</v>
      </c>
      <c r="AC43" s="9">
        <v>1.1999999999999999E-3</v>
      </c>
    </row>
    <row r="44" spans="1:29" x14ac:dyDescent="0.3">
      <c r="B44" s="5">
        <v>202510</v>
      </c>
      <c r="C44" s="5"/>
      <c r="D44" s="9">
        <v>2.8E-3</v>
      </c>
      <c r="E44" s="9">
        <v>8.0000000000000002E-3</v>
      </c>
      <c r="F44" s="9">
        <v>2.3999999999999998E-3</v>
      </c>
      <c r="G44" s="9">
        <v>1.47E-2</v>
      </c>
      <c r="H44" s="9">
        <v>7.1000000000000004E-3</v>
      </c>
      <c r="I44" s="9">
        <v>1.12E-2</v>
      </c>
      <c r="J44" s="9">
        <v>2.8E-3</v>
      </c>
      <c r="K44" s="9">
        <v>2.0999999999999999E-3</v>
      </c>
      <c r="L44" s="9">
        <v>3.0000000000000001E-3</v>
      </c>
      <c r="M44" s="9">
        <v>2.5000000000000001E-3</v>
      </c>
      <c r="N44" s="9">
        <v>3.3999999999999998E-3</v>
      </c>
      <c r="O44" s="9">
        <v>5.5999999999999999E-3</v>
      </c>
      <c r="P44" s="9">
        <v>2.8999999999999998E-3</v>
      </c>
      <c r="Q44" s="9">
        <v>4.1999999999999997E-3</v>
      </c>
      <c r="R44" s="9">
        <v>2.3E-3</v>
      </c>
      <c r="S44" s="9">
        <v>2.5000000000000001E-3</v>
      </c>
      <c r="T44" s="9">
        <v>2.5999999999999999E-3</v>
      </c>
      <c r="U44" s="9">
        <v>3.3999999999999998E-3</v>
      </c>
      <c r="V44" s="9">
        <v>2.5000000000000001E-3</v>
      </c>
      <c r="W44" s="9">
        <v>2E-3</v>
      </c>
      <c r="X44" s="9">
        <v>1E-3</v>
      </c>
      <c r="Y44" s="9">
        <v>3.5000000000000001E-3</v>
      </c>
      <c r="Z44" s="9">
        <v>1.6999999999999999E-3</v>
      </c>
      <c r="AA44" s="9">
        <v>1.6999999999999999E-3</v>
      </c>
      <c r="AB44" s="9">
        <v>1.6000000000000001E-3</v>
      </c>
      <c r="AC44" s="9">
        <v>1.2999999999999999E-3</v>
      </c>
    </row>
    <row r="45" spans="1:29" x14ac:dyDescent="0.3">
      <c r="B45" s="5">
        <v>202511</v>
      </c>
      <c r="C45" s="5"/>
      <c r="D45" s="9">
        <v>2.3E-3</v>
      </c>
      <c r="E45" s="9">
        <v>3.5999999999999999E-3</v>
      </c>
      <c r="F45" s="9">
        <v>2.2000000000000001E-3</v>
      </c>
      <c r="G45" s="9">
        <v>5.0000000000000001E-3</v>
      </c>
      <c r="H45" s="9">
        <v>4.1000000000000003E-3</v>
      </c>
      <c r="I45" s="9">
        <v>6.6E-3</v>
      </c>
      <c r="J45" s="9">
        <v>1.9E-3</v>
      </c>
      <c r="K45" s="9">
        <v>2.0999999999999999E-3</v>
      </c>
      <c r="L45" s="9">
        <v>1.2999999999999999E-3</v>
      </c>
      <c r="M45" s="9">
        <v>2E-3</v>
      </c>
      <c r="N45" s="9">
        <v>2.5999999999999999E-3</v>
      </c>
      <c r="O45" s="9">
        <v>3.5000000000000001E-3</v>
      </c>
      <c r="P45" s="9">
        <v>2.5000000000000001E-3</v>
      </c>
      <c r="Q45" s="9">
        <v>3.5000000000000001E-3</v>
      </c>
      <c r="R45" s="9">
        <v>2.3E-3</v>
      </c>
      <c r="S45" s="9">
        <v>3.0000000000000001E-3</v>
      </c>
      <c r="T45" s="9">
        <v>2.3E-3</v>
      </c>
      <c r="U45" s="9">
        <v>3.0999999999999999E-3</v>
      </c>
      <c r="V45" s="9">
        <v>2.8E-3</v>
      </c>
      <c r="W45" s="9">
        <v>1.9E-3</v>
      </c>
      <c r="X45" s="9">
        <v>8.9999999999999998E-4</v>
      </c>
      <c r="Y45" s="9">
        <v>3.5000000000000001E-3</v>
      </c>
      <c r="Z45" s="9">
        <v>1.5E-3</v>
      </c>
      <c r="AA45" s="9">
        <v>1.1000000000000001E-3</v>
      </c>
      <c r="AB45" s="9">
        <v>1.1999999999999999E-3</v>
      </c>
      <c r="AC45" s="9">
        <v>1.4E-3</v>
      </c>
    </row>
    <row r="46" spans="1:29" x14ac:dyDescent="0.3">
      <c r="B46" s="5">
        <v>202512</v>
      </c>
      <c r="C46" s="5"/>
      <c r="D46" s="9">
        <v>2.5000000000000001E-3</v>
      </c>
      <c r="E46" s="9">
        <v>3.0999999999999999E-3</v>
      </c>
      <c r="F46" s="9">
        <v>2.3999999999999998E-3</v>
      </c>
      <c r="G46" s="9">
        <v>3.3999999999999998E-3</v>
      </c>
      <c r="H46" s="9">
        <v>3.2000000000000002E-3</v>
      </c>
      <c r="I46" s="9">
        <v>4.7000000000000002E-3</v>
      </c>
      <c r="J46" s="9">
        <v>8.9999999999999998E-4</v>
      </c>
      <c r="K46" s="9">
        <v>4.1999999999999997E-3</v>
      </c>
      <c r="L46" s="9">
        <v>2.5999999999999999E-3</v>
      </c>
      <c r="M46" s="9">
        <v>1.9E-3</v>
      </c>
      <c r="N46" s="9">
        <v>3.2000000000000002E-3</v>
      </c>
      <c r="O46" s="9">
        <v>4.4000000000000003E-3</v>
      </c>
      <c r="P46" s="9">
        <v>3.7000000000000002E-3</v>
      </c>
      <c r="Q46" s="9">
        <v>3.2000000000000002E-3</v>
      </c>
      <c r="R46" s="9">
        <v>2.5999999999999999E-3</v>
      </c>
      <c r="S46" s="9">
        <v>3.3999999999999998E-3</v>
      </c>
      <c r="T46" s="9">
        <v>2.5000000000000001E-3</v>
      </c>
      <c r="U46" s="9">
        <v>3.0999999999999999E-3</v>
      </c>
      <c r="V46" s="9">
        <v>3.2000000000000002E-3</v>
      </c>
      <c r="W46" s="9">
        <v>1.5E-3</v>
      </c>
      <c r="X46" s="9">
        <v>8.0000000000000004E-4</v>
      </c>
      <c r="Y46" s="9">
        <v>3.8999999999999998E-3</v>
      </c>
      <c r="Z46" s="9">
        <v>3.5999999999999999E-3</v>
      </c>
      <c r="AA46" s="9">
        <v>1.1000000000000001E-3</v>
      </c>
      <c r="AB46" s="9">
        <v>1E-3</v>
      </c>
      <c r="AC46" s="9">
        <v>8.9999999999999998E-4</v>
      </c>
    </row>
    <row r="47" spans="1:29" x14ac:dyDescent="0.3">
      <c r="B47" s="5">
        <v>202513</v>
      </c>
      <c r="C47" s="5"/>
      <c r="D47" s="9">
        <v>2.5000000000000001E-3</v>
      </c>
      <c r="E47" s="9">
        <v>3.0000000000000001E-3</v>
      </c>
      <c r="F47" s="9">
        <v>2.5000000000000001E-3</v>
      </c>
      <c r="G47" s="9">
        <v>3.0000000000000001E-3</v>
      </c>
      <c r="H47" s="9">
        <v>2.8999999999999998E-3</v>
      </c>
      <c r="I47" s="9">
        <v>4.7000000000000002E-3</v>
      </c>
      <c r="J47" s="9">
        <v>2.5999999999999999E-3</v>
      </c>
      <c r="K47" s="9">
        <v>4.4999999999999997E-3</v>
      </c>
      <c r="L47" s="9">
        <v>1.6999999999999999E-3</v>
      </c>
      <c r="M47" s="9">
        <v>2E-3</v>
      </c>
      <c r="N47" s="9">
        <v>3.5999999999999999E-3</v>
      </c>
      <c r="O47" s="9">
        <v>5.3E-3</v>
      </c>
      <c r="P47" s="9">
        <v>2.5000000000000001E-3</v>
      </c>
      <c r="Q47" s="9">
        <v>3.8E-3</v>
      </c>
      <c r="R47" s="9">
        <v>3.0000000000000001E-3</v>
      </c>
      <c r="S47" s="9">
        <v>3.5999999999999999E-3</v>
      </c>
      <c r="T47" s="9">
        <v>2.5000000000000001E-3</v>
      </c>
      <c r="U47" s="9">
        <v>3.5000000000000001E-3</v>
      </c>
      <c r="V47" s="9">
        <v>3.0999999999999999E-3</v>
      </c>
      <c r="W47" s="9">
        <v>2E-3</v>
      </c>
      <c r="X47" s="9">
        <v>1.1000000000000001E-3</v>
      </c>
      <c r="Y47" s="9">
        <v>3.7000000000000002E-3</v>
      </c>
      <c r="Z47" s="9">
        <v>1.8E-3</v>
      </c>
      <c r="AA47" s="9">
        <v>1.6999999999999999E-3</v>
      </c>
      <c r="AB47" s="9">
        <v>8.9999999999999998E-4</v>
      </c>
      <c r="AC47" s="9">
        <v>1E-3</v>
      </c>
    </row>
    <row r="48" spans="1:29" x14ac:dyDescent="0.3">
      <c r="B48" s="5">
        <v>202514</v>
      </c>
      <c r="C48" s="5"/>
      <c r="D48" s="9">
        <v>2.5999999999999999E-3</v>
      </c>
      <c r="E48" s="9">
        <v>4.1999999999999997E-3</v>
      </c>
      <c r="F48" s="9">
        <v>2.5000000000000001E-3</v>
      </c>
      <c r="G48" s="9">
        <v>4.8999999999999998E-3</v>
      </c>
      <c r="H48" s="9">
        <v>3.2000000000000002E-3</v>
      </c>
      <c r="I48" s="9">
        <v>2.8E-3</v>
      </c>
      <c r="J48" s="9">
        <v>6.1000000000000004E-3</v>
      </c>
      <c r="K48" s="9">
        <v>7.1000000000000004E-3</v>
      </c>
      <c r="L48" s="9">
        <v>8.9999999999999998E-4</v>
      </c>
      <c r="M48" s="9">
        <v>2.0999999999999999E-3</v>
      </c>
      <c r="N48" s="9">
        <v>3.7000000000000002E-3</v>
      </c>
      <c r="O48" s="9">
        <v>3.8999999999999998E-3</v>
      </c>
      <c r="P48" s="9">
        <v>2.5000000000000001E-3</v>
      </c>
      <c r="Q48" s="9">
        <v>-1</v>
      </c>
      <c r="R48" s="9">
        <v>2.8E-3</v>
      </c>
      <c r="S48" s="9">
        <v>3.5999999999999999E-3</v>
      </c>
      <c r="T48" s="9">
        <v>2.0999999999999999E-3</v>
      </c>
      <c r="U48" s="9">
        <v>3.2000000000000002E-3</v>
      </c>
      <c r="V48" s="9">
        <v>3.2000000000000002E-3</v>
      </c>
      <c r="W48" s="9">
        <v>2.3999999999999998E-3</v>
      </c>
      <c r="X48" s="9">
        <v>1.1999999999999999E-3</v>
      </c>
      <c r="Y48" s="9">
        <v>4.7999999999999996E-3</v>
      </c>
      <c r="Z48" s="9">
        <v>1.6999999999999999E-3</v>
      </c>
      <c r="AA48" s="9">
        <v>1.6999999999999999E-3</v>
      </c>
      <c r="AB48" s="9">
        <v>1.1000000000000001E-3</v>
      </c>
      <c r="AC48" s="9">
        <v>1.1000000000000001E-3</v>
      </c>
    </row>
    <row r="49" spans="2:29" x14ac:dyDescent="0.3">
      <c r="B49" s="5">
        <v>202515</v>
      </c>
      <c r="C49" s="5"/>
      <c r="D49" s="9">
        <v>2.5000000000000001E-3</v>
      </c>
      <c r="E49" s="9">
        <v>3.3E-3</v>
      </c>
      <c r="F49" s="9">
        <v>2.3999999999999998E-3</v>
      </c>
      <c r="G49" s="9">
        <v>5.1000000000000004E-3</v>
      </c>
      <c r="H49" s="9">
        <v>2.8E-3</v>
      </c>
      <c r="I49" s="9">
        <v>1.9E-3</v>
      </c>
      <c r="J49" s="9">
        <v>2.3999999999999998E-3</v>
      </c>
      <c r="K49" s="9">
        <v>3.0999999999999999E-3</v>
      </c>
      <c r="L49" s="9">
        <v>1.5E-3</v>
      </c>
      <c r="M49" s="9">
        <v>1.8E-3</v>
      </c>
      <c r="N49" s="9"/>
      <c r="O49" s="9">
        <v>5.3E-3</v>
      </c>
      <c r="P49" s="9">
        <v>2.5000000000000001E-3</v>
      </c>
      <c r="Q49" s="9"/>
      <c r="R49" s="9">
        <v>2.5000000000000001E-3</v>
      </c>
      <c r="S49" s="9">
        <v>3.7000000000000002E-3</v>
      </c>
      <c r="T49" s="9">
        <v>2.5999999999999999E-3</v>
      </c>
      <c r="U49" s="9">
        <v>2.8999999999999998E-3</v>
      </c>
      <c r="V49" s="9">
        <v>3.5999999999999999E-3</v>
      </c>
      <c r="W49" s="9">
        <v>2.5999999999999999E-3</v>
      </c>
      <c r="X49" s="9">
        <v>8.0000000000000004E-4</v>
      </c>
      <c r="Y49" s="9">
        <v>3.7000000000000002E-3</v>
      </c>
      <c r="Z49" s="9">
        <v>1.9E-3</v>
      </c>
      <c r="AA49" s="9">
        <v>1.4E-3</v>
      </c>
      <c r="AB49" s="9">
        <v>8.9999999999999998E-4</v>
      </c>
      <c r="AC49" s="9">
        <v>1.4E-3</v>
      </c>
    </row>
    <row r="50" spans="2:29" x14ac:dyDescent="0.3">
      <c r="B50" s="5">
        <v>202516</v>
      </c>
      <c r="C50" s="5"/>
      <c r="D50" s="9">
        <v>2.7000000000000001E-3</v>
      </c>
      <c r="E50" s="9">
        <v>2.8E-3</v>
      </c>
      <c r="F50" s="9">
        <v>2.5999999999999999E-3</v>
      </c>
      <c r="G50" s="9">
        <v>3.8999999999999998E-3</v>
      </c>
      <c r="H50" s="9">
        <v>2.5000000000000001E-3</v>
      </c>
      <c r="I50" s="9">
        <v>2.8999999999999998E-3</v>
      </c>
      <c r="J50" s="9">
        <v>1.9E-3</v>
      </c>
      <c r="K50" s="9">
        <v>2.2000000000000001E-3</v>
      </c>
      <c r="L50" s="9">
        <v>2.5999999999999999E-3</v>
      </c>
      <c r="M50" s="9">
        <v>1.9E-3</v>
      </c>
      <c r="N50" s="9"/>
      <c r="O50" s="9">
        <v>5.0000000000000001E-3</v>
      </c>
      <c r="P50" s="9">
        <v>2.5000000000000001E-3</v>
      </c>
      <c r="Q50" s="9"/>
      <c r="R50" s="9">
        <v>2.8E-3</v>
      </c>
      <c r="S50" s="9">
        <v>4.0000000000000001E-3</v>
      </c>
      <c r="T50" s="9">
        <v>2.3E-3</v>
      </c>
      <c r="U50" s="9">
        <v>3.0999999999999999E-3</v>
      </c>
      <c r="V50" s="9">
        <v>3.5999999999999999E-3</v>
      </c>
      <c r="W50" s="9">
        <v>3.3999999999999998E-3</v>
      </c>
      <c r="X50" s="9">
        <v>1.1999999999999999E-3</v>
      </c>
      <c r="Y50" s="9">
        <v>4.3E-3</v>
      </c>
      <c r="Z50" s="9">
        <v>2.2000000000000001E-3</v>
      </c>
      <c r="AA50" s="9">
        <v>1.6000000000000001E-3</v>
      </c>
      <c r="AB50" s="9">
        <v>1.2999999999999999E-3</v>
      </c>
      <c r="AC50" s="9">
        <v>1.2999999999999999E-3</v>
      </c>
    </row>
    <row r="51" spans="2:29" ht="15" thickBot="1" x14ac:dyDescent="0.35">
      <c r="B51" s="5">
        <v>202517</v>
      </c>
      <c r="C51" s="5"/>
      <c r="D51" s="9">
        <v>2.8E-3</v>
      </c>
      <c r="E51" s="9">
        <v>2.5999999999999999E-3</v>
      </c>
      <c r="F51" s="9">
        <v>2.8E-3</v>
      </c>
      <c r="G51" s="9">
        <v>2.8E-3</v>
      </c>
      <c r="H51" s="9">
        <v>2.8999999999999998E-3</v>
      </c>
      <c r="I51" s="9">
        <v>3.8E-3</v>
      </c>
      <c r="J51" s="9">
        <v>1.4E-3</v>
      </c>
      <c r="K51" s="9">
        <v>2.3999999999999998E-3</v>
      </c>
      <c r="L51" s="9">
        <v>1.6999999999999999E-3</v>
      </c>
      <c r="M51" s="9">
        <v>1.2999999999999999E-3</v>
      </c>
      <c r="N51" s="9"/>
      <c r="O51" s="9">
        <v>8.2000000000000007E-3</v>
      </c>
      <c r="P51" s="9">
        <v>3.0999999999999999E-3</v>
      </c>
      <c r="Q51" s="9"/>
      <c r="R51" s="9">
        <v>2.8E-3</v>
      </c>
      <c r="S51" s="9">
        <v>3.8999999999999998E-3</v>
      </c>
      <c r="T51" s="9">
        <v>2.8999999999999998E-3</v>
      </c>
      <c r="U51" s="9">
        <v>3.5999999999999999E-3</v>
      </c>
      <c r="V51" s="9">
        <v>2.7000000000000001E-3</v>
      </c>
      <c r="W51" s="9">
        <v>3.3E-3</v>
      </c>
      <c r="X51" s="9">
        <v>8.9999999999999998E-4</v>
      </c>
      <c r="Y51" s="9">
        <v>4.1999999999999997E-3</v>
      </c>
      <c r="Z51" s="9">
        <v>2E-3</v>
      </c>
      <c r="AA51" s="9">
        <v>2.2000000000000001E-3</v>
      </c>
      <c r="AB51" s="9">
        <v>8.9999999999999998E-4</v>
      </c>
      <c r="AC51" s="9">
        <v>1.2999999999999999E-3</v>
      </c>
    </row>
    <row r="52" spans="2:29" ht="15" thickBot="1" x14ac:dyDescent="0.35">
      <c r="B52" s="22" t="s">
        <v>82</v>
      </c>
      <c r="C52" s="22"/>
      <c r="D52" s="24">
        <f t="shared" ref="D52:AC52" si="23">AVERAGE(D35:D51)</f>
        <v>2.5705882352941179E-3</v>
      </c>
      <c r="E52" s="24">
        <f t="shared" si="23"/>
        <v>4.4999999999999997E-3</v>
      </c>
      <c r="F52" s="24">
        <f t="shared" si="23"/>
        <v>2.3999999999999994E-3</v>
      </c>
      <c r="G52" s="24">
        <f t="shared" si="23"/>
        <v>6.4470588235294125E-3</v>
      </c>
      <c r="H52" s="24">
        <f t="shared" si="23"/>
        <v>4.3117647058823535E-3</v>
      </c>
      <c r="I52" s="24">
        <f t="shared" si="23"/>
        <v>4.7058823529411761E-3</v>
      </c>
      <c r="J52" s="24">
        <f t="shared" si="23"/>
        <v>2.9235294117647055E-3</v>
      </c>
      <c r="K52" s="24">
        <f t="shared" si="23"/>
        <v>3.6588235294117643E-3</v>
      </c>
      <c r="L52" s="24">
        <f t="shared" si="23"/>
        <v>2.2411764705882356E-3</v>
      </c>
      <c r="M52" s="24">
        <f t="shared" si="23"/>
        <v>2.6411764705882353E-3</v>
      </c>
      <c r="N52" s="24">
        <f t="shared" si="23"/>
        <v>2.8785714285714287E-3</v>
      </c>
      <c r="O52" s="24">
        <f t="shared" si="23"/>
        <v>5.9176470588235301E-3</v>
      </c>
      <c r="P52" s="24">
        <f t="shared" si="23"/>
        <v>2.6705882352941177E-3</v>
      </c>
      <c r="Q52" s="24">
        <f t="shared" si="23"/>
        <v>-6.7871428571428569E-2</v>
      </c>
      <c r="R52" s="24">
        <f t="shared" si="23"/>
        <v>2.1117647058823525E-3</v>
      </c>
      <c r="S52" s="24">
        <f t="shared" si="23"/>
        <v>2.8294117647058824E-3</v>
      </c>
      <c r="T52" s="24">
        <f t="shared" si="23"/>
        <v>3.2529411764705874E-3</v>
      </c>
      <c r="U52" s="24">
        <f t="shared" si="23"/>
        <v>3.7058823529411765E-3</v>
      </c>
      <c r="V52" s="24">
        <f t="shared" si="23"/>
        <v>2.841176470588235E-3</v>
      </c>
      <c r="W52" s="24">
        <f t="shared" si="23"/>
        <v>1.8705882352941174E-3</v>
      </c>
      <c r="X52" s="24">
        <f t="shared" si="23"/>
        <v>9.058823529411765E-4</v>
      </c>
      <c r="Y52" s="24">
        <f t="shared" si="23"/>
        <v>3.3529411764705885E-3</v>
      </c>
      <c r="Z52" s="24">
        <f t="shared" si="23"/>
        <v>1.7352941176470588E-3</v>
      </c>
      <c r="AA52" s="24">
        <f t="shared" si="23"/>
        <v>1.4083333333333335E-3</v>
      </c>
      <c r="AB52" s="24">
        <f t="shared" si="23"/>
        <v>9.6666666666666646E-4</v>
      </c>
      <c r="AC52" s="24">
        <f t="shared" si="23"/>
        <v>1.0470588235294118E-3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T53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44140625" bestFit="1" customWidth="1"/>
    <col min="21" max="21" width="9.5546875" bestFit="1" customWidth="1"/>
    <col min="22" max="22" width="10.6640625" bestFit="1" customWidth="1"/>
    <col min="23" max="23" width="8.6640625" bestFit="1" customWidth="1"/>
    <col min="24" max="24" width="11.33203125" bestFit="1" customWidth="1"/>
    <col min="25" max="25" width="8.33203125" bestFit="1" customWidth="1"/>
    <col min="26" max="26" width="11.109375" bestFit="1" customWidth="1"/>
    <col min="27" max="27" width="9.109375" bestFit="1" customWidth="1"/>
    <col min="28" max="28" width="11.10937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45774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45780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120</v>
      </c>
      <c r="C6" s="7">
        <v>10</v>
      </c>
      <c r="D6" s="7">
        <v>7</v>
      </c>
      <c r="E6" s="7">
        <v>1197</v>
      </c>
      <c r="F6" s="7">
        <v>1037</v>
      </c>
      <c r="G6" s="7">
        <v>9</v>
      </c>
      <c r="H6" s="9">
        <f t="shared" ref="H6:H12" si="0">IFERROR(G6/F6,0)</f>
        <v>8.6788813886210219E-3</v>
      </c>
      <c r="I6" s="9">
        <f>IFERROR((1197-F6)/1197,0)</f>
        <v>0.13366750208855471</v>
      </c>
      <c r="J6" s="7">
        <v>4620</v>
      </c>
      <c r="K6" s="11">
        <f t="shared" ref="K6:K12" si="1">IFERROR(J6/D6/F6*100,0)</f>
        <v>63.645130183220836</v>
      </c>
      <c r="L6" s="11">
        <f>K6-61.8683</f>
        <v>1.776830183220838</v>
      </c>
      <c r="M6" s="11">
        <v>85</v>
      </c>
      <c r="N6" s="11">
        <f t="shared" ref="N6:N12" si="2">K6-M6</f>
        <v>-21.354869816779164</v>
      </c>
      <c r="O6" s="11">
        <f>IFERROR(128630/1197,0)</f>
        <v>107.46031746031746</v>
      </c>
      <c r="P6" s="11">
        <v>0</v>
      </c>
      <c r="Q6" s="11">
        <f t="shared" ref="Q6:Q11" si="3">IFERROR(O6-P6,0)</f>
        <v>107.46031746031746</v>
      </c>
      <c r="R6" s="7">
        <v>938</v>
      </c>
      <c r="S6" s="11">
        <f t="shared" ref="S6:S11" si="4">IFERROR(R6/D6/F6*1000,0)</f>
        <v>129.21890067502412</v>
      </c>
      <c r="T6" s="13">
        <f t="shared" ref="T6:T12" si="5">IFERROR(J6/R6,0)</f>
        <v>4.9253731343283578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254.4685714286</v>
      </c>
      <c r="Y6" s="11">
        <f t="shared" ref="Y6:Y11" si="8">IFERROR((F6*S6)/(F6*K6)*100,0)</f>
        <v>203.03030303030303</v>
      </c>
      <c r="Z6" s="11">
        <f t="shared" ref="Z6:Z12" si="9">IFERROR(Y6*X6/1000,0)</f>
        <v>51.664831168836969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9</v>
      </c>
      <c r="AF6" s="11">
        <v>28</v>
      </c>
      <c r="AG6" s="7">
        <f t="shared" ref="AG6:AG11" si="10">IF(M6=0,0,IFERROR(N6/100*7*F6,0))</f>
        <v>-1550.1499999999996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80</v>
      </c>
      <c r="C7" s="7">
        <v>10</v>
      </c>
      <c r="D7" s="7">
        <v>7</v>
      </c>
      <c r="E7" s="7">
        <v>14440</v>
      </c>
      <c r="F7" s="7">
        <v>11369</v>
      </c>
      <c r="G7" s="7">
        <v>35</v>
      </c>
      <c r="H7" s="9">
        <f t="shared" si="0"/>
        <v>3.0785469258509984E-3</v>
      </c>
      <c r="I7" s="9">
        <f>IFERROR((14440-F7)/14440,0)</f>
        <v>0.21267313019390582</v>
      </c>
      <c r="J7" s="7">
        <v>61500</v>
      </c>
      <c r="K7" s="11">
        <f t="shared" si="1"/>
        <v>77.277810587688336</v>
      </c>
      <c r="L7" s="11">
        <f>K7-73.1698</f>
        <v>4.1080105876883408</v>
      </c>
      <c r="M7" s="11">
        <v>85</v>
      </c>
      <c r="N7" s="11">
        <f t="shared" si="2"/>
        <v>-7.7221894123116641</v>
      </c>
      <c r="O7" s="11">
        <f>IFERROR(4413700/14440,0)</f>
        <v>305.65789473684208</v>
      </c>
      <c r="P7" s="11">
        <v>0</v>
      </c>
      <c r="Q7" s="11">
        <f t="shared" si="3"/>
        <v>305.65789473684208</v>
      </c>
      <c r="R7" s="7">
        <v>10430</v>
      </c>
      <c r="S7" s="11">
        <f t="shared" si="4"/>
        <v>131.0581405576568</v>
      </c>
      <c r="T7" s="13">
        <f t="shared" si="5"/>
        <v>5.896452540747843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169.59349593495935</v>
      </c>
      <c r="Z7" s="11">
        <f t="shared" si="9"/>
        <v>63.283813008130075</v>
      </c>
      <c r="AA7" s="7">
        <v>1966</v>
      </c>
      <c r="AB7" s="15">
        <f>IFERROR(AA7/1970,0)</f>
        <v>0.99796954314720809</v>
      </c>
      <c r="AC7" s="11">
        <v>0</v>
      </c>
      <c r="AD7" s="15">
        <f>IFERROR(AC7/64.8,0)</f>
        <v>0</v>
      </c>
      <c r="AE7" s="11">
        <v>9</v>
      </c>
      <c r="AF7" s="11">
        <v>28</v>
      </c>
      <c r="AG7" s="7">
        <f t="shared" si="10"/>
        <v>-6145.549999999992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80</v>
      </c>
      <c r="C8" s="7">
        <v>10</v>
      </c>
      <c r="D8" s="7">
        <v>7</v>
      </c>
      <c r="E8" s="7">
        <v>16063</v>
      </c>
      <c r="F8" s="7">
        <v>13280</v>
      </c>
      <c r="G8" s="7">
        <v>29</v>
      </c>
      <c r="H8" s="9">
        <f t="shared" si="0"/>
        <v>2.1837349397590363E-3</v>
      </c>
      <c r="I8" s="9">
        <f>IFERROR((16063-F8)/16063,0)</f>
        <v>0.17325530722779056</v>
      </c>
      <c r="J8" s="7">
        <v>67920</v>
      </c>
      <c r="K8" s="11">
        <f t="shared" si="1"/>
        <v>73.063683304647171</v>
      </c>
      <c r="L8" s="11">
        <f>K8-68.7183</f>
        <v>4.3453833046471715</v>
      </c>
      <c r="M8" s="11">
        <v>82</v>
      </c>
      <c r="N8" s="11">
        <f t="shared" si="2"/>
        <v>-8.9363166953528292</v>
      </c>
      <c r="O8" s="11">
        <f>IFERROR(4590450/16063,0)</f>
        <v>285.77787461868894</v>
      </c>
      <c r="P8" s="11">
        <v>0</v>
      </c>
      <c r="Q8" s="11">
        <f t="shared" si="3"/>
        <v>285.77787461868894</v>
      </c>
      <c r="R8" s="7">
        <v>10920</v>
      </c>
      <c r="S8" s="11">
        <f t="shared" si="4"/>
        <v>117.46987951807229</v>
      </c>
      <c r="T8" s="13">
        <f t="shared" si="5"/>
        <v>6.2197802197802199</v>
      </c>
      <c r="U8" s="7">
        <v>0</v>
      </c>
      <c r="V8" s="11">
        <f t="shared" si="6"/>
        <v>0</v>
      </c>
      <c r="W8" s="11">
        <f t="shared" si="7"/>
        <v>0</v>
      </c>
      <c r="X8" s="11">
        <v>317.14285714290003</v>
      </c>
      <c r="Y8" s="11">
        <f t="shared" si="8"/>
        <v>160.77738515901058</v>
      </c>
      <c r="Z8" s="11">
        <f t="shared" si="9"/>
        <v>50.989399293293104</v>
      </c>
      <c r="AA8" s="7">
        <v>1736</v>
      </c>
      <c r="AB8" s="15">
        <f>IFERROR(AA8/1580,0)</f>
        <v>1.09873417721519</v>
      </c>
      <c r="AC8" s="11">
        <v>0</v>
      </c>
      <c r="AD8" s="15">
        <f>IFERROR(AC8/63.5,0)</f>
        <v>0</v>
      </c>
      <c r="AE8" s="11">
        <v>9</v>
      </c>
      <c r="AF8" s="11">
        <v>28</v>
      </c>
      <c r="AG8" s="7">
        <f t="shared" si="10"/>
        <v>-8307.1999999999898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41</v>
      </c>
      <c r="C9" s="7"/>
      <c r="D9" s="7">
        <v>7</v>
      </c>
      <c r="E9" s="7">
        <v>4686</v>
      </c>
      <c r="F9" s="7">
        <v>4213</v>
      </c>
      <c r="G9" s="7">
        <v>11</v>
      </c>
      <c r="H9" s="9">
        <f t="shared" si="0"/>
        <v>2.6109660574412533E-3</v>
      </c>
      <c r="I9" s="9">
        <f>IFERROR((4686-F9)/4686,0)</f>
        <v>0.10093896713615023</v>
      </c>
      <c r="J9" s="7">
        <v>29580</v>
      </c>
      <c r="K9" s="11">
        <f t="shared" si="1"/>
        <v>100.30178698586008</v>
      </c>
      <c r="L9" s="11">
        <f>K9-100.9537</f>
        <v>-0.65191301413992164</v>
      </c>
      <c r="M9" s="11">
        <v>92</v>
      </c>
      <c r="N9" s="11">
        <f t="shared" si="2"/>
        <v>8.3017869858600761</v>
      </c>
      <c r="O9" s="11">
        <f>IFERROR(611640/4686,0)</f>
        <v>130.52496798975673</v>
      </c>
      <c r="P9" s="11">
        <v>143</v>
      </c>
      <c r="Q9" s="11">
        <f t="shared" si="3"/>
        <v>-12.475032010243268</v>
      </c>
      <c r="R9" s="7">
        <v>4752</v>
      </c>
      <c r="S9" s="11">
        <f t="shared" si="4"/>
        <v>161.13390525923162</v>
      </c>
      <c r="T9" s="13">
        <f t="shared" si="5"/>
        <v>6.2247474747474749</v>
      </c>
      <c r="U9" s="7">
        <v>5040</v>
      </c>
      <c r="V9" s="11">
        <f t="shared" si="6"/>
        <v>170.89959648706386</v>
      </c>
      <c r="W9" s="11">
        <f t="shared" si="7"/>
        <v>1.0606060606060608</v>
      </c>
      <c r="X9" s="11">
        <v>362.76</v>
      </c>
      <c r="Y9" s="11">
        <f t="shared" si="8"/>
        <v>160.64908722109536</v>
      </c>
      <c r="Z9" s="11">
        <f t="shared" si="9"/>
        <v>58.27706288032455</v>
      </c>
      <c r="AA9" s="7">
        <v>1879</v>
      </c>
      <c r="AB9" s="15">
        <f>IFERROR(AA9/1930,0)</f>
        <v>0.97357512953367875</v>
      </c>
      <c r="AC9" s="11">
        <v>0</v>
      </c>
      <c r="AD9" s="15">
        <f>IFERROR(AC9/62.4,0)</f>
        <v>0</v>
      </c>
      <c r="AE9" s="11">
        <v>14</v>
      </c>
      <c r="AF9" s="11">
        <v>27</v>
      </c>
      <c r="AG9" s="7">
        <f t="shared" si="10"/>
        <v>2448.2799999999952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80</v>
      </c>
      <c r="C10" s="7">
        <v>11</v>
      </c>
      <c r="D10" s="7">
        <v>7</v>
      </c>
      <c r="E10" s="7">
        <v>5000</v>
      </c>
      <c r="F10" s="7">
        <v>4159</v>
      </c>
      <c r="G10" s="7">
        <v>10</v>
      </c>
      <c r="H10" s="9">
        <f t="shared" si="0"/>
        <v>2.4044241404183697E-3</v>
      </c>
      <c r="I10" s="9">
        <f>IFERROR((5000-F10)/5000,0)</f>
        <v>0.16819999999999999</v>
      </c>
      <c r="J10" s="7">
        <v>26430</v>
      </c>
      <c r="K10" s="11">
        <f t="shared" si="1"/>
        <v>90.784185758939302</v>
      </c>
      <c r="L10" s="11">
        <f>K10-92.9308</f>
        <v>-2.1466142410607034</v>
      </c>
      <c r="M10" s="11">
        <v>86</v>
      </c>
      <c r="N10" s="11">
        <f t="shared" si="2"/>
        <v>4.7841857589393015</v>
      </c>
      <c r="O10" s="11">
        <f>IFERROR(1607270/5000,0)</f>
        <v>321.45400000000001</v>
      </c>
      <c r="P10" s="11">
        <v>0</v>
      </c>
      <c r="Q10" s="11">
        <f t="shared" si="3"/>
        <v>321.45400000000001</v>
      </c>
      <c r="R10" s="7">
        <v>4661</v>
      </c>
      <c r="S10" s="11">
        <f t="shared" si="4"/>
        <v>160.10029883557175</v>
      </c>
      <c r="T10" s="13">
        <f t="shared" si="5"/>
        <v>5.6704569834799399</v>
      </c>
      <c r="U10" s="7">
        <v>5040</v>
      </c>
      <c r="V10" s="11">
        <f t="shared" si="6"/>
        <v>173.11853811012261</v>
      </c>
      <c r="W10" s="11">
        <f t="shared" si="7"/>
        <v>1.0813130229564469</v>
      </c>
      <c r="X10" s="11">
        <v>374.81</v>
      </c>
      <c r="Y10" s="11">
        <f t="shared" si="8"/>
        <v>176.35262958758989</v>
      </c>
      <c r="Z10" s="11">
        <f t="shared" si="9"/>
        <v>66.098729095724565</v>
      </c>
      <c r="AA10" s="7">
        <v>1980</v>
      </c>
      <c r="AB10" s="15">
        <f>IFERROR(AA10/1970,0)</f>
        <v>1.0050761421319796</v>
      </c>
      <c r="AC10" s="11">
        <v>0</v>
      </c>
      <c r="AD10" s="15">
        <f>IFERROR(AC10/64.8,0)</f>
        <v>0</v>
      </c>
      <c r="AE10" s="11">
        <v>14</v>
      </c>
      <c r="AF10" s="11">
        <v>24</v>
      </c>
      <c r="AG10" s="7">
        <f t="shared" si="10"/>
        <v>1392.8199999999988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41</v>
      </c>
      <c r="C11" s="7"/>
      <c r="D11" s="7">
        <v>7</v>
      </c>
      <c r="E11" s="7">
        <v>4819</v>
      </c>
      <c r="F11" s="7">
        <v>4591</v>
      </c>
      <c r="G11" s="7">
        <v>8</v>
      </c>
      <c r="H11" s="9">
        <f t="shared" si="0"/>
        <v>1.7425397516880855E-3</v>
      </c>
      <c r="I11" s="9">
        <f>IFERROR((4819-F11)/4819,0)</f>
        <v>4.7312720481427685E-2</v>
      </c>
      <c r="J11" s="7">
        <v>31740</v>
      </c>
      <c r="K11" s="11">
        <f t="shared" si="1"/>
        <v>98.764663783178278</v>
      </c>
      <c r="L11" s="11">
        <f>K11-96.17</f>
        <v>2.5946637831782766</v>
      </c>
      <c r="M11" s="11">
        <v>92</v>
      </c>
      <c r="N11" s="11">
        <f t="shared" si="2"/>
        <v>6.7646637831782783</v>
      </c>
      <c r="O11" s="11">
        <f>IFERROR(647756/4819,0)</f>
        <v>134.41709898319152</v>
      </c>
      <c r="P11" s="11">
        <v>143</v>
      </c>
      <c r="Q11" s="11">
        <f t="shared" si="3"/>
        <v>-8.5829010168084778</v>
      </c>
      <c r="R11" s="7">
        <v>5138</v>
      </c>
      <c r="S11" s="11">
        <f t="shared" si="4"/>
        <v>159.87802221738184</v>
      </c>
      <c r="T11" s="13">
        <f t="shared" si="5"/>
        <v>6.1775009731413002</v>
      </c>
      <c r="U11" s="7">
        <v>5040</v>
      </c>
      <c r="V11" s="11">
        <f t="shared" si="6"/>
        <v>156.82857765192767</v>
      </c>
      <c r="W11" s="11">
        <f t="shared" si="7"/>
        <v>0.98092643051771111</v>
      </c>
      <c r="X11" s="11">
        <v>310.93714285710001</v>
      </c>
      <c r="Y11" s="11">
        <f t="shared" si="8"/>
        <v>161.87775677378698</v>
      </c>
      <c r="Z11" s="11">
        <f t="shared" si="9"/>
        <v>50.333807183357891</v>
      </c>
      <c r="AA11" s="7">
        <v>1872</v>
      </c>
      <c r="AB11" s="15">
        <f>IFERROR(AA11/1930,0)</f>
        <v>0.96994818652849746</v>
      </c>
      <c r="AC11" s="11">
        <v>0</v>
      </c>
      <c r="AD11" s="15">
        <f>IFERROR(AC11/62.4,0)</f>
        <v>0</v>
      </c>
      <c r="AE11" s="11">
        <v>13</v>
      </c>
      <c r="AF11" s="11">
        <v>27</v>
      </c>
      <c r="AG11" s="7">
        <f t="shared" si="10"/>
        <v>2173.9600000000032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38649</v>
      </c>
      <c r="G12" s="17">
        <f>SUM(G6:G11)</f>
        <v>102</v>
      </c>
      <c r="H12" s="18">
        <f t="shared" si="0"/>
        <v>2.6391368470076847E-3</v>
      </c>
      <c r="I12" s="18"/>
      <c r="J12" s="17">
        <f>SUM(J6:J11)</f>
        <v>221790</v>
      </c>
      <c r="K12" s="19">
        <f t="shared" si="1"/>
        <v>81.9795744114614</v>
      </c>
      <c r="L12" s="19"/>
      <c r="M12" s="19">
        <f>IFERROR(SUMPRODUCT($F6:$F11,M6:M11)/$F12, 0)</f>
        <v>85.671349840875578</v>
      </c>
      <c r="N12" s="19">
        <f t="shared" si="2"/>
        <v>-3.6917754294141787</v>
      </c>
      <c r="O12" s="19">
        <f>IFERROR(SUMPRODUCT($E6:$E11,O6:O11)/$E12, 0)</f>
        <v>259.70016232009522</v>
      </c>
      <c r="P12" s="19">
        <f>IFERROR(SUMPRODUCT($E6:$E11,P6:P11)/$E12, 0)</f>
        <v>29.417054431338599</v>
      </c>
      <c r="Q12" s="19">
        <f>IFERROR(SUMPRODUCT($E6:$E11,Q6:Q11)/$E12, 0)</f>
        <v>230.28310788875663</v>
      </c>
      <c r="R12" s="17">
        <f>SUM(R6:R11)</f>
        <v>36839</v>
      </c>
      <c r="S12" s="19">
        <f>IFERROR(R12/D12/$F12*1000,0)</f>
        <v>136.16689398727743</v>
      </c>
      <c r="T12" s="20">
        <f t="shared" si="5"/>
        <v>6.0205217296886451</v>
      </c>
      <c r="U12" s="17">
        <f>SUM(U6:U11)</f>
        <v>15120</v>
      </c>
      <c r="V12" s="19">
        <f>IFERROR(U12/D12/$F12*1000,0)</f>
        <v>55.887603818986264</v>
      </c>
      <c r="W12" s="19">
        <f t="shared" si="7"/>
        <v>0.41043459377290376</v>
      </c>
      <c r="X12" s="19">
        <f>IFERROR(SUMPRODUCT(R6:R11,X6:X11)/R12,0)</f>
        <v>343.71904747686619</v>
      </c>
      <c r="Y12" s="19">
        <f>IFERROR(($F12*S12)/($F12*K12)*100,0)</f>
        <v>166.09856170251135</v>
      </c>
      <c r="Z12" s="19">
        <f t="shared" si="9"/>
        <v>57.091239415664681</v>
      </c>
      <c r="AA12" s="17"/>
      <c r="AB12" s="21">
        <f>IFERROR(SUMPRODUCT($F6:$F11,AB6:AB11)/$F12,0)</f>
        <v>1.0005930665648</v>
      </c>
      <c r="AC12" s="19"/>
      <c r="AD12" s="21">
        <f>AVERAGE(AD6:AD11)</f>
        <v>0</v>
      </c>
      <c r="AE12" s="19"/>
      <c r="AF12" s="19"/>
      <c r="AG12" s="17">
        <f>SUM(AG6:AG11)</f>
        <v>-9987.8399999999856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80</v>
      </c>
      <c r="C14" s="6">
        <v>17</v>
      </c>
      <c r="D14" s="6">
        <v>7</v>
      </c>
      <c r="E14" s="6">
        <v>21388</v>
      </c>
      <c r="F14" s="6">
        <v>16711</v>
      </c>
      <c r="G14" s="6">
        <v>23</v>
      </c>
      <c r="H14" s="8">
        <f t="shared" ref="H14:H29" si="12">IFERROR(G14/F14,0)</f>
        <v>1.3763389384237926E-3</v>
      </c>
      <c r="I14" s="8">
        <f>IFERROR((21388-F14)/21388,0)</f>
        <v>0.21867402281653264</v>
      </c>
      <c r="J14" s="6">
        <v>91800</v>
      </c>
      <c r="K14" s="10">
        <f t="shared" ref="K14:K29" si="13">IFERROR(J14/D14/F14*100,0)</f>
        <v>78.476965557331781</v>
      </c>
      <c r="L14" s="10">
        <f>K14-78.2154</f>
        <v>0.26156555733177811</v>
      </c>
      <c r="M14" s="10">
        <v>84</v>
      </c>
      <c r="N14" s="10">
        <f t="shared" ref="N14:N29" si="14">K14-M14</f>
        <v>-5.5230344426682194</v>
      </c>
      <c r="O14" s="10">
        <f>IFERROR(5170850/21388,0)</f>
        <v>241.76407331213764</v>
      </c>
      <c r="P14" s="10">
        <v>0</v>
      </c>
      <c r="Q14" s="10">
        <f t="shared" ref="Q14:Q28" si="15">IFERROR(O14-P14,0)</f>
        <v>241.76407331213764</v>
      </c>
      <c r="R14" s="6">
        <v>16037</v>
      </c>
      <c r="S14" s="10">
        <f t="shared" ref="S14:S28" si="16">IFERROR(R14/D14/F14*1000,0)</f>
        <v>137.09532643169169</v>
      </c>
      <c r="T14" s="12">
        <f t="shared" ref="T14:T29" si="17">IFERROR(J14/R14,0)</f>
        <v>5.7242626426388972</v>
      </c>
      <c r="U14" s="6">
        <v>20170</v>
      </c>
      <c r="V14" s="10">
        <f t="shared" ref="V14:V28" si="18">IFERROR(U14/D14/F14*1000,0)</f>
        <v>172.42705831060809</v>
      </c>
      <c r="W14" s="10">
        <f t="shared" ref="W14:W29" si="19">IFERROR(V14/S14,0)</f>
        <v>1.2577165305231655</v>
      </c>
      <c r="X14" s="10">
        <v>254.7</v>
      </c>
      <c r="Y14" s="10">
        <f t="shared" ref="Y14:Y28" si="20">IFERROR((F14*S14)/(F14*K14)*100,0)</f>
        <v>174.69498910675384</v>
      </c>
      <c r="Z14" s="10">
        <f t="shared" ref="Z14:Z29" si="21">IFERROR(Y14*X14/1000,0)</f>
        <v>44.494813725490204</v>
      </c>
      <c r="AA14" s="6">
        <v>2150</v>
      </c>
      <c r="AB14" s="14">
        <f>IFERROR(AA14/1580,0)</f>
        <v>1.360759493670886</v>
      </c>
      <c r="AC14" s="10">
        <v>1.97</v>
      </c>
      <c r="AD14" s="14">
        <f>IFERROR(AC14/63.5,0)</f>
        <v>3.1023622047244095E-2</v>
      </c>
      <c r="AE14" s="10">
        <v>19</v>
      </c>
      <c r="AF14" s="10">
        <v>25</v>
      </c>
      <c r="AG14" s="6">
        <f t="shared" ref="AG14:AG28" si="22">IF(M14=0,0,IFERROR(N14/100*7*F14,0))</f>
        <v>-6460.6800000000039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40</v>
      </c>
      <c r="C15" s="7"/>
      <c r="D15" s="7">
        <v>7</v>
      </c>
      <c r="E15" s="7">
        <v>10225</v>
      </c>
      <c r="F15" s="7">
        <v>9017</v>
      </c>
      <c r="G15" s="7">
        <v>44</v>
      </c>
      <c r="H15" s="9">
        <f t="shared" si="12"/>
        <v>4.8796717311744486E-3</v>
      </c>
      <c r="I15" s="9">
        <f>IFERROR((10225-F15)/10225,0)</f>
        <v>0.11814180929095354</v>
      </c>
      <c r="J15" s="7">
        <v>55020</v>
      </c>
      <c r="K15" s="11">
        <f t="shared" si="13"/>
        <v>87.168681379616274</v>
      </c>
      <c r="L15" s="11">
        <f>K15-84.9008</f>
        <v>2.26788137961627</v>
      </c>
      <c r="M15" s="11">
        <v>92.5</v>
      </c>
      <c r="N15" s="11">
        <f t="shared" si="14"/>
        <v>-5.3313186203837262</v>
      </c>
      <c r="O15" s="11">
        <f>IFERROR(1179560/10225,0)</f>
        <v>115.36039119804401</v>
      </c>
      <c r="P15" s="11">
        <v>136</v>
      </c>
      <c r="Q15" s="11">
        <f t="shared" si="15"/>
        <v>-20.639608801955987</v>
      </c>
      <c r="R15" s="7">
        <v>9420</v>
      </c>
      <c r="S15" s="11">
        <f t="shared" si="16"/>
        <v>149.24190814176396</v>
      </c>
      <c r="T15" s="13">
        <f t="shared" si="17"/>
        <v>5.8407643312101909</v>
      </c>
      <c r="U15" s="7">
        <v>12690</v>
      </c>
      <c r="V15" s="11">
        <f t="shared" si="18"/>
        <v>201.04881256040179</v>
      </c>
      <c r="W15" s="11">
        <f t="shared" si="19"/>
        <v>1.3471337579617835</v>
      </c>
      <c r="X15" s="11">
        <v>262.76571428570003</v>
      </c>
      <c r="Y15" s="11">
        <f t="shared" si="20"/>
        <v>171.2104689203926</v>
      </c>
      <c r="Z15" s="11">
        <f t="shared" si="21"/>
        <v>44.988241159056606</v>
      </c>
      <c r="AA15" s="7">
        <v>2050</v>
      </c>
      <c r="AB15" s="15">
        <f>IFERROR(AA15/1930,0)</f>
        <v>1.0621761658031088</v>
      </c>
      <c r="AC15" s="11">
        <v>1.93</v>
      </c>
      <c r="AD15" s="15">
        <f>IFERROR(AC15/62.3,0)</f>
        <v>3.097913322632424E-2</v>
      </c>
      <c r="AE15" s="11">
        <v>23</v>
      </c>
      <c r="AF15" s="11">
        <v>30</v>
      </c>
      <c r="AG15" s="7">
        <f t="shared" si="22"/>
        <v>-3365.0750000000039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69</v>
      </c>
      <c r="C16" s="7"/>
      <c r="D16" s="7">
        <v>7</v>
      </c>
      <c r="E16" s="7">
        <v>56050</v>
      </c>
      <c r="F16" s="7">
        <v>49926</v>
      </c>
      <c r="G16" s="7">
        <v>210</v>
      </c>
      <c r="H16" s="9">
        <f t="shared" si="12"/>
        <v>4.2062252133157072E-3</v>
      </c>
      <c r="I16" s="9">
        <f>IFERROR((56050-F16)/56050,0)</f>
        <v>0.10925958965209634</v>
      </c>
      <c r="J16" s="7">
        <v>318450</v>
      </c>
      <c r="K16" s="11">
        <f t="shared" si="13"/>
        <v>91.120572733359666</v>
      </c>
      <c r="L16" s="11">
        <f>K16-94.6625</f>
        <v>-3.5419272666403288</v>
      </c>
      <c r="M16" s="11">
        <v>88.7</v>
      </c>
      <c r="N16" s="11">
        <f t="shared" si="14"/>
        <v>2.4205727333596627</v>
      </c>
      <c r="O16" s="11">
        <f>IFERROR(17140381/56050,0)</f>
        <v>305.8051917930419</v>
      </c>
      <c r="P16" s="11">
        <v>310</v>
      </c>
      <c r="Q16" s="11">
        <f t="shared" si="15"/>
        <v>-4.1948082069581005</v>
      </c>
      <c r="R16" s="7">
        <v>41250</v>
      </c>
      <c r="S16" s="11">
        <f t="shared" si="16"/>
        <v>118.0318299654918</v>
      </c>
      <c r="T16" s="13">
        <f t="shared" si="17"/>
        <v>7.72</v>
      </c>
      <c r="U16" s="7">
        <v>63000</v>
      </c>
      <c r="V16" s="11">
        <f t="shared" si="18"/>
        <v>180.26679485638743</v>
      </c>
      <c r="W16" s="11">
        <f t="shared" si="19"/>
        <v>1.5272727272727269</v>
      </c>
      <c r="X16" s="11">
        <v>285.20142857140002</v>
      </c>
      <c r="Y16" s="11">
        <f t="shared" si="20"/>
        <v>129.53367875647669</v>
      </c>
      <c r="Z16" s="11">
        <f t="shared" si="21"/>
        <v>36.943190229455965</v>
      </c>
      <c r="AA16" s="7">
        <v>1779</v>
      </c>
      <c r="AB16" s="15">
        <f>IFERROR(AA16/1725,0)</f>
        <v>1.031304347826087</v>
      </c>
      <c r="AC16" s="11">
        <v>0</v>
      </c>
      <c r="AD16" s="15">
        <f>IFERROR(AC16/63.6,0)</f>
        <v>0</v>
      </c>
      <c r="AE16" s="11">
        <v>21</v>
      </c>
      <c r="AF16" s="11">
        <v>26</v>
      </c>
      <c r="AG16" s="7">
        <f t="shared" si="22"/>
        <v>8459.4660000000149</v>
      </c>
      <c r="AH16" s="7">
        <v>142</v>
      </c>
      <c r="AI16" s="7">
        <v>17.746478873200001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IFERROR(1470/F16,0)</f>
        <v>2.9443576493209951E-2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62</v>
      </c>
      <c r="C17" s="7"/>
      <c r="D17" s="7">
        <v>7</v>
      </c>
      <c r="E17" s="7">
        <v>51536</v>
      </c>
      <c r="F17" s="7">
        <v>47728</v>
      </c>
      <c r="G17" s="7">
        <v>144</v>
      </c>
      <c r="H17" s="9">
        <f t="shared" si="12"/>
        <v>3.0170968823332216E-3</v>
      </c>
      <c r="I17" s="9">
        <f>IFERROR((51536-F17)/51536,0)</f>
        <v>7.3890096243402675E-2</v>
      </c>
      <c r="J17" s="7">
        <v>295820</v>
      </c>
      <c r="K17" s="11">
        <f t="shared" si="13"/>
        <v>88.543412671806905</v>
      </c>
      <c r="L17" s="11">
        <f>K17-90.9449</f>
        <v>-2.4014873281930988</v>
      </c>
      <c r="M17" s="11">
        <v>90.75</v>
      </c>
      <c r="N17" s="11">
        <f t="shared" si="14"/>
        <v>-2.2065873281930948</v>
      </c>
      <c r="O17" s="11">
        <f>IFERROR(13392542/51536,0)</f>
        <v>259.86770412915246</v>
      </c>
      <c r="P17" s="11">
        <v>269</v>
      </c>
      <c r="Q17" s="11">
        <f t="shared" si="15"/>
        <v>-9.1322958708475426</v>
      </c>
      <c r="R17" s="7">
        <v>40470</v>
      </c>
      <c r="S17" s="11">
        <f t="shared" si="16"/>
        <v>121.13284804367608</v>
      </c>
      <c r="T17" s="13">
        <f t="shared" si="17"/>
        <v>7.3096120583148014</v>
      </c>
      <c r="U17" s="7">
        <v>69724</v>
      </c>
      <c r="V17" s="11">
        <f t="shared" si="18"/>
        <v>208.69450696805711</v>
      </c>
      <c r="W17" s="11">
        <f t="shared" si="19"/>
        <v>1.7228564368668151</v>
      </c>
      <c r="X17" s="11">
        <v>275.13142857140002</v>
      </c>
      <c r="Y17" s="11">
        <f t="shared" si="20"/>
        <v>136.80616591170306</v>
      </c>
      <c r="Z17" s="11">
        <f t="shared" si="21"/>
        <v>37.639675864662827</v>
      </c>
      <c r="AA17" s="7">
        <v>1697</v>
      </c>
      <c r="AB17" s="15">
        <f>IFERROR(AA17/1725,0)</f>
        <v>0.98376811594202895</v>
      </c>
      <c r="AC17" s="11">
        <v>0</v>
      </c>
      <c r="AD17" s="15">
        <f>IFERROR(AC17/63.3,0)</f>
        <v>0</v>
      </c>
      <c r="AE17" s="11">
        <v>21</v>
      </c>
      <c r="AF17" s="11">
        <v>26</v>
      </c>
      <c r="AG17" s="7">
        <f t="shared" si="22"/>
        <v>-7372.1200000000026</v>
      </c>
      <c r="AH17" s="7">
        <v>19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IFERROR(150/F17,0)</f>
        <v>3.1428092524304393E-3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110</v>
      </c>
      <c r="C18" s="7">
        <v>40</v>
      </c>
      <c r="D18" s="7">
        <v>7</v>
      </c>
      <c r="E18" s="7">
        <v>51311</v>
      </c>
      <c r="F18" s="7">
        <v>38489</v>
      </c>
      <c r="G18" s="7">
        <v>160</v>
      </c>
      <c r="H18" s="9">
        <f t="shared" si="12"/>
        <v>4.1570318792382242E-3</v>
      </c>
      <c r="I18" s="9">
        <f>IFERROR((51311-F18)/51311,0)</f>
        <v>0.24988793825885289</v>
      </c>
      <c r="J18" s="7">
        <v>215360</v>
      </c>
      <c r="K18" s="11">
        <f t="shared" si="13"/>
        <v>79.933784420780711</v>
      </c>
      <c r="L18" s="11">
        <f>K18-79.5068</f>
        <v>0.42698442078071253</v>
      </c>
      <c r="M18" s="11">
        <v>70</v>
      </c>
      <c r="N18" s="11">
        <f t="shared" si="14"/>
        <v>9.9337844207807109</v>
      </c>
      <c r="O18" s="11">
        <f>IFERROR(24256329/51311,0)</f>
        <v>472.73155853520689</v>
      </c>
      <c r="P18" s="11">
        <v>0</v>
      </c>
      <c r="Q18" s="11">
        <f t="shared" si="15"/>
        <v>472.73155853520689</v>
      </c>
      <c r="R18" s="7">
        <v>32090</v>
      </c>
      <c r="S18" s="11">
        <f t="shared" si="16"/>
        <v>119.10638661138805</v>
      </c>
      <c r="T18" s="13">
        <f t="shared" si="17"/>
        <v>6.7111249610470551</v>
      </c>
      <c r="U18" s="7">
        <v>47030</v>
      </c>
      <c r="V18" s="11">
        <f t="shared" si="18"/>
        <v>174.55822257194077</v>
      </c>
      <c r="W18" s="11">
        <f t="shared" si="19"/>
        <v>1.4655655967591148</v>
      </c>
      <c r="X18" s="11">
        <v>276.29142857139999</v>
      </c>
      <c r="Y18" s="11">
        <f t="shared" si="20"/>
        <v>149.00631500742944</v>
      </c>
      <c r="Z18" s="11">
        <f t="shared" si="21"/>
        <v>41.169167639562716</v>
      </c>
      <c r="AA18" s="7">
        <v>1707</v>
      </c>
      <c r="AB18" s="15">
        <f>IFERROR(AA18/0,0)</f>
        <v>0</v>
      </c>
      <c r="AC18" s="11">
        <v>0</v>
      </c>
      <c r="AD18" s="15">
        <f>IFERROR(AC18/0,0)</f>
        <v>0</v>
      </c>
      <c r="AE18" s="11">
        <v>21</v>
      </c>
      <c r="AF18" s="11">
        <v>26</v>
      </c>
      <c r="AG18" s="7">
        <f t="shared" si="22"/>
        <v>26763.900000000016</v>
      </c>
      <c r="AH18" s="7">
        <v>30</v>
      </c>
      <c r="AI18" s="7">
        <v>16.666666666699999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IFERROR(200/F18,0)</f>
        <v>5.1962898490477798E-3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41</v>
      </c>
      <c r="C19" s="7"/>
      <c r="D19" s="7">
        <v>7</v>
      </c>
      <c r="E19" s="7">
        <v>52424</v>
      </c>
      <c r="F19" s="7">
        <v>50131</v>
      </c>
      <c r="G19" s="7">
        <v>210</v>
      </c>
      <c r="H19" s="9">
        <f t="shared" si="12"/>
        <v>4.1890247551415296E-3</v>
      </c>
      <c r="I19" s="9">
        <f>IFERROR((52424-F19)/52424,0)</f>
        <v>4.3739508622005187E-2</v>
      </c>
      <c r="J19" s="7">
        <v>303100</v>
      </c>
      <c r="K19" s="11">
        <f t="shared" si="13"/>
        <v>86.373700903632482</v>
      </c>
      <c r="L19" s="11">
        <f>K19-93.8116</f>
        <v>-7.4378990963675164</v>
      </c>
      <c r="M19" s="11">
        <v>95.25</v>
      </c>
      <c r="N19" s="11">
        <f t="shared" si="14"/>
        <v>-8.8762990963675179</v>
      </c>
      <c r="O19" s="11">
        <f>IFERROR(6828420/52424,0)</f>
        <v>130.25370059514725</v>
      </c>
      <c r="P19" s="11">
        <v>138</v>
      </c>
      <c r="Q19" s="11">
        <f t="shared" si="15"/>
        <v>-7.7462994048527491</v>
      </c>
      <c r="R19" s="7">
        <v>38889</v>
      </c>
      <c r="S19" s="11">
        <f t="shared" si="16"/>
        <v>110.82107734877478</v>
      </c>
      <c r="T19" s="13">
        <f t="shared" si="17"/>
        <v>7.7939777314921956</v>
      </c>
      <c r="U19" s="7">
        <v>60664</v>
      </c>
      <c r="V19" s="11">
        <f t="shared" si="18"/>
        <v>172.87278758224878</v>
      </c>
      <c r="W19" s="11">
        <f t="shared" si="19"/>
        <v>1.5599269716372237</v>
      </c>
      <c r="X19" s="11">
        <v>283.0171428571</v>
      </c>
      <c r="Y19" s="11">
        <f t="shared" si="20"/>
        <v>128.30419003629166</v>
      </c>
      <c r="Z19" s="11">
        <f t="shared" si="21"/>
        <v>36.312285280665662</v>
      </c>
      <c r="AA19" s="7">
        <v>1708</v>
      </c>
      <c r="AB19" s="15">
        <f>IFERROR(AA19/1705,0)</f>
        <v>1.0017595307917888</v>
      </c>
      <c r="AC19" s="11">
        <v>61.72</v>
      </c>
      <c r="AD19" s="15">
        <f>IFERROR(AC19/61.95,0)</f>
        <v>0.99628732849071822</v>
      </c>
      <c r="AE19" s="11">
        <v>23</v>
      </c>
      <c r="AF19" s="11">
        <v>26</v>
      </c>
      <c r="AG19" s="7">
        <f t="shared" si="22"/>
        <v>-31148.442500000005</v>
      </c>
      <c r="AH19" s="7">
        <v>32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IFERROR(1050/F19,0)</f>
        <v>2.0945123775707647E-2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31</v>
      </c>
      <c r="C20" s="7"/>
      <c r="D20" s="7">
        <v>7</v>
      </c>
      <c r="E20" s="7">
        <v>50525</v>
      </c>
      <c r="F20" s="7">
        <v>49501</v>
      </c>
      <c r="G20" s="7">
        <v>88</v>
      </c>
      <c r="H20" s="9">
        <f t="shared" si="12"/>
        <v>1.7777418638007312E-3</v>
      </c>
      <c r="I20" s="9">
        <f>IFERROR((50525-F20)/50525,0)</f>
        <v>2.0267194458189017E-2</v>
      </c>
      <c r="J20" s="7">
        <v>310200</v>
      </c>
      <c r="K20" s="11">
        <f t="shared" si="13"/>
        <v>89.522000998536839</v>
      </c>
      <c r="L20" s="11">
        <f>K20-93.7305</f>
        <v>-4.2084990014631671</v>
      </c>
      <c r="M20" s="11">
        <v>96</v>
      </c>
      <c r="N20" s="11">
        <f t="shared" si="14"/>
        <v>-6.4779990014631608</v>
      </c>
      <c r="O20" s="11">
        <f>IFERROR(3316220/50525,0)</f>
        <v>65.63523008411677</v>
      </c>
      <c r="P20" s="11">
        <v>74</v>
      </c>
      <c r="Q20" s="11">
        <f t="shared" si="15"/>
        <v>-8.3647699158832296</v>
      </c>
      <c r="R20" s="7">
        <v>40314</v>
      </c>
      <c r="S20" s="11">
        <f t="shared" si="16"/>
        <v>116.34396996308877</v>
      </c>
      <c r="T20" s="13">
        <f t="shared" si="17"/>
        <v>7.6945974103289183</v>
      </c>
      <c r="U20" s="7">
        <v>71131</v>
      </c>
      <c r="V20" s="11">
        <f t="shared" si="18"/>
        <v>205.2801242110549</v>
      </c>
      <c r="W20" s="11">
        <f t="shared" si="19"/>
        <v>1.7644242694845462</v>
      </c>
      <c r="X20" s="11">
        <v>273.0142857143</v>
      </c>
      <c r="Y20" s="11">
        <f t="shared" si="20"/>
        <v>129.96131528046422</v>
      </c>
      <c r="Z20" s="11">
        <f t="shared" si="21"/>
        <v>35.481295661786881</v>
      </c>
      <c r="AA20" s="7">
        <v>1655</v>
      </c>
      <c r="AB20" s="15">
        <f>IFERROR(AA20/1540,0)</f>
        <v>1.0746753246753247</v>
      </c>
      <c r="AC20" s="11">
        <v>59.03</v>
      </c>
      <c r="AD20" s="15">
        <f>IFERROR(AC20/58.1,0)</f>
        <v>1.0160068846815835</v>
      </c>
      <c r="AE20" s="11">
        <v>22</v>
      </c>
      <c r="AF20" s="11">
        <v>26</v>
      </c>
      <c r="AG20" s="7">
        <f t="shared" si="22"/>
        <v>-22446.719999999954</v>
      </c>
      <c r="AH20" s="7">
        <v>28</v>
      </c>
      <c r="AI20" s="7">
        <v>21.428571428600002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50</v>
      </c>
      <c r="C21" s="7"/>
      <c r="D21" s="7">
        <v>7</v>
      </c>
      <c r="E21" s="7">
        <v>50845</v>
      </c>
      <c r="F21" s="7">
        <v>49062</v>
      </c>
      <c r="G21" s="7">
        <v>89</v>
      </c>
      <c r="H21" s="9">
        <f t="shared" si="12"/>
        <v>1.8140312257959317E-3</v>
      </c>
      <c r="I21" s="9">
        <f>IFERROR((50845-F21)/50845,0)</f>
        <v>3.5067361589143475E-2</v>
      </c>
      <c r="J21" s="7">
        <v>322460</v>
      </c>
      <c r="K21" s="11">
        <f t="shared" si="13"/>
        <v>93.892858598740943</v>
      </c>
      <c r="L21" s="11">
        <f>K21-92.8102</f>
        <v>1.0826585987409487</v>
      </c>
      <c r="M21" s="11">
        <v>93.85</v>
      </c>
      <c r="N21" s="11">
        <f t="shared" si="14"/>
        <v>4.2858598740949105E-2</v>
      </c>
      <c r="O21" s="11">
        <f>IFERROR(9697340/50845,0)</f>
        <v>190.7235716392959</v>
      </c>
      <c r="P21" s="11">
        <v>195</v>
      </c>
      <c r="Q21" s="11">
        <f t="shared" si="15"/>
        <v>-4.2764283607041023</v>
      </c>
      <c r="R21" s="7">
        <v>40998</v>
      </c>
      <c r="S21" s="11">
        <f t="shared" si="16"/>
        <v>119.3766487884135</v>
      </c>
      <c r="T21" s="13">
        <f t="shared" si="17"/>
        <v>7.8652617200839066</v>
      </c>
      <c r="U21" s="7">
        <v>67000</v>
      </c>
      <c r="V21" s="11">
        <f t="shared" si="18"/>
        <v>195.08843038254801</v>
      </c>
      <c r="W21" s="11">
        <f t="shared" si="19"/>
        <v>1.6342260598077951</v>
      </c>
      <c r="X21" s="11">
        <v>276.55142857139998</v>
      </c>
      <c r="Y21" s="11">
        <f t="shared" si="20"/>
        <v>127.14135086522363</v>
      </c>
      <c r="Z21" s="11">
        <f t="shared" si="21"/>
        <v>35.161122212275195</v>
      </c>
      <c r="AA21" s="7">
        <v>1775</v>
      </c>
      <c r="AB21" s="15">
        <f>IFERROR(AA21/1720,0)</f>
        <v>1.0319767441860466</v>
      </c>
      <c r="AC21" s="11">
        <v>62.31</v>
      </c>
      <c r="AD21" s="15">
        <f>IFERROR(AC21/62.65,0)</f>
        <v>0.99457302474062259</v>
      </c>
      <c r="AE21" s="11">
        <v>20</v>
      </c>
      <c r="AF21" s="11">
        <v>26</v>
      </c>
      <c r="AG21" s="7">
        <f t="shared" si="22"/>
        <v>147.19099999999116</v>
      </c>
      <c r="AH21" s="7">
        <v>30</v>
      </c>
      <c r="AI21" s="7">
        <v>22.666666666699999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IFERROR(500/F21,0)</f>
        <v>1.0191186661774897E-2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41</v>
      </c>
      <c r="C22" s="7"/>
      <c r="D22" s="7">
        <v>7</v>
      </c>
      <c r="E22" s="7">
        <v>21875</v>
      </c>
      <c r="F22" s="7">
        <v>21137</v>
      </c>
      <c r="G22" s="7">
        <v>195</v>
      </c>
      <c r="H22" s="9">
        <f t="shared" si="12"/>
        <v>9.2255286937597582E-3</v>
      </c>
      <c r="I22" s="9">
        <f>IFERROR((21875-F22)/21875,0)</f>
        <v>3.3737142857142854E-2</v>
      </c>
      <c r="J22" s="7">
        <v>123300</v>
      </c>
      <c r="K22" s="11">
        <f t="shared" si="13"/>
        <v>83.333896552423298</v>
      </c>
      <c r="L22" s="11">
        <f>K22-92.6978</f>
        <v>-9.3639034475767033</v>
      </c>
      <c r="M22" s="11">
        <v>92</v>
      </c>
      <c r="N22" s="11">
        <f t="shared" si="14"/>
        <v>-8.6661034475767025</v>
      </c>
      <c r="O22" s="11">
        <f>IFERROR(3126210/21875,0)</f>
        <v>142.91245714285714</v>
      </c>
      <c r="P22" s="11">
        <v>143</v>
      </c>
      <c r="Q22" s="11">
        <f t="shared" si="15"/>
        <v>-8.754285714286425E-2</v>
      </c>
      <c r="R22" s="7">
        <v>15970</v>
      </c>
      <c r="S22" s="11">
        <f t="shared" si="16"/>
        <v>107.93530640244933</v>
      </c>
      <c r="T22" s="13">
        <f t="shared" si="17"/>
        <v>7.7207263619286159</v>
      </c>
      <c r="U22" s="7">
        <v>30332</v>
      </c>
      <c r="V22" s="11">
        <f t="shared" si="18"/>
        <v>205.00273724477725</v>
      </c>
      <c r="W22" s="11">
        <f t="shared" si="19"/>
        <v>1.8993112085159674</v>
      </c>
      <c r="X22" s="11">
        <v>266.32</v>
      </c>
      <c r="Y22" s="11">
        <f t="shared" si="20"/>
        <v>129.52149229521495</v>
      </c>
      <c r="Z22" s="11">
        <f t="shared" si="21"/>
        <v>34.494163828061644</v>
      </c>
      <c r="AA22" s="7">
        <v>1944</v>
      </c>
      <c r="AB22" s="15">
        <f>IFERROR(AA22/1930,0)</f>
        <v>1.0072538860103626</v>
      </c>
      <c r="AC22" s="11">
        <v>62.41</v>
      </c>
      <c r="AD22" s="15">
        <f>IFERROR(AC22/62.4,0)</f>
        <v>1.0001602564102563</v>
      </c>
      <c r="AE22" s="11">
        <v>23</v>
      </c>
      <c r="AF22" s="11">
        <v>26</v>
      </c>
      <c r="AG22" s="7">
        <f t="shared" si="22"/>
        <v>-12822.280000000013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IFERROR(1050/F22,0)</f>
        <v>4.9675923735629464E-2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67</v>
      </c>
      <c r="B23" s="5">
        <v>100</v>
      </c>
      <c r="C23" s="7">
        <v>33</v>
      </c>
      <c r="D23" s="7">
        <v>7</v>
      </c>
      <c r="E23" s="7">
        <v>51833</v>
      </c>
      <c r="F23" s="7">
        <v>40521</v>
      </c>
      <c r="G23" s="7">
        <v>381</v>
      </c>
      <c r="H23" s="9">
        <f t="shared" si="12"/>
        <v>9.402532020433849E-3</v>
      </c>
      <c r="I23" s="9">
        <f>IFERROR((51833-F23)/51833,0)</f>
        <v>0.21823934559064689</v>
      </c>
      <c r="J23" s="7">
        <v>197380</v>
      </c>
      <c r="K23" s="11">
        <f t="shared" si="13"/>
        <v>69.58649307061242</v>
      </c>
      <c r="L23" s="11">
        <f>K23-56.3926</f>
        <v>13.193893070612418</v>
      </c>
      <c r="M23" s="11">
        <v>73</v>
      </c>
      <c r="N23" s="11">
        <f t="shared" si="14"/>
        <v>-3.4135069293875802</v>
      </c>
      <c r="O23" s="11">
        <f>IFERROR(20295428/51833,0)</f>
        <v>391.55418362819051</v>
      </c>
      <c r="P23" s="11">
        <v>0</v>
      </c>
      <c r="Q23" s="11">
        <f t="shared" si="15"/>
        <v>391.55418362819051</v>
      </c>
      <c r="R23" s="7">
        <v>33415</v>
      </c>
      <c r="S23" s="11">
        <f t="shared" si="16"/>
        <v>117.80487718890029</v>
      </c>
      <c r="T23" s="13">
        <f t="shared" si="17"/>
        <v>5.9069280263354784</v>
      </c>
      <c r="U23" s="7">
        <v>46106</v>
      </c>
      <c r="V23" s="11">
        <f t="shared" si="18"/>
        <v>162.54710961159469</v>
      </c>
      <c r="W23" s="11">
        <f t="shared" si="19"/>
        <v>1.3797994912464462</v>
      </c>
      <c r="X23" s="11">
        <v>266.22428571429998</v>
      </c>
      <c r="Y23" s="11">
        <f t="shared" si="20"/>
        <v>169.29273482622352</v>
      </c>
      <c r="Z23" s="11">
        <f t="shared" si="21"/>
        <v>45.069837405731754</v>
      </c>
      <c r="AA23" s="7">
        <v>1769</v>
      </c>
      <c r="AB23" s="15">
        <f>IFERROR(AA23/1980,0)</f>
        <v>0.89343434343434347</v>
      </c>
      <c r="AC23" s="11">
        <v>0</v>
      </c>
      <c r="AD23" s="15">
        <f>IFERROR(AC23/65.35,0)</f>
        <v>0</v>
      </c>
      <c r="AE23" s="11">
        <v>21</v>
      </c>
      <c r="AF23" s="11">
        <v>26</v>
      </c>
      <c r="AG23" s="7">
        <f t="shared" si="22"/>
        <v>-9682.3099999999904</v>
      </c>
      <c r="AH23" s="7">
        <v>27</v>
      </c>
      <c r="AI23" s="7">
        <v>23.7037037037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IFERROR(1050/F23,0)</f>
        <v>2.5912489820093285E-2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81</v>
      </c>
      <c r="B24" s="5">
        <v>98</v>
      </c>
      <c r="C24" s="7">
        <v>32</v>
      </c>
      <c r="D24" s="7">
        <v>7</v>
      </c>
      <c r="E24" s="7">
        <v>21623</v>
      </c>
      <c r="F24" s="7">
        <v>18015</v>
      </c>
      <c r="G24" s="7">
        <v>35</v>
      </c>
      <c r="H24" s="9">
        <f t="shared" si="12"/>
        <v>1.9428254232583958E-3</v>
      </c>
      <c r="I24" s="9">
        <f>IFERROR((21623-F24)/21623,0)</f>
        <v>0.16685936271562687</v>
      </c>
      <c r="J24" s="7">
        <v>91260</v>
      </c>
      <c r="K24" s="11">
        <f t="shared" si="13"/>
        <v>72.368264541453556</v>
      </c>
      <c r="L24" s="11">
        <f>K24-70.6609</f>
        <v>1.7073645414535576</v>
      </c>
      <c r="M24" s="11">
        <v>76</v>
      </c>
      <c r="N24" s="11">
        <f t="shared" si="14"/>
        <v>-3.6317354585464443</v>
      </c>
      <c r="O24" s="11">
        <f>IFERROR(8529785/21623,0)</f>
        <v>394.47740831521992</v>
      </c>
      <c r="P24" s="11">
        <v>0</v>
      </c>
      <c r="Q24" s="11">
        <f t="shared" si="15"/>
        <v>394.47740831521992</v>
      </c>
      <c r="R24" s="7">
        <v>15526</v>
      </c>
      <c r="S24" s="11">
        <f t="shared" si="16"/>
        <v>123.11962253677491</v>
      </c>
      <c r="T24" s="13">
        <f t="shared" si="17"/>
        <v>5.8778822620121085</v>
      </c>
      <c r="U24" s="7">
        <v>23177</v>
      </c>
      <c r="V24" s="11">
        <f t="shared" si="18"/>
        <v>183.79128504024425</v>
      </c>
      <c r="W24" s="11">
        <f t="shared" si="19"/>
        <v>1.4927862939585212</v>
      </c>
      <c r="X24" s="11">
        <v>273.92142857139999</v>
      </c>
      <c r="Y24" s="11">
        <f t="shared" si="20"/>
        <v>170.12930089853165</v>
      </c>
      <c r="Z24" s="11">
        <f t="shared" si="21"/>
        <v>46.602061143979348</v>
      </c>
      <c r="AA24" s="7">
        <v>2100</v>
      </c>
      <c r="AB24" s="15">
        <f>IFERROR(AA24/1980,0)</f>
        <v>1.0606060606060606</v>
      </c>
      <c r="AC24" s="11">
        <v>65.52</v>
      </c>
      <c r="AD24" s="15">
        <f>IFERROR(AC24/65.3,0)</f>
        <v>1.0033690658499235</v>
      </c>
      <c r="AE24" s="11">
        <v>21</v>
      </c>
      <c r="AF24" s="11">
        <v>26</v>
      </c>
      <c r="AG24" s="7">
        <f t="shared" si="22"/>
        <v>-4579.7999999999938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IFERROR(490/F24,0)</f>
        <v>2.7199555925617541E-2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68</v>
      </c>
      <c r="B25" s="5">
        <v>31</v>
      </c>
      <c r="C25" s="7"/>
      <c r="D25" s="7">
        <v>7</v>
      </c>
      <c r="E25" s="7">
        <v>21339</v>
      </c>
      <c r="F25" s="7">
        <v>20987</v>
      </c>
      <c r="G25" s="7">
        <v>34</v>
      </c>
      <c r="H25" s="9">
        <f t="shared" si="12"/>
        <v>1.6200505074569973E-3</v>
      </c>
      <c r="I25" s="9">
        <f>IFERROR((21339-F25)/21339,0)</f>
        <v>1.6495618351375415E-2</v>
      </c>
      <c r="J25" s="7">
        <v>133380</v>
      </c>
      <c r="K25" s="11">
        <f t="shared" si="13"/>
        <v>90.790897766644648</v>
      </c>
      <c r="L25" s="11">
        <f>K25-89.0538</f>
        <v>1.7370977666446521</v>
      </c>
      <c r="M25" s="11">
        <v>95</v>
      </c>
      <c r="N25" s="11">
        <f t="shared" si="14"/>
        <v>-4.2091022333553525</v>
      </c>
      <c r="O25" s="11">
        <f>IFERROR(1559730/21339,0)</f>
        <v>73.092928440882886</v>
      </c>
      <c r="P25" s="11">
        <v>78</v>
      </c>
      <c r="Q25" s="11">
        <f t="shared" si="15"/>
        <v>-4.9070715591171137</v>
      </c>
      <c r="R25" s="7">
        <v>17270</v>
      </c>
      <c r="S25" s="11">
        <f t="shared" si="16"/>
        <v>117.55576581421153</v>
      </c>
      <c r="T25" s="13">
        <f t="shared" si="17"/>
        <v>7.7232194557035321</v>
      </c>
      <c r="U25" s="7">
        <v>35566</v>
      </c>
      <c r="V25" s="11">
        <f t="shared" si="18"/>
        <v>242.09544684124188</v>
      </c>
      <c r="W25" s="11">
        <f t="shared" si="19"/>
        <v>2.0594093804284888</v>
      </c>
      <c r="X25" s="11">
        <v>257.55</v>
      </c>
      <c r="Y25" s="11">
        <f t="shared" si="20"/>
        <v>129.4796821112611</v>
      </c>
      <c r="Z25" s="11">
        <f t="shared" si="21"/>
        <v>33.347492127755302</v>
      </c>
      <c r="AA25" s="7">
        <v>1880</v>
      </c>
      <c r="AB25" s="15">
        <f>IFERROR(AA25/1900,0)</f>
        <v>0.98947368421052628</v>
      </c>
      <c r="AC25" s="11">
        <v>61.11</v>
      </c>
      <c r="AD25" s="15">
        <f>IFERROR(AC25/61.1,0)</f>
        <v>1.0001636661211128</v>
      </c>
      <c r="AE25" s="11">
        <v>22</v>
      </c>
      <c r="AF25" s="11">
        <v>26</v>
      </c>
      <c r="AG25" s="7">
        <f t="shared" si="22"/>
        <v>-6183.5500000000138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70</v>
      </c>
      <c r="B26" s="5">
        <v>89</v>
      </c>
      <c r="C26" s="7">
        <v>17</v>
      </c>
      <c r="D26" s="7">
        <v>7</v>
      </c>
      <c r="E26" s="7">
        <v>47224</v>
      </c>
      <c r="F26" s="7">
        <v>37347</v>
      </c>
      <c r="G26" s="7">
        <v>78</v>
      </c>
      <c r="H26" s="9">
        <f t="shared" si="12"/>
        <v>2.0885211663587435E-3</v>
      </c>
      <c r="I26" s="9">
        <f>IFERROR((47224-F26)/47224,0)</f>
        <v>0.20915212603760799</v>
      </c>
      <c r="J26" s="7">
        <v>178390</v>
      </c>
      <c r="K26" s="11">
        <f t="shared" si="13"/>
        <v>68.236500158742913</v>
      </c>
      <c r="L26" s="11">
        <f>K26-69.8158</f>
        <v>-1.5792998412570824</v>
      </c>
      <c r="M26" s="11">
        <v>79</v>
      </c>
      <c r="N26" s="11">
        <f t="shared" si="14"/>
        <v>-10.763499841257087</v>
      </c>
      <c r="O26" s="11">
        <f>IFERROR(15895560/47224,0)</f>
        <v>336.59918685414198</v>
      </c>
      <c r="P26" s="11">
        <v>0</v>
      </c>
      <c r="Q26" s="11">
        <f t="shared" si="15"/>
        <v>336.59918685414198</v>
      </c>
      <c r="R26" s="7">
        <v>31260</v>
      </c>
      <c r="S26" s="11">
        <f t="shared" si="16"/>
        <v>119.57357446955004</v>
      </c>
      <c r="T26" s="13">
        <f t="shared" si="17"/>
        <v>5.7066538707613566</v>
      </c>
      <c r="U26" s="7">
        <v>48200</v>
      </c>
      <c r="V26" s="11">
        <f t="shared" si="18"/>
        <v>184.3712824514495</v>
      </c>
      <c r="W26" s="11">
        <f t="shared" si="19"/>
        <v>1.5419065898912347</v>
      </c>
      <c r="X26" s="11">
        <v>270.76</v>
      </c>
      <c r="Y26" s="11">
        <f t="shared" si="20"/>
        <v>175.23403778238691</v>
      </c>
      <c r="Z26" s="11">
        <f t="shared" si="21"/>
        <v>47.446368069959078</v>
      </c>
      <c r="AA26" s="7">
        <v>0</v>
      </c>
      <c r="AB26" s="15">
        <f>IFERROR(AA26/1580,0)</f>
        <v>0</v>
      </c>
      <c r="AC26" s="11">
        <v>0</v>
      </c>
      <c r="AD26" s="15">
        <f>IFERROR(AC26/63.7,0)</f>
        <v>0</v>
      </c>
      <c r="AE26" s="11">
        <v>16</v>
      </c>
      <c r="AF26" s="11">
        <v>29</v>
      </c>
      <c r="AG26" s="7">
        <f t="shared" si="22"/>
        <v>-28138.909999999989</v>
      </c>
      <c r="AH26" s="7">
        <v>49</v>
      </c>
      <c r="AI26" s="7">
        <v>17.9591836735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IFERROR(560/F26,0)</f>
        <v>1.499451093796021E-2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119</v>
      </c>
      <c r="C27" s="7">
        <v>21</v>
      </c>
      <c r="D27" s="7">
        <v>7</v>
      </c>
      <c r="E27" s="7">
        <v>33376</v>
      </c>
      <c r="F27" s="7">
        <v>28956</v>
      </c>
      <c r="G27" s="7">
        <v>95</v>
      </c>
      <c r="H27" s="9">
        <f t="shared" si="12"/>
        <v>3.2808398950131233E-3</v>
      </c>
      <c r="I27" s="9">
        <f>IFERROR((33376-F27)/33376,0)</f>
        <v>0.13243048897411314</v>
      </c>
      <c r="J27" s="7">
        <v>124900</v>
      </c>
      <c r="K27" s="11">
        <f t="shared" si="13"/>
        <v>61.620586900321662</v>
      </c>
      <c r="L27" s="11">
        <f>K27-64.0155</f>
        <v>-2.394913099678341</v>
      </c>
      <c r="M27" s="11">
        <v>77</v>
      </c>
      <c r="N27" s="11">
        <f t="shared" si="14"/>
        <v>-15.379413099678338</v>
      </c>
      <c r="O27" s="11">
        <f>IFERROR(15443073/33376,0)</f>
        <v>462.69993408437199</v>
      </c>
      <c r="P27" s="11">
        <v>0</v>
      </c>
      <c r="Q27" s="11">
        <f t="shared" si="15"/>
        <v>462.69993408437199</v>
      </c>
      <c r="R27" s="7">
        <v>24490</v>
      </c>
      <c r="S27" s="11">
        <f t="shared" si="16"/>
        <v>120.82371282537051</v>
      </c>
      <c r="T27" s="13">
        <f t="shared" si="17"/>
        <v>5.1000408329930584</v>
      </c>
      <c r="U27" s="7">
        <v>31000</v>
      </c>
      <c r="V27" s="11">
        <f t="shared" si="18"/>
        <v>152.94140863970952</v>
      </c>
      <c r="W27" s="11">
        <f t="shared" si="19"/>
        <v>1.2658227848101267</v>
      </c>
      <c r="X27" s="11">
        <v>267.44428571430001</v>
      </c>
      <c r="Y27" s="11">
        <f t="shared" si="20"/>
        <v>196.07686148919134</v>
      </c>
      <c r="Z27" s="11">
        <f t="shared" si="21"/>
        <v>52.439636166078522</v>
      </c>
      <c r="AA27" s="7">
        <v>0</v>
      </c>
      <c r="AB27" s="15">
        <f>IFERROR(AA27/0,0)</f>
        <v>0</v>
      </c>
      <c r="AC27" s="11">
        <v>0</v>
      </c>
      <c r="AD27" s="15">
        <f>IFERROR(AC27/0,0)</f>
        <v>0</v>
      </c>
      <c r="AE27" s="11">
        <v>16</v>
      </c>
      <c r="AF27" s="11">
        <v>30</v>
      </c>
      <c r="AG27" s="7">
        <f t="shared" si="22"/>
        <v>-31172.840000000015</v>
      </c>
      <c r="AH27" s="7">
        <v>56</v>
      </c>
      <c r="AI27" s="7">
        <v>22.142857142899999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IFERROR(910/F27,0)</f>
        <v>3.1426992678546761E-2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119</v>
      </c>
      <c r="C28" s="7">
        <v>21</v>
      </c>
      <c r="D28" s="7">
        <v>7</v>
      </c>
      <c r="E28" s="7">
        <v>12390</v>
      </c>
      <c r="F28" s="7">
        <v>9877</v>
      </c>
      <c r="G28" s="7">
        <v>37</v>
      </c>
      <c r="H28" s="9">
        <f t="shared" si="12"/>
        <v>3.7460767439505922E-3</v>
      </c>
      <c r="I28" s="9">
        <f>IFERROR((12390-F28)/12390,0)</f>
        <v>0.20282485875706216</v>
      </c>
      <c r="J28" s="7">
        <v>49660</v>
      </c>
      <c r="K28" s="11">
        <f t="shared" si="13"/>
        <v>71.826320889801707</v>
      </c>
      <c r="L28" s="11">
        <f>K28-74.3537</f>
        <v>-2.5273791101982965</v>
      </c>
      <c r="M28" s="11">
        <v>77</v>
      </c>
      <c r="N28" s="11">
        <f t="shared" si="14"/>
        <v>-5.1736791101982931</v>
      </c>
      <c r="O28" s="11">
        <f>IFERROR(6273208/12390,0)</f>
        <v>506.31218724778046</v>
      </c>
      <c r="P28" s="11">
        <v>0</v>
      </c>
      <c r="Q28" s="11">
        <f t="shared" si="15"/>
        <v>506.31218724778046</v>
      </c>
      <c r="R28" s="7">
        <v>9040</v>
      </c>
      <c r="S28" s="11">
        <f t="shared" si="16"/>
        <v>130.75109561897048</v>
      </c>
      <c r="T28" s="13">
        <f t="shared" si="17"/>
        <v>5.4933628318584073</v>
      </c>
      <c r="U28" s="7">
        <v>15200</v>
      </c>
      <c r="V28" s="11">
        <f t="shared" si="18"/>
        <v>219.84697493455215</v>
      </c>
      <c r="W28" s="11">
        <f t="shared" si="19"/>
        <v>1.68141592920354</v>
      </c>
      <c r="X28" s="11">
        <v>262.44571428569998</v>
      </c>
      <c r="Y28" s="11">
        <f t="shared" si="20"/>
        <v>182.03785743052757</v>
      </c>
      <c r="Z28" s="11">
        <f t="shared" si="21"/>
        <v>47.775055520393224</v>
      </c>
      <c r="AA28" s="7">
        <v>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16</v>
      </c>
      <c r="AF28" s="11">
        <v>30</v>
      </c>
      <c r="AG28" s="7">
        <f t="shared" si="22"/>
        <v>-3577.0299999999979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IFERROR(455/F28,0)</f>
        <v>4.606661941885188E-2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7</v>
      </c>
      <c r="E29" s="17">
        <f>SUM(E14:E28)</f>
        <v>553964</v>
      </c>
      <c r="F29" s="17">
        <f>SUM(F14:F28)</f>
        <v>487405</v>
      </c>
      <c r="G29" s="17">
        <f>SUM(G14:G28)</f>
        <v>1823</v>
      </c>
      <c r="H29" s="18">
        <f t="shared" si="12"/>
        <v>3.7402160421005121E-3</v>
      </c>
      <c r="I29" s="18"/>
      <c r="J29" s="17">
        <f>SUM(J14:J28)</f>
        <v>2810480</v>
      </c>
      <c r="K29" s="19">
        <f t="shared" si="13"/>
        <v>82.374440733505566</v>
      </c>
      <c r="L29" s="19"/>
      <c r="M29" s="19">
        <f>IFERROR(SUMPRODUCT($F14:$F28,M14:M28)/$F29, 0)</f>
        <v>86.230993014023241</v>
      </c>
      <c r="N29" s="19">
        <f t="shared" si="14"/>
        <v>-3.8565522805176755</v>
      </c>
      <c r="O29" s="19">
        <f>IFERROR(SUMPRODUCT($E14:$E28,O14:O28)/$E29, 0)</f>
        <v>274.57494710847635</v>
      </c>
      <c r="P29" s="19">
        <f>IFERROR(SUMPRODUCT($E14:$E28,P14:P28)/$E29, 0)</f>
        <v>105.25952588976901</v>
      </c>
      <c r="Q29" s="19">
        <f>IFERROR(SUMPRODUCT($E14:$E28,Q14:Q28)/$E29, 0)</f>
        <v>169.31542121870734</v>
      </c>
      <c r="R29" s="17">
        <f>SUM(R14:R28)</f>
        <v>406439</v>
      </c>
      <c r="S29" s="19">
        <f>IFERROR(R29/D29/$F29*1000,0)</f>
        <v>119.12621800292217</v>
      </c>
      <c r="T29" s="20">
        <f t="shared" si="17"/>
        <v>6.9148875969087609</v>
      </c>
      <c r="U29" s="17">
        <f>SUM(U14:U28)</f>
        <v>640990</v>
      </c>
      <c r="V29" s="19">
        <f>IFERROR(U29/D29/$F29*1000,0)</f>
        <v>187.87250848883372</v>
      </c>
      <c r="W29" s="19">
        <f t="shared" si="19"/>
        <v>1.5770878286778582</v>
      </c>
      <c r="X29" s="19">
        <f>IFERROR(SUMPRODUCT(R14:R28,X14:X28)/R29,0)</f>
        <v>272.8866784121048</v>
      </c>
      <c r="Y29" s="19">
        <f>IFERROR(($F29*S29)/($F29*K29)*100,0)</f>
        <v>144.61551051777633</v>
      </c>
      <c r="Z29" s="19">
        <f t="shared" si="21"/>
        <v>39.463646312066793</v>
      </c>
      <c r="AA29" s="17"/>
      <c r="AB29" s="21">
        <f>IFERROR(SUMPRODUCT($F14:$F28,AB14:AB28)/$F29,0)</f>
        <v>0.7840976477721977</v>
      </c>
      <c r="AC29" s="19"/>
      <c r="AD29" s="21">
        <f>AVERAGE(AD14:AD28)</f>
        <v>0.404837532104519</v>
      </c>
      <c r="AE29" s="19"/>
      <c r="AF29" s="19"/>
      <c r="AG29" s="17">
        <f>SUM(AG14:AG28)</f>
        <v>-131579.20049999995</v>
      </c>
      <c r="AH29" s="17">
        <f>SUM(AH14:AH28)</f>
        <v>413</v>
      </c>
      <c r="AI29" s="17">
        <f>IFERROR(SUMPRODUCT(AH14:AH28,AI14:AI28)/AH29, 0)</f>
        <v>19.564164648912833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7</v>
      </c>
      <c r="E31" s="23">
        <f>E12+E29</f>
        <v>600169</v>
      </c>
      <c r="F31" s="23">
        <f>F12+F29</f>
        <v>526054</v>
      </c>
      <c r="G31" s="23">
        <f>G12+G29</f>
        <v>1925</v>
      </c>
      <c r="H31" s="24">
        <f>IFERROR(G31/F31,0)</f>
        <v>3.6593201458405412E-3</v>
      </c>
      <c r="I31" s="23"/>
      <c r="J31" s="23">
        <f>J12+J29</f>
        <v>3032270</v>
      </c>
      <c r="K31" s="25">
        <f>IFERROR(J31/D31/F31*100,0)</f>
        <v>82.34543004547605</v>
      </c>
      <c r="L31" s="23"/>
      <c r="M31" s="25">
        <f>IFERROR($F$12/$F31*M$12,0)+IFERROR($F$29/$F31*M$29,0)</f>
        <v>86.189876229436521</v>
      </c>
      <c r="N31" s="25">
        <f>K31-M31</f>
        <v>-3.8444461839604713</v>
      </c>
      <c r="O31" s="23">
        <f>IFERROR($E$12/$E31*O$12,0)+IFERROR($E$29/$E31*O$29,0)</f>
        <v>273.42978727658374</v>
      </c>
      <c r="P31" s="23">
        <f>IFERROR($E$12/$E31*P$12,0)+IFERROR($E$29/$E31*P$29,0)</f>
        <v>99.42066817846306</v>
      </c>
      <c r="Q31" s="23">
        <f>IFERROR($E$12/$E31*Q$12,0)+IFERROR($E$29/$E31*Q$29,0)</f>
        <v>174.00911909812069</v>
      </c>
      <c r="R31" s="23">
        <f>R12+R29</f>
        <v>443278</v>
      </c>
      <c r="S31" s="25">
        <f>IFERROR(R31/D31/$F31*1000,0)</f>
        <v>120.37819039761806</v>
      </c>
      <c r="T31" s="26">
        <f>IFERROR(J31/R31,0)</f>
        <v>6.8405605511665364</v>
      </c>
      <c r="U31" s="23">
        <f>U12+U29</f>
        <v>656110</v>
      </c>
      <c r="V31" s="25">
        <f>IFERROR(U31/D31/$F31*1000,0)</f>
        <v>178.17562455565397</v>
      </c>
      <c r="W31" s="25">
        <f>IFERROR(V31/S31,0)</f>
        <v>1.4801321067140709</v>
      </c>
      <c r="X31" s="25">
        <f>IFERROR($F$12/$F31*X$12,0)+IFERROR($F$29/$F31*X$29,0)</f>
        <v>278.0907073368615</v>
      </c>
      <c r="Y31" s="25">
        <f>IFERROR(($F31*S31)/($F31*K31)*100,0)</f>
        <v>146.18685011558995</v>
      </c>
      <c r="Z31" s="25">
        <f>IFERROR(Y31*X31/1000,0)</f>
        <v>40.653204551992161</v>
      </c>
      <c r="AA31" s="23"/>
      <c r="AB31" s="27"/>
      <c r="AC31" s="23"/>
      <c r="AD31" s="27"/>
      <c r="AE31" s="23"/>
      <c r="AF31" s="23"/>
      <c r="AG31" s="23">
        <f>AG12+AG29</f>
        <v>-141567.04049999994</v>
      </c>
      <c r="AH31" s="23">
        <f>AH12+AH29</f>
        <v>413</v>
      </c>
      <c r="AI31" s="23">
        <f>IFERROR(AH$12/AH31*AI$12,0)+IFERROR(AH$29/AH31*AI$29,0)</f>
        <v>19.564164648912833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29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 spans="1:29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61</v>
      </c>
      <c r="T34" s="32" t="s">
        <v>70</v>
      </c>
      <c r="U34" s="32" t="s">
        <v>71</v>
      </c>
      <c r="V34" s="32" t="s">
        <v>72</v>
      </c>
      <c r="W34" s="32" t="s">
        <v>62</v>
      </c>
      <c r="X34" s="32" t="s">
        <v>66</v>
      </c>
      <c r="Y34" s="32" t="s">
        <v>67</v>
      </c>
      <c r="Z34" s="32" t="s">
        <v>81</v>
      </c>
      <c r="AA34" s="32" t="s">
        <v>63</v>
      </c>
      <c r="AB34" s="32" t="s">
        <v>68</v>
      </c>
      <c r="AC34" s="32" t="s">
        <v>64</v>
      </c>
    </row>
    <row r="35" spans="1:29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>
        <v>2.5000000000000001E-3</v>
      </c>
      <c r="T35" s="8">
        <v>5.3E-3</v>
      </c>
      <c r="U35" s="8">
        <v>6.3E-3</v>
      </c>
      <c r="V35" s="8">
        <v>2.7000000000000001E-3</v>
      </c>
      <c r="W35" s="8">
        <v>1.5E-3</v>
      </c>
      <c r="X35" s="8">
        <v>1.4E-3</v>
      </c>
      <c r="Y35" s="8">
        <v>2.8E-3</v>
      </c>
      <c r="Z35" s="8">
        <v>1.6999999999999999E-3</v>
      </c>
      <c r="AA35" s="8"/>
      <c r="AB35" s="8"/>
      <c r="AC35" s="8">
        <v>6.9999999999999999E-4</v>
      </c>
    </row>
    <row r="36" spans="1:29" x14ac:dyDescent="0.3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>
        <v>1.32E-2</v>
      </c>
      <c r="P36" s="9">
        <v>2.3999999999999998E-3</v>
      </c>
      <c r="Q36" s="9">
        <v>4.1999999999999997E-3</v>
      </c>
      <c r="R36" s="9">
        <v>1.6999999999999999E-3</v>
      </c>
      <c r="S36" s="9">
        <v>2.5000000000000001E-3</v>
      </c>
      <c r="T36" s="9">
        <v>5.7999999999999996E-3</v>
      </c>
      <c r="U36" s="9">
        <v>3.5999999999999999E-3</v>
      </c>
      <c r="V36" s="9">
        <v>2.3E-3</v>
      </c>
      <c r="W36" s="9">
        <v>1.5E-3</v>
      </c>
      <c r="X36" s="9">
        <v>1E-3</v>
      </c>
      <c r="Y36" s="9">
        <v>3.0000000000000001E-3</v>
      </c>
      <c r="Z36" s="9">
        <v>1.8E-3</v>
      </c>
      <c r="AA36" s="9"/>
      <c r="AB36" s="9"/>
      <c r="AC36" s="9">
        <v>1E-3</v>
      </c>
    </row>
    <row r="37" spans="1:29" x14ac:dyDescent="0.3">
      <c r="B37" s="5">
        <v>202503</v>
      </c>
      <c r="C37" s="5"/>
      <c r="D37" s="9">
        <v>2.8E-3</v>
      </c>
      <c r="E37" s="9">
        <v>4.8999999999999998E-3</v>
      </c>
      <c r="F37" s="9">
        <v>2.5999999999999999E-3</v>
      </c>
      <c r="G37" s="9">
        <v>5.8999999999999999E-3</v>
      </c>
      <c r="H37" s="9">
        <v>5.8999999999999999E-3</v>
      </c>
      <c r="I37" s="9">
        <v>3.5999999999999999E-3</v>
      </c>
      <c r="J37" s="9">
        <v>3.3999999999999998E-3</v>
      </c>
      <c r="K37" s="9">
        <v>3.2000000000000002E-3</v>
      </c>
      <c r="L37" s="9">
        <v>3.0000000000000001E-3</v>
      </c>
      <c r="M37" s="9">
        <v>2.2000000000000001E-3</v>
      </c>
      <c r="N37" s="9">
        <v>1.6000000000000001E-3</v>
      </c>
      <c r="O37" s="9">
        <v>9.7999999999999997E-3</v>
      </c>
      <c r="P37" s="9">
        <v>2.5000000000000001E-3</v>
      </c>
      <c r="Q37" s="9">
        <v>3.3E-3</v>
      </c>
      <c r="R37" s="9">
        <v>1.8E-3</v>
      </c>
      <c r="S37" s="9">
        <v>2.5000000000000001E-3</v>
      </c>
      <c r="T37" s="9">
        <v>5.4999999999999997E-3</v>
      </c>
      <c r="U37" s="9">
        <v>3.5000000000000001E-3</v>
      </c>
      <c r="V37" s="9">
        <v>2.5000000000000001E-3</v>
      </c>
      <c r="W37" s="9">
        <v>1.6999999999999999E-3</v>
      </c>
      <c r="X37" s="9">
        <v>6.9999999999999999E-4</v>
      </c>
      <c r="Y37" s="9">
        <v>2.8E-3</v>
      </c>
      <c r="Z37" s="9">
        <v>1.4E-3</v>
      </c>
      <c r="AA37" s="9"/>
      <c r="AB37" s="9"/>
      <c r="AC37" s="9">
        <v>1.6000000000000001E-3</v>
      </c>
    </row>
    <row r="38" spans="1:29" x14ac:dyDescent="0.3">
      <c r="B38" s="5">
        <v>202504</v>
      </c>
      <c r="C38" s="5"/>
      <c r="D38" s="9">
        <v>2.5999999999999999E-3</v>
      </c>
      <c r="E38" s="9">
        <v>5.1000000000000004E-3</v>
      </c>
      <c r="F38" s="9">
        <v>2.3999999999999998E-3</v>
      </c>
      <c r="G38" s="9">
        <v>5.8999999999999999E-3</v>
      </c>
      <c r="H38" s="9">
        <v>5.7999999999999996E-3</v>
      </c>
      <c r="I38" s="9">
        <v>6.3E-3</v>
      </c>
      <c r="J38" s="9">
        <v>5.0000000000000001E-3</v>
      </c>
      <c r="K38" s="9">
        <v>4.1000000000000003E-3</v>
      </c>
      <c r="L38" s="9">
        <v>1.9E-3</v>
      </c>
      <c r="M38" s="9">
        <v>2.3999999999999998E-3</v>
      </c>
      <c r="N38" s="9">
        <v>2.2000000000000001E-3</v>
      </c>
      <c r="O38" s="9">
        <v>7.3000000000000001E-3</v>
      </c>
      <c r="P38" s="9">
        <v>2.5000000000000001E-3</v>
      </c>
      <c r="Q38" s="9">
        <v>4.1000000000000003E-3</v>
      </c>
      <c r="R38" s="9">
        <v>1.6999999999999999E-3</v>
      </c>
      <c r="S38" s="9">
        <v>2.5999999999999999E-3</v>
      </c>
      <c r="T38" s="9">
        <v>3.2000000000000002E-3</v>
      </c>
      <c r="U38" s="9">
        <v>3.7000000000000002E-3</v>
      </c>
      <c r="V38" s="9">
        <v>2.5000000000000001E-3</v>
      </c>
      <c r="W38" s="9">
        <v>1.6000000000000001E-3</v>
      </c>
      <c r="X38" s="9">
        <v>8.9999999999999998E-4</v>
      </c>
      <c r="Y38" s="9">
        <v>3.5000000000000001E-3</v>
      </c>
      <c r="Z38" s="9">
        <v>1.6000000000000001E-3</v>
      </c>
      <c r="AA38" s="9"/>
      <c r="AB38" s="9"/>
      <c r="AC38" s="9">
        <v>8.9999999999999998E-4</v>
      </c>
    </row>
    <row r="39" spans="1:29" x14ac:dyDescent="0.3">
      <c r="B39" s="5">
        <v>202505</v>
      </c>
      <c r="C39" s="5"/>
      <c r="D39" s="9">
        <v>2.5999999999999999E-3</v>
      </c>
      <c r="E39" s="9">
        <v>4.1000000000000003E-3</v>
      </c>
      <c r="F39" s="9">
        <v>2.5000000000000001E-3</v>
      </c>
      <c r="G39" s="9">
        <v>5.3E-3</v>
      </c>
      <c r="H39" s="9">
        <v>4.7000000000000002E-3</v>
      </c>
      <c r="I39" s="9">
        <v>2.7000000000000001E-3</v>
      </c>
      <c r="J39" s="9">
        <v>1.6000000000000001E-3</v>
      </c>
      <c r="K39" s="9">
        <v>3.0000000000000001E-3</v>
      </c>
      <c r="L39" s="9">
        <v>2.8E-3</v>
      </c>
      <c r="M39" s="9">
        <v>2.5000000000000001E-3</v>
      </c>
      <c r="N39" s="9">
        <v>2.7000000000000001E-3</v>
      </c>
      <c r="O39" s="9">
        <v>4.5999999999999999E-3</v>
      </c>
      <c r="P39" s="9">
        <v>4.1000000000000003E-3</v>
      </c>
      <c r="Q39" s="9">
        <v>4.1000000000000003E-3</v>
      </c>
      <c r="R39" s="9">
        <v>1.6999999999999999E-3</v>
      </c>
      <c r="S39" s="9">
        <v>2.3E-3</v>
      </c>
      <c r="T39" s="9">
        <v>2.2000000000000001E-3</v>
      </c>
      <c r="U39" s="9">
        <v>4.4000000000000003E-3</v>
      </c>
      <c r="V39" s="9">
        <v>2.3E-3</v>
      </c>
      <c r="W39" s="9">
        <v>1.6000000000000001E-3</v>
      </c>
      <c r="X39" s="9">
        <v>8.9999999999999998E-4</v>
      </c>
      <c r="Y39" s="9">
        <v>3.0999999999999999E-3</v>
      </c>
      <c r="Z39" s="9">
        <v>1.5E-3</v>
      </c>
      <c r="AA39" s="9"/>
      <c r="AB39" s="9"/>
      <c r="AC39" s="9">
        <v>8.9999999999999998E-4</v>
      </c>
    </row>
    <row r="40" spans="1:29" x14ac:dyDescent="0.3">
      <c r="B40" s="5">
        <v>202506</v>
      </c>
      <c r="C40" s="5"/>
      <c r="D40" s="9">
        <v>1.9E-3</v>
      </c>
      <c r="E40" s="9">
        <v>4.4999999999999997E-3</v>
      </c>
      <c r="F40" s="9">
        <v>1.6999999999999999E-3</v>
      </c>
      <c r="G40" s="9">
        <v>5.8999999999999999E-3</v>
      </c>
      <c r="H40" s="9">
        <v>5.4000000000000003E-3</v>
      </c>
      <c r="I40" s="9">
        <v>4.4999999999999997E-3</v>
      </c>
      <c r="J40" s="9">
        <v>2.5000000000000001E-3</v>
      </c>
      <c r="K40" s="9">
        <v>3.0000000000000001E-3</v>
      </c>
      <c r="L40" s="9">
        <v>1.2999999999999999E-3</v>
      </c>
      <c r="M40" s="9">
        <v>3.7000000000000002E-3</v>
      </c>
      <c r="N40" s="9">
        <v>2.5000000000000001E-3</v>
      </c>
      <c r="O40" s="9">
        <v>4.0000000000000001E-3</v>
      </c>
      <c r="P40" s="9">
        <v>2.7000000000000001E-3</v>
      </c>
      <c r="Q40" s="9">
        <v>3.8E-3</v>
      </c>
      <c r="R40" s="9">
        <v>1.5E-3</v>
      </c>
      <c r="S40" s="9">
        <v>1.6999999999999999E-3</v>
      </c>
      <c r="T40" s="9">
        <v>3.0000000000000001E-3</v>
      </c>
      <c r="U40" s="9">
        <v>3.5999999999999999E-3</v>
      </c>
      <c r="V40" s="9">
        <v>1.8E-3</v>
      </c>
      <c r="W40" s="9">
        <v>8.9999999999999998E-4</v>
      </c>
      <c r="X40" s="9">
        <v>5.9999999999999995E-4</v>
      </c>
      <c r="Y40" s="9">
        <v>1.6999999999999999E-3</v>
      </c>
      <c r="Z40" s="9">
        <v>1E-3</v>
      </c>
      <c r="AA40" s="9">
        <v>0</v>
      </c>
      <c r="AB40" s="9">
        <v>0</v>
      </c>
      <c r="AC40" s="9">
        <v>5.0000000000000001E-4</v>
      </c>
    </row>
    <row r="41" spans="1:29" x14ac:dyDescent="0.3">
      <c r="B41" s="5">
        <v>202507</v>
      </c>
      <c r="C41" s="5"/>
      <c r="D41" s="9">
        <v>2.3999999999999998E-3</v>
      </c>
      <c r="E41" s="9">
        <v>4.5999999999999999E-3</v>
      </c>
      <c r="F41" s="9">
        <v>2.2000000000000001E-3</v>
      </c>
      <c r="G41" s="9">
        <v>5.7999999999999996E-3</v>
      </c>
      <c r="H41" s="9">
        <v>4.3E-3</v>
      </c>
      <c r="I41" s="9">
        <v>4.4999999999999997E-3</v>
      </c>
      <c r="J41" s="9">
        <v>2.5000000000000001E-3</v>
      </c>
      <c r="K41" s="9">
        <v>5.1000000000000004E-3</v>
      </c>
      <c r="L41" s="9">
        <v>3.8E-3</v>
      </c>
      <c r="M41" s="9">
        <v>8.0999999999999996E-3</v>
      </c>
      <c r="N41" s="9">
        <v>2.8E-3</v>
      </c>
      <c r="O41" s="9">
        <v>4.4999999999999997E-3</v>
      </c>
      <c r="P41" s="9">
        <v>2E-3</v>
      </c>
      <c r="Q41" s="9">
        <v>4.8999999999999998E-3</v>
      </c>
      <c r="R41" s="9">
        <v>1.4E-3</v>
      </c>
      <c r="S41" s="9">
        <v>1.9E-3</v>
      </c>
      <c r="T41" s="9">
        <v>4.3E-3</v>
      </c>
      <c r="U41" s="9">
        <v>4.1999999999999997E-3</v>
      </c>
      <c r="V41" s="9">
        <v>4.4000000000000003E-3</v>
      </c>
      <c r="W41" s="9">
        <v>1.1000000000000001E-3</v>
      </c>
      <c r="X41" s="9">
        <v>5.0000000000000001E-4</v>
      </c>
      <c r="Y41" s="9">
        <v>2.0999999999999999E-3</v>
      </c>
      <c r="Z41" s="9">
        <v>1.1999999999999999E-3</v>
      </c>
      <c r="AA41" s="9">
        <v>8.9999999999999998E-4</v>
      </c>
      <c r="AB41" s="9">
        <v>8.0000000000000004E-4</v>
      </c>
      <c r="AC41" s="9">
        <v>6.9999999999999999E-4</v>
      </c>
    </row>
    <row r="42" spans="1:29" x14ac:dyDescent="0.3">
      <c r="B42" s="5">
        <v>202508</v>
      </c>
      <c r="C42" s="5"/>
      <c r="D42" s="9">
        <v>2E-3</v>
      </c>
      <c r="E42" s="9">
        <v>4.4000000000000003E-3</v>
      </c>
      <c r="F42" s="9">
        <v>1.8E-3</v>
      </c>
      <c r="G42" s="9">
        <v>6.6E-3</v>
      </c>
      <c r="H42" s="9">
        <v>3.8E-3</v>
      </c>
      <c r="I42" s="9">
        <v>2.7000000000000001E-3</v>
      </c>
      <c r="J42" s="9">
        <v>3.2000000000000002E-3</v>
      </c>
      <c r="K42" s="9">
        <v>4.1999999999999997E-3</v>
      </c>
      <c r="L42" s="9">
        <v>2.0999999999999999E-3</v>
      </c>
      <c r="M42" s="9">
        <v>2.5999999999999999E-3</v>
      </c>
      <c r="N42" s="9">
        <v>2.8999999999999998E-3</v>
      </c>
      <c r="O42" s="9">
        <v>5.1999999999999998E-3</v>
      </c>
      <c r="P42" s="9">
        <v>1.9E-3</v>
      </c>
      <c r="Q42" s="9">
        <v>2.3999999999999998E-3</v>
      </c>
      <c r="R42" s="9">
        <v>1.2999999999999999E-3</v>
      </c>
      <c r="S42" s="9">
        <v>1.9E-3</v>
      </c>
      <c r="T42" s="9">
        <v>3.0999999999999999E-3</v>
      </c>
      <c r="U42" s="9">
        <v>3.2000000000000002E-3</v>
      </c>
      <c r="V42" s="9">
        <v>2.3E-3</v>
      </c>
      <c r="W42" s="9">
        <v>1.1000000000000001E-3</v>
      </c>
      <c r="X42" s="9">
        <v>5.0000000000000001E-4</v>
      </c>
      <c r="Y42" s="9">
        <v>2.8E-3</v>
      </c>
      <c r="Z42" s="9">
        <v>1.2999999999999999E-3</v>
      </c>
      <c r="AA42" s="9">
        <v>1.1999999999999999E-3</v>
      </c>
      <c r="AB42" s="9">
        <v>6.9999999999999999E-4</v>
      </c>
      <c r="AC42" s="9">
        <v>5.9999999999999995E-4</v>
      </c>
    </row>
    <row r="43" spans="1:29" x14ac:dyDescent="0.3">
      <c r="B43" s="5">
        <v>202509</v>
      </c>
      <c r="C43" s="5"/>
      <c r="D43" s="9">
        <v>3.0000000000000001E-3</v>
      </c>
      <c r="E43" s="9">
        <v>8.8000000000000005E-3</v>
      </c>
      <c r="F43" s="9">
        <v>2.5000000000000001E-3</v>
      </c>
      <c r="G43" s="9">
        <v>1.7299999999999999E-2</v>
      </c>
      <c r="H43" s="9">
        <v>5.7000000000000002E-3</v>
      </c>
      <c r="I43" s="9">
        <v>9.1999999999999998E-3</v>
      </c>
      <c r="J43" s="9">
        <v>5.1000000000000004E-3</v>
      </c>
      <c r="K43" s="9">
        <v>4.4000000000000003E-3</v>
      </c>
      <c r="L43" s="9">
        <v>3.8999999999999998E-3</v>
      </c>
      <c r="M43" s="9">
        <v>2.0999999999999999E-3</v>
      </c>
      <c r="N43" s="9">
        <v>5.1999999999999998E-3</v>
      </c>
      <c r="O43" s="9">
        <v>5.0000000000000001E-3</v>
      </c>
      <c r="P43" s="9">
        <v>2.7000000000000001E-3</v>
      </c>
      <c r="Q43" s="9">
        <v>4.8999999999999998E-3</v>
      </c>
      <c r="R43" s="9">
        <v>2E-3</v>
      </c>
      <c r="S43" s="9">
        <v>2.5000000000000001E-3</v>
      </c>
      <c r="T43" s="9">
        <v>3.0999999999999999E-3</v>
      </c>
      <c r="U43" s="9">
        <v>4.5999999999999999E-3</v>
      </c>
      <c r="V43" s="9">
        <v>2.8E-3</v>
      </c>
      <c r="W43" s="9">
        <v>1.6999999999999999E-3</v>
      </c>
      <c r="X43" s="9">
        <v>1E-3</v>
      </c>
      <c r="Y43" s="9">
        <v>3.5999999999999999E-3</v>
      </c>
      <c r="Z43" s="9">
        <v>1.6000000000000001E-3</v>
      </c>
      <c r="AA43" s="9">
        <v>2.3E-3</v>
      </c>
      <c r="AB43" s="9">
        <v>1.1999999999999999E-3</v>
      </c>
      <c r="AC43" s="9">
        <v>1.1999999999999999E-3</v>
      </c>
    </row>
    <row r="44" spans="1:29" x14ac:dyDescent="0.3">
      <c r="B44" s="5">
        <v>202510</v>
      </c>
      <c r="C44" s="5"/>
      <c r="D44" s="9">
        <v>2.8E-3</v>
      </c>
      <c r="E44" s="9">
        <v>8.0000000000000002E-3</v>
      </c>
      <c r="F44" s="9">
        <v>2.3999999999999998E-3</v>
      </c>
      <c r="G44" s="9">
        <v>1.47E-2</v>
      </c>
      <c r="H44" s="9">
        <v>7.1000000000000004E-3</v>
      </c>
      <c r="I44" s="9">
        <v>1.12E-2</v>
      </c>
      <c r="J44" s="9">
        <v>2.8E-3</v>
      </c>
      <c r="K44" s="9">
        <v>2.0999999999999999E-3</v>
      </c>
      <c r="L44" s="9">
        <v>3.0000000000000001E-3</v>
      </c>
      <c r="M44" s="9">
        <v>2.5000000000000001E-3</v>
      </c>
      <c r="N44" s="9">
        <v>3.3999999999999998E-3</v>
      </c>
      <c r="O44" s="9">
        <v>5.5999999999999999E-3</v>
      </c>
      <c r="P44" s="9">
        <v>2.8999999999999998E-3</v>
      </c>
      <c r="Q44" s="9">
        <v>4.1999999999999997E-3</v>
      </c>
      <c r="R44" s="9">
        <v>2.3E-3</v>
      </c>
      <c r="S44" s="9">
        <v>2.5000000000000001E-3</v>
      </c>
      <c r="T44" s="9">
        <v>2.5999999999999999E-3</v>
      </c>
      <c r="U44" s="9">
        <v>3.3999999999999998E-3</v>
      </c>
      <c r="V44" s="9">
        <v>2.5000000000000001E-3</v>
      </c>
      <c r="W44" s="9">
        <v>2E-3</v>
      </c>
      <c r="X44" s="9">
        <v>1E-3</v>
      </c>
      <c r="Y44" s="9">
        <v>3.5000000000000001E-3</v>
      </c>
      <c r="Z44" s="9">
        <v>1.6999999999999999E-3</v>
      </c>
      <c r="AA44" s="9">
        <v>1.6999999999999999E-3</v>
      </c>
      <c r="AB44" s="9">
        <v>1.6000000000000001E-3</v>
      </c>
      <c r="AC44" s="9">
        <v>1.2999999999999999E-3</v>
      </c>
    </row>
    <row r="45" spans="1:29" x14ac:dyDescent="0.3">
      <c r="B45" s="5">
        <v>202511</v>
      </c>
      <c r="C45" s="5"/>
      <c r="D45" s="9">
        <v>2.3E-3</v>
      </c>
      <c r="E45" s="9">
        <v>3.5999999999999999E-3</v>
      </c>
      <c r="F45" s="9">
        <v>2.2000000000000001E-3</v>
      </c>
      <c r="G45" s="9">
        <v>5.0000000000000001E-3</v>
      </c>
      <c r="H45" s="9">
        <v>4.1000000000000003E-3</v>
      </c>
      <c r="I45" s="9">
        <v>6.6E-3</v>
      </c>
      <c r="J45" s="9">
        <v>1.9E-3</v>
      </c>
      <c r="K45" s="9">
        <v>2.0999999999999999E-3</v>
      </c>
      <c r="L45" s="9">
        <v>1.2999999999999999E-3</v>
      </c>
      <c r="M45" s="9">
        <v>2E-3</v>
      </c>
      <c r="N45" s="9">
        <v>2.5999999999999999E-3</v>
      </c>
      <c r="O45" s="9">
        <v>3.5000000000000001E-3</v>
      </c>
      <c r="P45" s="9">
        <v>2.5000000000000001E-3</v>
      </c>
      <c r="Q45" s="9">
        <v>3.5000000000000001E-3</v>
      </c>
      <c r="R45" s="9">
        <v>2.3E-3</v>
      </c>
      <c r="S45" s="9">
        <v>3.0000000000000001E-3</v>
      </c>
      <c r="T45" s="9">
        <v>2.3E-3</v>
      </c>
      <c r="U45" s="9">
        <v>3.0999999999999999E-3</v>
      </c>
      <c r="V45" s="9">
        <v>2.8E-3</v>
      </c>
      <c r="W45" s="9">
        <v>1.9E-3</v>
      </c>
      <c r="X45" s="9">
        <v>8.9999999999999998E-4</v>
      </c>
      <c r="Y45" s="9">
        <v>3.5000000000000001E-3</v>
      </c>
      <c r="Z45" s="9">
        <v>1.5E-3</v>
      </c>
      <c r="AA45" s="9">
        <v>1.1000000000000001E-3</v>
      </c>
      <c r="AB45" s="9">
        <v>1.1999999999999999E-3</v>
      </c>
      <c r="AC45" s="9">
        <v>1.4E-3</v>
      </c>
    </row>
    <row r="46" spans="1:29" x14ac:dyDescent="0.3">
      <c r="B46" s="5">
        <v>202512</v>
      </c>
      <c r="C46" s="5"/>
      <c r="D46" s="9">
        <v>2.5000000000000001E-3</v>
      </c>
      <c r="E46" s="9">
        <v>3.0999999999999999E-3</v>
      </c>
      <c r="F46" s="9">
        <v>2.3999999999999998E-3</v>
      </c>
      <c r="G46" s="9">
        <v>3.3999999999999998E-3</v>
      </c>
      <c r="H46" s="9">
        <v>3.2000000000000002E-3</v>
      </c>
      <c r="I46" s="9">
        <v>4.7000000000000002E-3</v>
      </c>
      <c r="J46" s="9">
        <v>8.9999999999999998E-4</v>
      </c>
      <c r="K46" s="9">
        <v>4.1999999999999997E-3</v>
      </c>
      <c r="L46" s="9">
        <v>2.5999999999999999E-3</v>
      </c>
      <c r="M46" s="9">
        <v>1.9E-3</v>
      </c>
      <c r="N46" s="9">
        <v>3.2000000000000002E-3</v>
      </c>
      <c r="O46" s="9">
        <v>4.4000000000000003E-3</v>
      </c>
      <c r="P46" s="9">
        <v>3.7000000000000002E-3</v>
      </c>
      <c r="Q46" s="9">
        <v>3.2000000000000002E-3</v>
      </c>
      <c r="R46" s="9">
        <v>2.5999999999999999E-3</v>
      </c>
      <c r="S46" s="9">
        <v>3.3999999999999998E-3</v>
      </c>
      <c r="T46" s="9">
        <v>2.5000000000000001E-3</v>
      </c>
      <c r="U46" s="9">
        <v>3.0999999999999999E-3</v>
      </c>
      <c r="V46" s="9">
        <v>3.2000000000000002E-3</v>
      </c>
      <c r="W46" s="9">
        <v>1.5E-3</v>
      </c>
      <c r="X46" s="9">
        <v>8.0000000000000004E-4</v>
      </c>
      <c r="Y46" s="9">
        <v>3.8999999999999998E-3</v>
      </c>
      <c r="Z46" s="9">
        <v>3.5999999999999999E-3</v>
      </c>
      <c r="AA46" s="9">
        <v>1.1000000000000001E-3</v>
      </c>
      <c r="AB46" s="9">
        <v>1E-3</v>
      </c>
      <c r="AC46" s="9">
        <v>8.9999999999999998E-4</v>
      </c>
    </row>
    <row r="47" spans="1:29" x14ac:dyDescent="0.3">
      <c r="B47" s="5">
        <v>202513</v>
      </c>
      <c r="C47" s="5"/>
      <c r="D47" s="9">
        <v>2.5000000000000001E-3</v>
      </c>
      <c r="E47" s="9">
        <v>3.0000000000000001E-3</v>
      </c>
      <c r="F47" s="9">
        <v>2.5000000000000001E-3</v>
      </c>
      <c r="G47" s="9">
        <v>3.0000000000000001E-3</v>
      </c>
      <c r="H47" s="9">
        <v>2.8999999999999998E-3</v>
      </c>
      <c r="I47" s="9">
        <v>4.7000000000000002E-3</v>
      </c>
      <c r="J47" s="9">
        <v>2.5999999999999999E-3</v>
      </c>
      <c r="K47" s="9">
        <v>4.4999999999999997E-3</v>
      </c>
      <c r="L47" s="9">
        <v>1.6999999999999999E-3</v>
      </c>
      <c r="M47" s="9">
        <v>2E-3</v>
      </c>
      <c r="N47" s="9">
        <v>3.5999999999999999E-3</v>
      </c>
      <c r="O47" s="9">
        <v>5.3E-3</v>
      </c>
      <c r="P47" s="9">
        <v>2.5000000000000001E-3</v>
      </c>
      <c r="Q47" s="9">
        <v>3.8E-3</v>
      </c>
      <c r="R47" s="9">
        <v>3.0000000000000001E-3</v>
      </c>
      <c r="S47" s="9">
        <v>3.5999999999999999E-3</v>
      </c>
      <c r="T47" s="9">
        <v>2.5000000000000001E-3</v>
      </c>
      <c r="U47" s="9">
        <v>3.5000000000000001E-3</v>
      </c>
      <c r="V47" s="9">
        <v>3.0999999999999999E-3</v>
      </c>
      <c r="W47" s="9">
        <v>2E-3</v>
      </c>
      <c r="X47" s="9">
        <v>1.1000000000000001E-3</v>
      </c>
      <c r="Y47" s="9">
        <v>3.7000000000000002E-3</v>
      </c>
      <c r="Z47" s="9">
        <v>1.8E-3</v>
      </c>
      <c r="AA47" s="9">
        <v>1.6999999999999999E-3</v>
      </c>
      <c r="AB47" s="9">
        <v>8.9999999999999998E-4</v>
      </c>
      <c r="AC47" s="9">
        <v>1E-3</v>
      </c>
    </row>
    <row r="48" spans="1:29" x14ac:dyDescent="0.3">
      <c r="B48" s="5">
        <v>202514</v>
      </c>
      <c r="C48" s="5"/>
      <c r="D48" s="9">
        <v>2.5999999999999999E-3</v>
      </c>
      <c r="E48" s="9">
        <v>4.1999999999999997E-3</v>
      </c>
      <c r="F48" s="9">
        <v>2.5000000000000001E-3</v>
      </c>
      <c r="G48" s="9">
        <v>4.8999999999999998E-3</v>
      </c>
      <c r="H48" s="9">
        <v>3.2000000000000002E-3</v>
      </c>
      <c r="I48" s="9">
        <v>2.8E-3</v>
      </c>
      <c r="J48" s="9">
        <v>6.1000000000000004E-3</v>
      </c>
      <c r="K48" s="9">
        <v>7.1000000000000004E-3</v>
      </c>
      <c r="L48" s="9">
        <v>8.9999999999999998E-4</v>
      </c>
      <c r="M48" s="9">
        <v>2.0999999999999999E-3</v>
      </c>
      <c r="N48" s="9">
        <v>3.7000000000000002E-3</v>
      </c>
      <c r="O48" s="9">
        <v>3.8999999999999998E-3</v>
      </c>
      <c r="P48" s="9">
        <v>2.5000000000000001E-3</v>
      </c>
      <c r="Q48" s="9">
        <v>-1</v>
      </c>
      <c r="R48" s="9">
        <v>2.8E-3</v>
      </c>
      <c r="S48" s="9">
        <v>3.5999999999999999E-3</v>
      </c>
      <c r="T48" s="9">
        <v>2.0999999999999999E-3</v>
      </c>
      <c r="U48" s="9">
        <v>3.2000000000000002E-3</v>
      </c>
      <c r="V48" s="9">
        <v>3.2000000000000002E-3</v>
      </c>
      <c r="W48" s="9">
        <v>2.3999999999999998E-3</v>
      </c>
      <c r="X48" s="9">
        <v>1.1999999999999999E-3</v>
      </c>
      <c r="Y48" s="9">
        <v>4.7999999999999996E-3</v>
      </c>
      <c r="Z48" s="9">
        <v>1.6999999999999999E-3</v>
      </c>
      <c r="AA48" s="9">
        <v>1.6999999999999999E-3</v>
      </c>
      <c r="AB48" s="9">
        <v>1.1000000000000001E-3</v>
      </c>
      <c r="AC48" s="9">
        <v>1.1000000000000001E-3</v>
      </c>
    </row>
    <row r="49" spans="2:29" x14ac:dyDescent="0.3">
      <c r="B49" s="5">
        <v>202515</v>
      </c>
      <c r="C49" s="5"/>
      <c r="D49" s="9">
        <v>2.5000000000000001E-3</v>
      </c>
      <c r="E49" s="9">
        <v>3.3E-3</v>
      </c>
      <c r="F49" s="9">
        <v>2.3999999999999998E-3</v>
      </c>
      <c r="G49" s="9">
        <v>5.1000000000000004E-3</v>
      </c>
      <c r="H49" s="9">
        <v>2.8E-3</v>
      </c>
      <c r="I49" s="9">
        <v>1.9E-3</v>
      </c>
      <c r="J49" s="9">
        <v>2.3999999999999998E-3</v>
      </c>
      <c r="K49" s="9">
        <v>3.0999999999999999E-3</v>
      </c>
      <c r="L49" s="9">
        <v>1.5E-3</v>
      </c>
      <c r="M49" s="9">
        <v>1.8E-3</v>
      </c>
      <c r="N49" s="9"/>
      <c r="O49" s="9">
        <v>5.3E-3</v>
      </c>
      <c r="P49" s="9">
        <v>2.5000000000000001E-3</v>
      </c>
      <c r="Q49" s="9"/>
      <c r="R49" s="9">
        <v>2.5000000000000001E-3</v>
      </c>
      <c r="S49" s="9">
        <v>3.7000000000000002E-3</v>
      </c>
      <c r="T49" s="9">
        <v>2.5999999999999999E-3</v>
      </c>
      <c r="U49" s="9">
        <v>2.8999999999999998E-3</v>
      </c>
      <c r="V49" s="9">
        <v>3.5999999999999999E-3</v>
      </c>
      <c r="W49" s="9">
        <v>2.5999999999999999E-3</v>
      </c>
      <c r="X49" s="9">
        <v>8.0000000000000004E-4</v>
      </c>
      <c r="Y49" s="9">
        <v>3.7000000000000002E-3</v>
      </c>
      <c r="Z49" s="9">
        <v>1.9E-3</v>
      </c>
      <c r="AA49" s="9">
        <v>1.4E-3</v>
      </c>
      <c r="AB49" s="9">
        <v>8.9999999999999998E-4</v>
      </c>
      <c r="AC49" s="9">
        <v>1.4E-3</v>
      </c>
    </row>
    <row r="50" spans="2:29" x14ac:dyDescent="0.3">
      <c r="B50" s="5">
        <v>202516</v>
      </c>
      <c r="C50" s="5"/>
      <c r="D50" s="9">
        <v>2.7000000000000001E-3</v>
      </c>
      <c r="E50" s="9">
        <v>2.8E-3</v>
      </c>
      <c r="F50" s="9">
        <v>2.5999999999999999E-3</v>
      </c>
      <c r="G50" s="9">
        <v>3.8999999999999998E-3</v>
      </c>
      <c r="H50" s="9">
        <v>2.5000000000000001E-3</v>
      </c>
      <c r="I50" s="9">
        <v>2.8999999999999998E-3</v>
      </c>
      <c r="J50" s="9">
        <v>1.9E-3</v>
      </c>
      <c r="K50" s="9">
        <v>2.2000000000000001E-3</v>
      </c>
      <c r="L50" s="9">
        <v>2.5999999999999999E-3</v>
      </c>
      <c r="M50" s="9">
        <v>1.9E-3</v>
      </c>
      <c r="N50" s="9"/>
      <c r="O50" s="9">
        <v>5.0000000000000001E-3</v>
      </c>
      <c r="P50" s="9">
        <v>2.5000000000000001E-3</v>
      </c>
      <c r="Q50" s="9"/>
      <c r="R50" s="9">
        <v>2.8E-3</v>
      </c>
      <c r="S50" s="9">
        <v>4.0000000000000001E-3</v>
      </c>
      <c r="T50" s="9">
        <v>2.3E-3</v>
      </c>
      <c r="U50" s="9">
        <v>3.0999999999999999E-3</v>
      </c>
      <c r="V50" s="9">
        <v>3.5999999999999999E-3</v>
      </c>
      <c r="W50" s="9">
        <v>3.3999999999999998E-3</v>
      </c>
      <c r="X50" s="9">
        <v>1.1999999999999999E-3</v>
      </c>
      <c r="Y50" s="9">
        <v>4.3E-3</v>
      </c>
      <c r="Z50" s="9">
        <v>2.2000000000000001E-3</v>
      </c>
      <c r="AA50" s="9">
        <v>1.6000000000000001E-3</v>
      </c>
      <c r="AB50" s="9">
        <v>1.2999999999999999E-3</v>
      </c>
      <c r="AC50" s="9">
        <v>1.2999999999999999E-3</v>
      </c>
    </row>
    <row r="51" spans="2:29" x14ac:dyDescent="0.3">
      <c r="B51" s="5">
        <v>202517</v>
      </c>
      <c r="C51" s="5"/>
      <c r="D51" s="9">
        <v>2.8E-3</v>
      </c>
      <c r="E51" s="9">
        <v>2.5999999999999999E-3</v>
      </c>
      <c r="F51" s="9">
        <v>2.8E-3</v>
      </c>
      <c r="G51" s="9">
        <v>2.8E-3</v>
      </c>
      <c r="H51" s="9">
        <v>2.8999999999999998E-3</v>
      </c>
      <c r="I51" s="9">
        <v>3.8E-3</v>
      </c>
      <c r="J51" s="9">
        <v>1.4E-3</v>
      </c>
      <c r="K51" s="9">
        <v>2.3999999999999998E-3</v>
      </c>
      <c r="L51" s="9">
        <v>1.6999999999999999E-3</v>
      </c>
      <c r="M51" s="9">
        <v>1.2999999999999999E-3</v>
      </c>
      <c r="N51" s="9"/>
      <c r="O51" s="9">
        <v>8.2000000000000007E-3</v>
      </c>
      <c r="P51" s="9">
        <v>3.0999999999999999E-3</v>
      </c>
      <c r="Q51" s="9"/>
      <c r="R51" s="9">
        <v>2.8E-3</v>
      </c>
      <c r="S51" s="9">
        <v>3.8999999999999998E-3</v>
      </c>
      <c r="T51" s="9">
        <v>2.8999999999999998E-3</v>
      </c>
      <c r="U51" s="9">
        <v>3.5999999999999999E-3</v>
      </c>
      <c r="V51" s="9">
        <v>2.7000000000000001E-3</v>
      </c>
      <c r="W51" s="9">
        <v>3.3E-3</v>
      </c>
      <c r="X51" s="9">
        <v>8.9999999999999998E-4</v>
      </c>
      <c r="Y51" s="9">
        <v>4.1999999999999997E-3</v>
      </c>
      <c r="Z51" s="9">
        <v>2E-3</v>
      </c>
      <c r="AA51" s="9">
        <v>2.2000000000000001E-3</v>
      </c>
      <c r="AB51" s="9">
        <v>8.9999999999999998E-4</v>
      </c>
      <c r="AC51" s="9">
        <v>1.2999999999999999E-3</v>
      </c>
    </row>
    <row r="52" spans="2:29" ht="15" thickBot="1" x14ac:dyDescent="0.35">
      <c r="B52" s="5">
        <v>202518</v>
      </c>
      <c r="C52" s="5"/>
      <c r="D52" s="9">
        <v>3.7000000000000002E-3</v>
      </c>
      <c r="E52" s="9">
        <v>2.5999999999999999E-3</v>
      </c>
      <c r="F52" s="9">
        <v>3.7000000000000002E-3</v>
      </c>
      <c r="G52" s="9">
        <v>3.0999999999999999E-3</v>
      </c>
      <c r="H52" s="9">
        <v>2.2000000000000001E-3</v>
      </c>
      <c r="I52" s="9">
        <v>8.6999999999999994E-3</v>
      </c>
      <c r="J52" s="9">
        <v>2.5999999999999999E-3</v>
      </c>
      <c r="K52" s="9">
        <v>2.3999999999999998E-3</v>
      </c>
      <c r="L52" s="9">
        <v>1.6999999999999999E-3</v>
      </c>
      <c r="M52" s="9">
        <v>1.4E-3</v>
      </c>
      <c r="N52" s="9"/>
      <c r="O52" s="9">
        <v>4.8999999999999998E-3</v>
      </c>
      <c r="P52" s="9">
        <v>4.1999999999999997E-3</v>
      </c>
      <c r="Q52" s="9"/>
      <c r="R52" s="9">
        <v>3.0000000000000001E-3</v>
      </c>
      <c r="S52" s="9">
        <v>4.1999999999999997E-3</v>
      </c>
      <c r="T52" s="9">
        <v>2.0999999999999999E-3</v>
      </c>
      <c r="U52" s="9">
        <v>3.3E-3</v>
      </c>
      <c r="V52" s="9">
        <v>3.7000000000000002E-3</v>
      </c>
      <c r="W52" s="9">
        <v>4.1999999999999997E-3</v>
      </c>
      <c r="X52" s="9">
        <v>9.1999999999999998E-3</v>
      </c>
      <c r="Y52" s="9">
        <v>9.4000000000000004E-3</v>
      </c>
      <c r="Z52" s="9">
        <v>1.9E-3</v>
      </c>
      <c r="AA52" s="9">
        <v>1.8E-3</v>
      </c>
      <c r="AB52" s="9">
        <v>1.6000000000000001E-3</v>
      </c>
      <c r="AC52" s="9">
        <v>1.8E-3</v>
      </c>
    </row>
    <row r="53" spans="2:29" ht="15" thickBot="1" x14ac:dyDescent="0.35">
      <c r="B53" s="22" t="s">
        <v>82</v>
      </c>
      <c r="C53" s="22"/>
      <c r="D53" s="24">
        <f t="shared" ref="D53:AC53" si="23">AVERAGE(D35:D52)</f>
        <v>2.6333333333333334E-3</v>
      </c>
      <c r="E53" s="24">
        <f t="shared" si="23"/>
        <v>4.3944444444444447E-3</v>
      </c>
      <c r="F53" s="24">
        <f t="shared" si="23"/>
        <v>2.4722222222222216E-3</v>
      </c>
      <c r="G53" s="24">
        <f t="shared" si="23"/>
        <v>6.2611111111111123E-3</v>
      </c>
      <c r="H53" s="24">
        <f t="shared" si="23"/>
        <v>4.1944444444444442E-3</v>
      </c>
      <c r="I53" s="24">
        <f t="shared" si="23"/>
        <v>4.9277777777777775E-3</v>
      </c>
      <c r="J53" s="24">
        <f t="shared" si="23"/>
        <v>2.9055555555555553E-3</v>
      </c>
      <c r="K53" s="24">
        <f t="shared" si="23"/>
        <v>3.5888888888888884E-3</v>
      </c>
      <c r="L53" s="24">
        <f t="shared" si="23"/>
        <v>2.2111111111111112E-3</v>
      </c>
      <c r="M53" s="24">
        <f t="shared" si="23"/>
        <v>2.5722222222222223E-3</v>
      </c>
      <c r="N53" s="24">
        <f t="shared" si="23"/>
        <v>2.8785714285714287E-3</v>
      </c>
      <c r="O53" s="24">
        <f t="shared" si="23"/>
        <v>5.8611111111111121E-3</v>
      </c>
      <c r="P53" s="24">
        <f t="shared" si="23"/>
        <v>2.7555555555555558E-3</v>
      </c>
      <c r="Q53" s="24">
        <f t="shared" si="23"/>
        <v>-6.7871428571428569E-2</v>
      </c>
      <c r="R53" s="24">
        <f t="shared" si="23"/>
        <v>2.161111111111111E-3</v>
      </c>
      <c r="S53" s="24">
        <f t="shared" si="23"/>
        <v>2.9055555555555558E-3</v>
      </c>
      <c r="T53" s="24">
        <f t="shared" si="23"/>
        <v>3.1888888888888882E-3</v>
      </c>
      <c r="U53" s="24">
        <f t="shared" si="23"/>
        <v>3.6833333333333332E-3</v>
      </c>
      <c r="V53" s="24">
        <f t="shared" si="23"/>
        <v>2.8888888888888888E-3</v>
      </c>
      <c r="W53" s="24">
        <f t="shared" si="23"/>
        <v>2E-3</v>
      </c>
      <c r="X53" s="24">
        <f t="shared" si="23"/>
        <v>1.3666666666666666E-3</v>
      </c>
      <c r="Y53" s="24">
        <f t="shared" si="23"/>
        <v>3.6888888888888891E-3</v>
      </c>
      <c r="Z53" s="24">
        <f t="shared" si="23"/>
        <v>1.7444444444444443E-3</v>
      </c>
      <c r="AA53" s="24">
        <f t="shared" si="23"/>
        <v>1.4384615384615386E-3</v>
      </c>
      <c r="AB53" s="24">
        <f t="shared" si="23"/>
        <v>1.0153846153846153E-3</v>
      </c>
      <c r="AC53" s="24">
        <f t="shared" si="23"/>
        <v>1.0888888888888888E-3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T55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45781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45787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121</v>
      </c>
      <c r="C6" s="7">
        <v>11</v>
      </c>
      <c r="D6" s="7">
        <v>7</v>
      </c>
      <c r="E6" s="7">
        <v>1197</v>
      </c>
      <c r="F6" s="7">
        <v>1036</v>
      </c>
      <c r="G6" s="7">
        <v>1</v>
      </c>
      <c r="H6" s="9">
        <f t="shared" ref="H6:H12" si="0">IFERROR(G6/F6,0)</f>
        <v>9.6525096525096527E-4</v>
      </c>
      <c r="I6" s="9">
        <f>IFERROR((1197-F6)/1197,0)</f>
        <v>0.13450292397660818</v>
      </c>
      <c r="J6" s="7">
        <v>4560</v>
      </c>
      <c r="K6" s="11">
        <f t="shared" ref="K6:K12" si="1">IFERROR(J6/D6/F6*100,0)</f>
        <v>62.879205736348595</v>
      </c>
      <c r="L6" s="11">
        <f>K6-63.6451</f>
        <v>-0.76589426365140412</v>
      </c>
      <c r="M6" s="11">
        <v>86</v>
      </c>
      <c r="N6" s="11">
        <f t="shared" ref="N6:N12" si="2">K6-M6</f>
        <v>-23.120794263651405</v>
      </c>
      <c r="O6" s="11">
        <f>IFERROR(133190/1197,0)</f>
        <v>111.26984126984127</v>
      </c>
      <c r="P6" s="11">
        <v>0</v>
      </c>
      <c r="Q6" s="11">
        <f t="shared" ref="Q6:Q11" si="3">IFERROR(O6-P6,0)</f>
        <v>111.26984126984127</v>
      </c>
      <c r="R6" s="7">
        <v>938</v>
      </c>
      <c r="S6" s="11">
        <f t="shared" ref="S6:S11" si="4">IFERROR(R6/D6/F6*1000,0)</f>
        <v>129.34362934362935</v>
      </c>
      <c r="T6" s="13">
        <f t="shared" ref="T6:T12" si="5">IFERROR(J6/R6,0)</f>
        <v>4.8614072494669509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205.7017543859649</v>
      </c>
      <c r="Z6" s="11">
        <f t="shared" ref="Z6:Z12" si="9">IFERROR(Y6*X6/1000,0)</f>
        <v>61.06873684210526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28</v>
      </c>
      <c r="AG6" s="7">
        <f t="shared" ref="AG6:AG11" si="10">IF(M6=0,0,IFERROR(N6/100*7*F6,0))</f>
        <v>-1676.7199999999998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81</v>
      </c>
      <c r="C7" s="7">
        <v>11</v>
      </c>
      <c r="D7" s="7">
        <v>7</v>
      </c>
      <c r="E7" s="7">
        <v>14440</v>
      </c>
      <c r="F7" s="7">
        <v>11341</v>
      </c>
      <c r="G7" s="7">
        <v>28</v>
      </c>
      <c r="H7" s="9">
        <f t="shared" si="0"/>
        <v>2.4689180848249713E-3</v>
      </c>
      <c r="I7" s="9">
        <f>IFERROR((14440-F7)/14440,0)</f>
        <v>0.21461218836565096</v>
      </c>
      <c r="J7" s="7">
        <v>61170</v>
      </c>
      <c r="K7" s="11">
        <f t="shared" si="1"/>
        <v>77.052917984052812</v>
      </c>
      <c r="L7" s="11">
        <f>K7-77.2778</f>
        <v>-0.2248820159471876</v>
      </c>
      <c r="M7" s="11">
        <v>86</v>
      </c>
      <c r="N7" s="11">
        <f t="shared" si="2"/>
        <v>-8.9470820159471884</v>
      </c>
      <c r="O7" s="11">
        <f>IFERROR(4474870/14440,0)</f>
        <v>309.89404432132966</v>
      </c>
      <c r="P7" s="11">
        <v>0</v>
      </c>
      <c r="Q7" s="11">
        <f t="shared" si="3"/>
        <v>309.89404432132966</v>
      </c>
      <c r="R7" s="7">
        <v>10430</v>
      </c>
      <c r="S7" s="11">
        <f t="shared" si="4"/>
        <v>131.38171237104314</v>
      </c>
      <c r="T7" s="13">
        <f t="shared" si="5"/>
        <v>5.8648130393096833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170.50841915971881</v>
      </c>
      <c r="Z7" s="11">
        <f t="shared" si="9"/>
        <v>63.625216609449069</v>
      </c>
      <c r="AA7" s="7">
        <v>2066</v>
      </c>
      <c r="AB7" s="15">
        <f>IFERROR(AA7/1970,0)</f>
        <v>1.0487309644670051</v>
      </c>
      <c r="AC7" s="11">
        <v>0</v>
      </c>
      <c r="AD7" s="15">
        <f>IFERROR(AC7/64.8,0)</f>
        <v>0</v>
      </c>
      <c r="AE7" s="11">
        <v>0</v>
      </c>
      <c r="AF7" s="11">
        <v>28</v>
      </c>
      <c r="AG7" s="7">
        <f t="shared" si="10"/>
        <v>-7102.8199999999952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81</v>
      </c>
      <c r="C8" s="7">
        <v>11</v>
      </c>
      <c r="D8" s="7">
        <v>7</v>
      </c>
      <c r="E8" s="7">
        <v>16063</v>
      </c>
      <c r="F8" s="7">
        <v>13252</v>
      </c>
      <c r="G8" s="7">
        <v>28</v>
      </c>
      <c r="H8" s="9">
        <f t="shared" si="0"/>
        <v>2.1128886205855719E-3</v>
      </c>
      <c r="I8" s="9">
        <f>IFERROR((16063-F8)/16063,0)</f>
        <v>0.1749984436282139</v>
      </c>
      <c r="J8" s="7">
        <v>66390</v>
      </c>
      <c r="K8" s="11">
        <f t="shared" si="1"/>
        <v>71.568712000344959</v>
      </c>
      <c r="L8" s="11">
        <f>K8-73.0637</f>
        <v>-1.4949879996550379</v>
      </c>
      <c r="M8" s="11">
        <v>82</v>
      </c>
      <c r="N8" s="11">
        <f t="shared" si="2"/>
        <v>-10.431287999655041</v>
      </c>
      <c r="O8" s="11">
        <f>IFERROR(4656840/16063,0)</f>
        <v>289.91097553383554</v>
      </c>
      <c r="P8" s="11">
        <v>0</v>
      </c>
      <c r="Q8" s="11">
        <f t="shared" si="3"/>
        <v>289.91097553383554</v>
      </c>
      <c r="R8" s="7">
        <v>10850</v>
      </c>
      <c r="S8" s="11">
        <f t="shared" si="4"/>
        <v>116.96347721098702</v>
      </c>
      <c r="T8" s="13">
        <f t="shared" si="5"/>
        <v>6.1188940092165902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163.42822714264199</v>
      </c>
      <c r="Z8" s="11">
        <f t="shared" si="9"/>
        <v>60.468444042777534</v>
      </c>
      <c r="AA8" s="7">
        <v>1735</v>
      </c>
      <c r="AB8" s="15">
        <f>IFERROR(AA8/1580,0)</f>
        <v>1.0981012658227849</v>
      </c>
      <c r="AC8" s="11">
        <v>0</v>
      </c>
      <c r="AD8" s="15">
        <f>IFERROR(AC8/63.5,0)</f>
        <v>0</v>
      </c>
      <c r="AE8" s="11">
        <v>0</v>
      </c>
      <c r="AF8" s="11">
        <v>28</v>
      </c>
      <c r="AG8" s="7">
        <f t="shared" si="10"/>
        <v>-9676.4800000000032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42</v>
      </c>
      <c r="C9" s="7"/>
      <c r="D9" s="7">
        <v>7</v>
      </c>
      <c r="E9" s="7">
        <v>4686</v>
      </c>
      <c r="F9" s="7">
        <v>4204</v>
      </c>
      <c r="G9" s="7">
        <v>9</v>
      </c>
      <c r="H9" s="9">
        <f t="shared" si="0"/>
        <v>2.1408182683158895E-3</v>
      </c>
      <c r="I9" s="9">
        <f>IFERROR((4686-F9)/4686,0)</f>
        <v>0.10285958173282117</v>
      </c>
      <c r="J9" s="7">
        <v>29700</v>
      </c>
      <c r="K9" s="11">
        <f t="shared" si="1"/>
        <v>100.9242897920348</v>
      </c>
      <c r="L9" s="11">
        <f>K9-100.3018</f>
        <v>0.62248979203479848</v>
      </c>
      <c r="M9" s="11">
        <v>91.5</v>
      </c>
      <c r="N9" s="11">
        <f t="shared" si="2"/>
        <v>9.4242897920347986</v>
      </c>
      <c r="O9" s="11">
        <f>IFERROR(641340/4686,0)</f>
        <v>136.86299615877081</v>
      </c>
      <c r="P9" s="11">
        <v>149</v>
      </c>
      <c r="Q9" s="11">
        <f t="shared" si="3"/>
        <v>-12.137003841229188</v>
      </c>
      <c r="R9" s="7">
        <v>4861</v>
      </c>
      <c r="S9" s="11">
        <f t="shared" si="4"/>
        <v>165.1828190838657</v>
      </c>
      <c r="T9" s="13">
        <f t="shared" si="5"/>
        <v>6.1098539395186178</v>
      </c>
      <c r="U9" s="7">
        <v>5040</v>
      </c>
      <c r="V9" s="11">
        <f t="shared" si="6"/>
        <v>171.26546146527116</v>
      </c>
      <c r="W9" s="11">
        <f t="shared" si="7"/>
        <v>1.0368236988274018</v>
      </c>
      <c r="X9" s="11">
        <v>362.76</v>
      </c>
      <c r="Y9" s="11">
        <f t="shared" si="8"/>
        <v>163.67003367003363</v>
      </c>
      <c r="Z9" s="11">
        <f t="shared" si="9"/>
        <v>59.372941414141401</v>
      </c>
      <c r="AA9" s="7">
        <v>1965</v>
      </c>
      <c r="AB9" s="15">
        <f>IFERROR(AA9/1940,0)</f>
        <v>1.0128865979381443</v>
      </c>
      <c r="AC9" s="11">
        <v>0</v>
      </c>
      <c r="AD9" s="15">
        <f>IFERROR(AC9/62.6,0)</f>
        <v>0</v>
      </c>
      <c r="AE9" s="11">
        <v>13</v>
      </c>
      <c r="AF9" s="11">
        <v>26</v>
      </c>
      <c r="AG9" s="7">
        <f t="shared" si="10"/>
        <v>2773.3800000000006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81</v>
      </c>
      <c r="C10" s="7"/>
      <c r="D10" s="7">
        <v>7</v>
      </c>
      <c r="E10" s="7">
        <v>5000</v>
      </c>
      <c r="F10" s="7">
        <v>4141</v>
      </c>
      <c r="G10" s="7">
        <v>18</v>
      </c>
      <c r="H10" s="9">
        <f t="shared" si="0"/>
        <v>4.3467761410287374E-3</v>
      </c>
      <c r="I10" s="9">
        <f>IFERROR((5000-F10)/5000,0)</f>
        <v>0.17180000000000001</v>
      </c>
      <c r="J10" s="7">
        <v>26040</v>
      </c>
      <c r="K10" s="11">
        <f t="shared" si="1"/>
        <v>89.833373581260574</v>
      </c>
      <c r="L10" s="11">
        <f>K10-90.7842</f>
        <v>-0.95082641873942464</v>
      </c>
      <c r="M10" s="11">
        <v>75</v>
      </c>
      <c r="N10" s="11">
        <f t="shared" si="2"/>
        <v>14.833373581260574</v>
      </c>
      <c r="O10" s="11">
        <f>IFERROR(1633310/5000,0)</f>
        <v>326.66199999999998</v>
      </c>
      <c r="P10" s="11">
        <v>371</v>
      </c>
      <c r="Q10" s="11">
        <f t="shared" si="3"/>
        <v>-44.338000000000022</v>
      </c>
      <c r="R10" s="7">
        <v>4862</v>
      </c>
      <c r="S10" s="11">
        <f t="shared" si="4"/>
        <v>167.73036188636283</v>
      </c>
      <c r="T10" s="13">
        <f t="shared" si="5"/>
        <v>5.3558206499382974</v>
      </c>
      <c r="U10" s="7">
        <v>5041</v>
      </c>
      <c r="V10" s="11">
        <f t="shared" si="6"/>
        <v>173.90554386449097</v>
      </c>
      <c r="W10" s="11">
        <f t="shared" si="7"/>
        <v>1.0368161250514192</v>
      </c>
      <c r="X10" s="11">
        <v>374.81</v>
      </c>
      <c r="Y10" s="11">
        <f t="shared" si="8"/>
        <v>186.71274961597538</v>
      </c>
      <c r="Z10" s="11">
        <f t="shared" si="9"/>
        <v>69.981805683563735</v>
      </c>
      <c r="AA10" s="7">
        <v>1996</v>
      </c>
      <c r="AB10" s="15">
        <f>IFERROR(AA10/1970,0)</f>
        <v>1.0131979695431472</v>
      </c>
      <c r="AC10" s="11">
        <v>0</v>
      </c>
      <c r="AD10" s="15">
        <f>IFERROR(AC10/64.8,0)</f>
        <v>0</v>
      </c>
      <c r="AE10" s="11">
        <v>12</v>
      </c>
      <c r="AF10" s="11">
        <v>24</v>
      </c>
      <c r="AG10" s="7">
        <f t="shared" si="10"/>
        <v>4299.7500000000018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42</v>
      </c>
      <c r="C11" s="7"/>
      <c r="D11" s="7">
        <v>7</v>
      </c>
      <c r="E11" s="7">
        <v>4819</v>
      </c>
      <c r="F11" s="7">
        <v>4585</v>
      </c>
      <c r="G11" s="7">
        <v>6</v>
      </c>
      <c r="H11" s="9">
        <f t="shared" si="0"/>
        <v>1.3086150490730644E-3</v>
      </c>
      <c r="I11" s="9">
        <f>IFERROR((4819-F11)/4819,0)</f>
        <v>4.8557792073044198E-2</v>
      </c>
      <c r="J11" s="7">
        <v>31200</v>
      </c>
      <c r="K11" s="11">
        <f t="shared" si="1"/>
        <v>97.211403645427623</v>
      </c>
      <c r="L11" s="11">
        <f>K11-98.7647</f>
        <v>-1.5532963545723817</v>
      </c>
      <c r="M11" s="11">
        <v>91.5</v>
      </c>
      <c r="N11" s="11">
        <f t="shared" si="2"/>
        <v>5.7114036454276231</v>
      </c>
      <c r="O11" s="11">
        <f>IFERROR(678956/4819,0)</f>
        <v>140.89147125959744</v>
      </c>
      <c r="P11" s="11">
        <v>149</v>
      </c>
      <c r="Q11" s="11">
        <f t="shared" si="3"/>
        <v>-8.1085287404025621</v>
      </c>
      <c r="R11" s="7">
        <v>5136</v>
      </c>
      <c r="S11" s="11">
        <f t="shared" si="4"/>
        <v>160.0249260009347</v>
      </c>
      <c r="T11" s="13">
        <f t="shared" si="5"/>
        <v>6.0747663551401869</v>
      </c>
      <c r="U11" s="7">
        <v>5040</v>
      </c>
      <c r="V11" s="11">
        <f t="shared" si="6"/>
        <v>157.03380588876772</v>
      </c>
      <c r="W11" s="11">
        <f t="shared" si="7"/>
        <v>0.98130841121495338</v>
      </c>
      <c r="X11" s="11">
        <v>362.76</v>
      </c>
      <c r="Y11" s="11">
        <f t="shared" si="8"/>
        <v>164.61538461538458</v>
      </c>
      <c r="Z11" s="11">
        <f t="shared" si="9"/>
        <v>59.715876923076912</v>
      </c>
      <c r="AA11" s="7">
        <v>1970</v>
      </c>
      <c r="AB11" s="15">
        <f>IFERROR(AA11/1940,0)</f>
        <v>1.0154639175257731</v>
      </c>
      <c r="AC11" s="11">
        <v>0</v>
      </c>
      <c r="AD11" s="15">
        <f>IFERROR(AC11/62.6,0)</f>
        <v>0</v>
      </c>
      <c r="AE11" s="11">
        <v>11</v>
      </c>
      <c r="AF11" s="11">
        <v>26</v>
      </c>
      <c r="AG11" s="7">
        <f t="shared" si="10"/>
        <v>1833.0749999999957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38559</v>
      </c>
      <c r="G12" s="17">
        <f>SUM(G6:G11)</f>
        <v>90</v>
      </c>
      <c r="H12" s="18">
        <f t="shared" si="0"/>
        <v>2.3340854275266474E-3</v>
      </c>
      <c r="I12" s="18"/>
      <c r="J12" s="17">
        <f>SUM(J6:J11)</f>
        <v>219060</v>
      </c>
      <c r="K12" s="19">
        <f t="shared" si="1"/>
        <v>81.15948472285514</v>
      </c>
      <c r="L12" s="19"/>
      <c r="M12" s="19">
        <f>IFERROR(SUMPRODUCT($F6:$F11,M6:M11)/$F12, 0)</f>
        <v>84.697593298581396</v>
      </c>
      <c r="N12" s="19">
        <f t="shared" si="2"/>
        <v>-3.5381085757262554</v>
      </c>
      <c r="O12" s="19">
        <f>IFERROR(SUMPRODUCT($E6:$E11,O6:O11)/$E12, 0)</f>
        <v>264.44120766150849</v>
      </c>
      <c r="P12" s="19">
        <f>IFERROR(SUMPRODUCT($E6:$E11,P6:P11)/$E12, 0)</f>
        <v>70.798506655123902</v>
      </c>
      <c r="Q12" s="19">
        <f>IFERROR(SUMPRODUCT($E6:$E11,Q6:Q11)/$E12, 0)</f>
        <v>193.64270100638458</v>
      </c>
      <c r="R12" s="17">
        <f>SUM(R6:R11)</f>
        <v>37077</v>
      </c>
      <c r="S12" s="19">
        <f>IFERROR(R12/D12/$F12*1000,0)</f>
        <v>137.36648475619918</v>
      </c>
      <c r="T12" s="20">
        <f t="shared" si="5"/>
        <v>5.9082450036410714</v>
      </c>
      <c r="U12" s="17">
        <f>SUM(U6:U11)</f>
        <v>15121</v>
      </c>
      <c r="V12" s="19">
        <f>IFERROR(U12/D12/$F12*1000,0)</f>
        <v>56.021755158143556</v>
      </c>
      <c r="W12" s="19">
        <f t="shared" si="7"/>
        <v>0.40782695471586172</v>
      </c>
      <c r="X12" s="19">
        <f>IFERROR(SUMPRODUCT(R6:R11,X6:X11)/R12,0)</f>
        <v>367.71491436739757</v>
      </c>
      <c r="Y12" s="19">
        <f>IFERROR(($F12*S12)/($F12*K12)*100,0)</f>
        <v>169.25499863051215</v>
      </c>
      <c r="Z12" s="19">
        <f t="shared" si="9"/>
        <v>62.237587327672763</v>
      </c>
      <c r="AA12" s="17"/>
      <c r="AB12" s="21">
        <f>IFERROR(SUMPRODUCT($F6:$F11,AB6:AB11)/$F12,0)</f>
        <v>1.0258415922137414</v>
      </c>
      <c r="AC12" s="19"/>
      <c r="AD12" s="21">
        <f>AVERAGE(AD6:AD11)</f>
        <v>0</v>
      </c>
      <c r="AE12" s="19"/>
      <c r="AF12" s="19"/>
      <c r="AG12" s="17">
        <f>SUM(AG6:AG11)</f>
        <v>-9549.8149999999987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81</v>
      </c>
      <c r="C14" s="6"/>
      <c r="D14" s="6">
        <v>7</v>
      </c>
      <c r="E14" s="6">
        <v>21388</v>
      </c>
      <c r="F14" s="6">
        <v>16682</v>
      </c>
      <c r="G14" s="6">
        <v>29</v>
      </c>
      <c r="H14" s="8">
        <f t="shared" ref="H14:H30" si="12">IFERROR(G14/F14,0)</f>
        <v>1.7384006713823282E-3</v>
      </c>
      <c r="I14" s="8">
        <f>IFERROR((21388-F14)/21388,0)</f>
        <v>0.22002992332148869</v>
      </c>
      <c r="J14" s="6">
        <v>90030</v>
      </c>
      <c r="K14" s="10">
        <f t="shared" ref="K14:K30" si="13">IFERROR(J14/D14/F14*100,0)</f>
        <v>77.097641598300996</v>
      </c>
      <c r="L14" s="10">
        <f>K14-78.477</f>
        <v>-1.3793584016990081</v>
      </c>
      <c r="M14" s="10">
        <v>78.5</v>
      </c>
      <c r="N14" s="10">
        <f t="shared" ref="N14:N30" si="14">K14-M14</f>
        <v>-1.4023584016990043</v>
      </c>
      <c r="O14" s="10">
        <f>IFERROR(5260880/21388,0)</f>
        <v>245.97344305217879</v>
      </c>
      <c r="P14" s="10">
        <v>373</v>
      </c>
      <c r="Q14" s="10">
        <f t="shared" ref="Q14:Q29" si="15">IFERROR(O14-P14,0)</f>
        <v>-127.02655694782121</v>
      </c>
      <c r="R14" s="6">
        <v>12260</v>
      </c>
      <c r="S14" s="10">
        <f t="shared" ref="S14:S29" si="16">IFERROR(R14/D14/F14*1000,0)</f>
        <v>104.98912429136622</v>
      </c>
      <c r="T14" s="12">
        <f t="shared" ref="T14:T30" si="17">IFERROR(J14/R14,0)</f>
        <v>7.3433931484502448</v>
      </c>
      <c r="U14" s="6">
        <v>21110</v>
      </c>
      <c r="V14" s="10">
        <f t="shared" ref="V14:V29" si="18">IFERROR(U14/D14/F14*1000,0)</f>
        <v>180.77654272355147</v>
      </c>
      <c r="W14" s="10">
        <f t="shared" ref="W14:W30" si="19">IFERROR(V14/S14,0)</f>
        <v>1.7218597063621535</v>
      </c>
      <c r="X14" s="10">
        <v>254.7</v>
      </c>
      <c r="Y14" s="10">
        <f t="shared" ref="Y14:Y29" si="20">IFERROR((F14*S14)/(F14*K14)*100,0)</f>
        <v>136.17682994557367</v>
      </c>
      <c r="Z14" s="10">
        <f t="shared" ref="Z14:Z30" si="21">IFERROR(Y14*X14/1000,0)</f>
        <v>34.684238587137607</v>
      </c>
      <c r="AA14" s="6">
        <v>2100</v>
      </c>
      <c r="AB14" s="14">
        <f>IFERROR(AA14/1580,0)</f>
        <v>1.3291139240506329</v>
      </c>
      <c r="AC14" s="10">
        <v>64.8</v>
      </c>
      <c r="AD14" s="14">
        <f>IFERROR(AC14/63.5,0)</f>
        <v>1.0204724409448818</v>
      </c>
      <c r="AE14" s="10">
        <v>20</v>
      </c>
      <c r="AF14" s="10">
        <v>29</v>
      </c>
      <c r="AG14" s="6">
        <f t="shared" ref="AG14:AG29" si="22">IF(M14=0,0,IFERROR(N14/100*7*F14,0))</f>
        <v>-1637.5899999999954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41</v>
      </c>
      <c r="C15" s="7"/>
      <c r="D15" s="7">
        <v>7</v>
      </c>
      <c r="E15" s="7">
        <v>10225</v>
      </c>
      <c r="F15" s="7">
        <v>8970</v>
      </c>
      <c r="G15" s="7">
        <v>47</v>
      </c>
      <c r="H15" s="9">
        <f t="shared" si="12"/>
        <v>5.2396878483835004E-3</v>
      </c>
      <c r="I15" s="9">
        <f>IFERROR((10225-F15)/10225,0)</f>
        <v>0.12273838630806846</v>
      </c>
      <c r="J15" s="7">
        <v>54750</v>
      </c>
      <c r="K15" s="11">
        <f t="shared" si="13"/>
        <v>87.195413282369799</v>
      </c>
      <c r="L15" s="11">
        <f>K15-87.1687</f>
        <v>2.6713282369797753E-2</v>
      </c>
      <c r="M15" s="11">
        <v>92</v>
      </c>
      <c r="N15" s="11">
        <f t="shared" si="14"/>
        <v>-4.8045867176302011</v>
      </c>
      <c r="O15" s="11">
        <f>IFERROR(1234310/10225,0)</f>
        <v>120.71491442542788</v>
      </c>
      <c r="P15" s="11">
        <v>143</v>
      </c>
      <c r="Q15" s="11">
        <f t="shared" si="15"/>
        <v>-22.285085574572122</v>
      </c>
      <c r="R15" s="7">
        <v>9630</v>
      </c>
      <c r="S15" s="11">
        <f t="shared" si="16"/>
        <v>153.36837075967512</v>
      </c>
      <c r="T15" s="13">
        <f t="shared" si="17"/>
        <v>5.685358255451713</v>
      </c>
      <c r="U15" s="7">
        <v>12690</v>
      </c>
      <c r="V15" s="11">
        <f t="shared" si="18"/>
        <v>202.10224558050646</v>
      </c>
      <c r="W15" s="11">
        <f t="shared" si="19"/>
        <v>1.3177570093457944</v>
      </c>
      <c r="X15" s="11">
        <v>269.3242857143</v>
      </c>
      <c r="Y15" s="11">
        <f t="shared" si="20"/>
        <v>175.89041095890411</v>
      </c>
      <c r="Z15" s="11">
        <f t="shared" si="21"/>
        <v>47.371559295501541</v>
      </c>
      <c r="AA15" s="7">
        <v>2040</v>
      </c>
      <c r="AB15" s="15">
        <f>IFERROR(AA15/1930,0)</f>
        <v>1.0569948186528497</v>
      </c>
      <c r="AC15" s="11">
        <v>62.4</v>
      </c>
      <c r="AD15" s="15">
        <f>IFERROR(AC15/62.4,0)</f>
        <v>1</v>
      </c>
      <c r="AE15" s="11">
        <v>23</v>
      </c>
      <c r="AF15" s="11">
        <v>31</v>
      </c>
      <c r="AG15" s="7">
        <f t="shared" si="22"/>
        <v>-3016.8000000000038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70</v>
      </c>
      <c r="C16" s="7"/>
      <c r="D16" s="7">
        <v>7</v>
      </c>
      <c r="E16" s="7">
        <v>56050</v>
      </c>
      <c r="F16" s="7">
        <v>49765</v>
      </c>
      <c r="G16" s="7">
        <v>161</v>
      </c>
      <c r="H16" s="9">
        <f t="shared" si="12"/>
        <v>3.2352054656887373E-3</v>
      </c>
      <c r="I16" s="9">
        <f>IFERROR((56050-F16)/56050,0)</f>
        <v>0.11213202497769849</v>
      </c>
      <c r="J16" s="7">
        <v>320480</v>
      </c>
      <c r="K16" s="11">
        <f t="shared" si="13"/>
        <v>91.998105381005018</v>
      </c>
      <c r="L16" s="11">
        <f>K16-91.1206</f>
        <v>0.8775053810050224</v>
      </c>
      <c r="M16" s="11">
        <v>88.4</v>
      </c>
      <c r="N16" s="11">
        <f t="shared" si="14"/>
        <v>3.5981053810050128</v>
      </c>
      <c r="O16" s="11">
        <f>IFERROR(17460861/56050,0)</f>
        <v>311.52294380017844</v>
      </c>
      <c r="P16" s="11">
        <v>316</v>
      </c>
      <c r="Q16" s="11">
        <f t="shared" si="15"/>
        <v>-4.4770561998215612</v>
      </c>
      <c r="R16" s="7">
        <v>39100</v>
      </c>
      <c r="S16" s="11">
        <f t="shared" si="16"/>
        <v>112.24182227899699</v>
      </c>
      <c r="T16" s="13">
        <f t="shared" si="17"/>
        <v>8.196419437340154</v>
      </c>
      <c r="U16" s="7">
        <v>62200</v>
      </c>
      <c r="V16" s="11">
        <f t="shared" si="18"/>
        <v>178.55348710367301</v>
      </c>
      <c r="W16" s="11">
        <f t="shared" si="19"/>
        <v>1.5907928388746806</v>
      </c>
      <c r="X16" s="11">
        <v>285.30142857139998</v>
      </c>
      <c r="Y16" s="11">
        <f t="shared" si="20"/>
        <v>122.00449326010983</v>
      </c>
      <c r="Z16" s="11">
        <f t="shared" si="21"/>
        <v>34.80805621923907</v>
      </c>
      <c r="AA16" s="7">
        <v>1772</v>
      </c>
      <c r="AB16" s="15">
        <f>IFERROR(AA16/1725,0)</f>
        <v>1.0272463768115943</v>
      </c>
      <c r="AC16" s="11">
        <v>0</v>
      </c>
      <c r="AD16" s="15">
        <f>IFERROR(AC16/63.7,0)</f>
        <v>0</v>
      </c>
      <c r="AE16" s="11">
        <v>21</v>
      </c>
      <c r="AF16" s="11">
        <v>26</v>
      </c>
      <c r="AG16" s="7">
        <f t="shared" si="22"/>
        <v>12534.180000000013</v>
      </c>
      <c r="AH16" s="7">
        <v>140.5</v>
      </c>
      <c r="AI16" s="7">
        <v>3.5587188612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IFERROR(1470/F16,0)</f>
        <v>2.9538832512810208E-2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63</v>
      </c>
      <c r="C17" s="7"/>
      <c r="D17" s="7">
        <v>7</v>
      </c>
      <c r="E17" s="7">
        <v>51536</v>
      </c>
      <c r="F17" s="7">
        <v>47602</v>
      </c>
      <c r="G17" s="7">
        <v>126</v>
      </c>
      <c r="H17" s="9">
        <f t="shared" si="12"/>
        <v>2.6469476072433933E-3</v>
      </c>
      <c r="I17" s="9">
        <f>IFERROR((51536-F17)/51536,0)</f>
        <v>7.6334989133809372E-2</v>
      </c>
      <c r="J17" s="7">
        <v>286760</v>
      </c>
      <c r="K17" s="11">
        <f t="shared" si="13"/>
        <v>86.058809053641198</v>
      </c>
      <c r="L17" s="11">
        <f>K17-88.5434</f>
        <v>-2.4845909463588072</v>
      </c>
      <c r="M17" s="11">
        <v>90.45</v>
      </c>
      <c r="N17" s="11">
        <f t="shared" si="14"/>
        <v>-4.3911909463588046</v>
      </c>
      <c r="O17" s="11">
        <f>IFERROR(13679302/51536,0)</f>
        <v>265.43196988512886</v>
      </c>
      <c r="P17" s="11">
        <v>275</v>
      </c>
      <c r="Q17" s="11">
        <f t="shared" si="15"/>
        <v>-9.5680301148711351</v>
      </c>
      <c r="R17" s="7">
        <v>37460</v>
      </c>
      <c r="S17" s="11">
        <f t="shared" si="16"/>
        <v>112.42024644822847</v>
      </c>
      <c r="T17" s="13">
        <f t="shared" si="17"/>
        <v>7.655098772023492</v>
      </c>
      <c r="U17" s="7">
        <v>66606</v>
      </c>
      <c r="V17" s="11">
        <f t="shared" si="18"/>
        <v>199.88956046264562</v>
      </c>
      <c r="W17" s="11">
        <f t="shared" si="19"/>
        <v>1.7780565936999464</v>
      </c>
      <c r="X17" s="11">
        <v>279.19142857140002</v>
      </c>
      <c r="Y17" s="11">
        <f t="shared" si="20"/>
        <v>130.63188729250942</v>
      </c>
      <c r="Z17" s="11">
        <f t="shared" si="21"/>
        <v>36.471303230173824</v>
      </c>
      <c r="AA17" s="7">
        <v>1699</v>
      </c>
      <c r="AB17" s="15">
        <f>IFERROR(AA17/1725,0)</f>
        <v>0.984927536231884</v>
      </c>
      <c r="AC17" s="11">
        <v>0</v>
      </c>
      <c r="AD17" s="15">
        <f>IFERROR(AC17/63.3,0)</f>
        <v>0</v>
      </c>
      <c r="AE17" s="11">
        <v>21</v>
      </c>
      <c r="AF17" s="11">
        <v>26</v>
      </c>
      <c r="AG17" s="7">
        <f t="shared" si="22"/>
        <v>-14632.063000000029</v>
      </c>
      <c r="AH17" s="7">
        <v>22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IFERROR(150/F17,0)</f>
        <v>3.1511281038611822E-3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111</v>
      </c>
      <c r="C18" s="7">
        <v>41</v>
      </c>
      <c r="D18" s="7">
        <v>7</v>
      </c>
      <c r="E18" s="7">
        <v>51311</v>
      </c>
      <c r="F18" s="7">
        <v>38338</v>
      </c>
      <c r="G18" s="7">
        <v>151</v>
      </c>
      <c r="H18" s="9">
        <f t="shared" si="12"/>
        <v>3.938650946841254E-3</v>
      </c>
      <c r="I18" s="9">
        <f>IFERROR((51311-F18)/51311,0)</f>
        <v>0.25283077702636864</v>
      </c>
      <c r="J18" s="7">
        <v>203520</v>
      </c>
      <c r="K18" s="11">
        <f t="shared" si="13"/>
        <v>75.83673043530105</v>
      </c>
      <c r="L18" s="11">
        <f>K18-79.9338</f>
        <v>-4.0970695646989554</v>
      </c>
      <c r="M18" s="11">
        <v>70</v>
      </c>
      <c r="N18" s="11">
        <f t="shared" si="14"/>
        <v>5.8367304353010496</v>
      </c>
      <c r="O18" s="11">
        <f>IFERROR(24459849/51311,0)</f>
        <v>476.69795950186119</v>
      </c>
      <c r="P18" s="11">
        <v>0</v>
      </c>
      <c r="Q18" s="11">
        <f t="shared" si="15"/>
        <v>476.69795950186119</v>
      </c>
      <c r="R18" s="7">
        <v>31280</v>
      </c>
      <c r="S18" s="11">
        <f t="shared" si="16"/>
        <v>116.5572389945075</v>
      </c>
      <c r="T18" s="13">
        <f t="shared" si="17"/>
        <v>6.5063938618925832</v>
      </c>
      <c r="U18" s="7">
        <v>45960</v>
      </c>
      <c r="V18" s="11">
        <f t="shared" si="18"/>
        <v>171.25865422594515</v>
      </c>
      <c r="W18" s="11">
        <f t="shared" si="19"/>
        <v>1.4693094629156009</v>
      </c>
      <c r="X18" s="11">
        <v>280.61571428569999</v>
      </c>
      <c r="Y18" s="11">
        <f t="shared" si="20"/>
        <v>153.69496855345909</v>
      </c>
      <c r="Z18" s="11">
        <f t="shared" si="21"/>
        <v>43.129223382747121</v>
      </c>
      <c r="AA18" s="7">
        <v>1701</v>
      </c>
      <c r="AB18" s="15">
        <f>IFERROR(AA18/0,0)</f>
        <v>0</v>
      </c>
      <c r="AC18" s="11">
        <v>0</v>
      </c>
      <c r="AD18" s="15">
        <f>IFERROR(AC18/0,0)</f>
        <v>0</v>
      </c>
      <c r="AE18" s="11">
        <v>21</v>
      </c>
      <c r="AF18" s="11">
        <v>25</v>
      </c>
      <c r="AG18" s="7">
        <f t="shared" si="22"/>
        <v>15663.800000000014</v>
      </c>
      <c r="AH18" s="7">
        <v>27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IFERROR(200/F18,0)</f>
        <v>5.2167562209817931E-3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42</v>
      </c>
      <c r="C19" s="7"/>
      <c r="D19" s="7">
        <v>7</v>
      </c>
      <c r="E19" s="7">
        <v>52424</v>
      </c>
      <c r="F19" s="7">
        <v>49906</v>
      </c>
      <c r="G19" s="7">
        <v>225</v>
      </c>
      <c r="H19" s="9">
        <f t="shared" si="12"/>
        <v>4.5084759347573441E-3</v>
      </c>
      <c r="I19" s="9">
        <f>IFERROR((52424-F19)/52424,0)</f>
        <v>4.8031435983519E-2</v>
      </c>
      <c r="J19" s="7">
        <v>315380</v>
      </c>
      <c r="K19" s="11">
        <f t="shared" si="13"/>
        <v>90.278294622461658</v>
      </c>
      <c r="L19" s="11">
        <f>K19-86.3737</f>
        <v>3.9045946224616586</v>
      </c>
      <c r="M19" s="11">
        <v>95.25</v>
      </c>
      <c r="N19" s="11">
        <f t="shared" si="14"/>
        <v>-4.971705377538342</v>
      </c>
      <c r="O19" s="11">
        <f>IFERROR(7143800/52424,0)</f>
        <v>136.26964748969937</v>
      </c>
      <c r="P19" s="11">
        <v>144</v>
      </c>
      <c r="Q19" s="11">
        <f t="shared" si="15"/>
        <v>-7.7303525103006336</v>
      </c>
      <c r="R19" s="7">
        <v>38227</v>
      </c>
      <c r="S19" s="11">
        <f t="shared" si="16"/>
        <v>109.42572035426602</v>
      </c>
      <c r="T19" s="13">
        <f t="shared" si="17"/>
        <v>8.2501896565254924</v>
      </c>
      <c r="U19" s="7">
        <v>63863</v>
      </c>
      <c r="V19" s="11">
        <f t="shared" si="18"/>
        <v>182.80939595010045</v>
      </c>
      <c r="W19" s="11">
        <f t="shared" si="19"/>
        <v>1.6706254741413136</v>
      </c>
      <c r="X19" s="11">
        <v>284.04142857139999</v>
      </c>
      <c r="Y19" s="11">
        <f t="shared" si="20"/>
        <v>121.20933477075273</v>
      </c>
      <c r="Z19" s="11">
        <f t="shared" si="21"/>
        <v>34.428472604473676</v>
      </c>
      <c r="AA19" s="7">
        <v>1689</v>
      </c>
      <c r="AB19" s="15">
        <f>IFERROR(AA19/1710,0)</f>
        <v>0.987719298245614</v>
      </c>
      <c r="AC19" s="11">
        <v>61.81</v>
      </c>
      <c r="AD19" s="15">
        <f>IFERROR(AC19/62.05,0)</f>
        <v>0.99613215149073331</v>
      </c>
      <c r="AE19" s="11">
        <v>23</v>
      </c>
      <c r="AF19" s="11">
        <v>27</v>
      </c>
      <c r="AG19" s="7">
        <f t="shared" si="22"/>
        <v>-17368.254999999994</v>
      </c>
      <c r="AH19" s="7">
        <v>34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IFERROR(1050/F19,0)</f>
        <v>2.1039554362200938E-2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32</v>
      </c>
      <c r="C20" s="7"/>
      <c r="D20" s="7">
        <v>7</v>
      </c>
      <c r="E20" s="7">
        <v>50525</v>
      </c>
      <c r="F20" s="7">
        <v>49407</v>
      </c>
      <c r="G20" s="7">
        <v>94</v>
      </c>
      <c r="H20" s="9">
        <f t="shared" si="12"/>
        <v>1.9025644139494403E-3</v>
      </c>
      <c r="I20" s="9">
        <f>IFERROR((50525-F20)/50525,0)</f>
        <v>2.2127659574468085E-2</v>
      </c>
      <c r="J20" s="7">
        <v>320260</v>
      </c>
      <c r="K20" s="11">
        <f t="shared" si="13"/>
        <v>92.601106263137964</v>
      </c>
      <c r="L20" s="11">
        <f>K20-89.522</f>
        <v>3.0791062631379589</v>
      </c>
      <c r="M20" s="11">
        <v>95.5</v>
      </c>
      <c r="N20" s="11">
        <f t="shared" si="14"/>
        <v>-2.8988937368620356</v>
      </c>
      <c r="O20" s="11">
        <f>IFERROR(3636480/50525,0)</f>
        <v>71.973874319643741</v>
      </c>
      <c r="P20" s="11">
        <v>80</v>
      </c>
      <c r="Q20" s="11">
        <f t="shared" si="15"/>
        <v>-8.0261256803562588</v>
      </c>
      <c r="R20" s="7">
        <v>39188</v>
      </c>
      <c r="S20" s="11">
        <f t="shared" si="16"/>
        <v>113.30956573533538</v>
      </c>
      <c r="T20" s="13">
        <f t="shared" si="17"/>
        <v>8.1723997141982245</v>
      </c>
      <c r="U20" s="7">
        <v>72054</v>
      </c>
      <c r="V20" s="11">
        <f t="shared" si="18"/>
        <v>208.33947763330238</v>
      </c>
      <c r="W20" s="11">
        <f t="shared" si="19"/>
        <v>1.8386751046238641</v>
      </c>
      <c r="X20" s="11">
        <v>275.6514285714</v>
      </c>
      <c r="Y20" s="11">
        <f t="shared" si="20"/>
        <v>122.36307999750204</v>
      </c>
      <c r="Z20" s="11">
        <f t="shared" si="21"/>
        <v>33.729557805707941</v>
      </c>
      <c r="AA20" s="7">
        <v>1700</v>
      </c>
      <c r="AB20" s="15">
        <f>IFERROR(AA20/1540,0)</f>
        <v>1.1038961038961039</v>
      </c>
      <c r="AC20" s="11">
        <v>59.52</v>
      </c>
      <c r="AD20" s="15">
        <f>IFERROR(AC20/58.5,0)</f>
        <v>1.0174358974358975</v>
      </c>
      <c r="AE20" s="11">
        <v>23</v>
      </c>
      <c r="AF20" s="11">
        <v>26</v>
      </c>
      <c r="AG20" s="7">
        <f t="shared" si="22"/>
        <v>-10025.794999999982</v>
      </c>
      <c r="AH20" s="7">
        <v>32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IFERROR(550/F20,0)</f>
        <v>1.1132025826299918E-2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51</v>
      </c>
      <c r="C21" s="7"/>
      <c r="D21" s="7">
        <v>7</v>
      </c>
      <c r="E21" s="7">
        <v>50845</v>
      </c>
      <c r="F21" s="7">
        <v>48963</v>
      </c>
      <c r="G21" s="7">
        <v>99</v>
      </c>
      <c r="H21" s="9">
        <f t="shared" si="12"/>
        <v>2.0219349304576926E-3</v>
      </c>
      <c r="I21" s="9">
        <f>IFERROR((50845-F21)/50845,0)</f>
        <v>3.7014455698692106E-2</v>
      </c>
      <c r="J21" s="7">
        <v>316540</v>
      </c>
      <c r="K21" s="11">
        <f t="shared" si="13"/>
        <v>92.355452076057432</v>
      </c>
      <c r="L21" s="11">
        <f>K21-93.8929</f>
        <v>-1.5374479239425654</v>
      </c>
      <c r="M21" s="11">
        <v>93.7</v>
      </c>
      <c r="N21" s="11">
        <f t="shared" si="14"/>
        <v>-1.3445479239425708</v>
      </c>
      <c r="O21" s="11">
        <f>IFERROR(10013880/50845,0)</f>
        <v>196.9491592093618</v>
      </c>
      <c r="P21" s="11">
        <v>204</v>
      </c>
      <c r="Q21" s="11">
        <f t="shared" si="15"/>
        <v>-7.0508407906382047</v>
      </c>
      <c r="R21" s="7">
        <v>40725</v>
      </c>
      <c r="S21" s="11">
        <f t="shared" si="16"/>
        <v>118.82150078339038</v>
      </c>
      <c r="T21" s="13">
        <f t="shared" si="17"/>
        <v>7.7726212400245549</v>
      </c>
      <c r="U21" s="7">
        <v>68500</v>
      </c>
      <c r="V21" s="11">
        <f t="shared" si="18"/>
        <v>199.85936902792488</v>
      </c>
      <c r="W21" s="11">
        <f t="shared" si="19"/>
        <v>1.682013505217925</v>
      </c>
      <c r="X21" s="11">
        <v>279.1371428571</v>
      </c>
      <c r="Y21" s="11">
        <f t="shared" si="20"/>
        <v>128.65672584823403</v>
      </c>
      <c r="Z21" s="11">
        <f t="shared" si="21"/>
        <v>35.912870862625255</v>
      </c>
      <c r="AA21" s="7">
        <v>1740</v>
      </c>
      <c r="AB21" s="15">
        <f>IFERROR(AA21/1725,0)</f>
        <v>1.008695652173913</v>
      </c>
      <c r="AC21" s="11">
        <v>62.31</v>
      </c>
      <c r="AD21" s="15">
        <f>IFERROR(AC21/62.7,0)</f>
        <v>0.9937799043062201</v>
      </c>
      <c r="AE21" s="11">
        <v>21</v>
      </c>
      <c r="AF21" s="11">
        <v>25</v>
      </c>
      <c r="AG21" s="7">
        <f t="shared" si="22"/>
        <v>-4608.3170000000064</v>
      </c>
      <c r="AH21" s="7">
        <v>46</v>
      </c>
      <c r="AI21" s="7">
        <v>17.826086956499999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IFERROR(870/F21,0)</f>
        <v>1.7768519085840328E-2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42</v>
      </c>
      <c r="C22" s="7"/>
      <c r="D22" s="7">
        <v>7</v>
      </c>
      <c r="E22" s="7">
        <v>21875</v>
      </c>
      <c r="F22" s="7">
        <v>21095</v>
      </c>
      <c r="G22" s="7">
        <v>42</v>
      </c>
      <c r="H22" s="9">
        <f t="shared" si="12"/>
        <v>1.9909931263332541E-3</v>
      </c>
      <c r="I22" s="9">
        <f>IFERROR((21875-F22)/21875,0)</f>
        <v>3.5657142857142859E-2</v>
      </c>
      <c r="J22" s="7">
        <v>122760</v>
      </c>
      <c r="K22" s="11">
        <f t="shared" si="13"/>
        <v>83.134121152608955</v>
      </c>
      <c r="L22" s="11">
        <f>K22-83.3339</f>
        <v>-0.19977884739104468</v>
      </c>
      <c r="M22" s="11">
        <v>91.5</v>
      </c>
      <c r="N22" s="11">
        <f t="shared" si="14"/>
        <v>-8.3658788473910448</v>
      </c>
      <c r="O22" s="11">
        <f>IFERROR(3248970/21875,0)</f>
        <v>148.52434285714287</v>
      </c>
      <c r="P22" s="11">
        <v>149</v>
      </c>
      <c r="Q22" s="11">
        <f t="shared" si="15"/>
        <v>-0.47565714285713057</v>
      </c>
      <c r="R22" s="7">
        <v>16300</v>
      </c>
      <c r="S22" s="11">
        <f t="shared" si="16"/>
        <v>110.38499305861239</v>
      </c>
      <c r="T22" s="13">
        <f t="shared" si="17"/>
        <v>7.5312883435582823</v>
      </c>
      <c r="U22" s="7">
        <v>31929</v>
      </c>
      <c r="V22" s="11">
        <f t="shared" si="18"/>
        <v>216.22591677106968</v>
      </c>
      <c r="W22" s="11">
        <f t="shared" si="19"/>
        <v>1.9588343558282213</v>
      </c>
      <c r="X22" s="11">
        <v>271.11</v>
      </c>
      <c r="Y22" s="11">
        <f t="shared" si="20"/>
        <v>132.77940697295534</v>
      </c>
      <c r="Z22" s="11">
        <f t="shared" si="21"/>
        <v>35.997825024437923</v>
      </c>
      <c r="AA22" s="7">
        <v>1950</v>
      </c>
      <c r="AB22" s="15">
        <f>IFERROR(AA22/1940,0)</f>
        <v>1.0051546391752577</v>
      </c>
      <c r="AC22" s="11">
        <v>62.61</v>
      </c>
      <c r="AD22" s="15">
        <f>IFERROR(AC22/62.6,0)</f>
        <v>1.0001597444089456</v>
      </c>
      <c r="AE22" s="11">
        <v>23</v>
      </c>
      <c r="AF22" s="11">
        <v>27</v>
      </c>
      <c r="AG22" s="7">
        <f t="shared" si="22"/>
        <v>-12353.474999999988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IFERROR(685/F22,0)</f>
        <v>3.2472149798530456E-2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67</v>
      </c>
      <c r="B23" s="5">
        <v>101</v>
      </c>
      <c r="C23" s="7">
        <v>34</v>
      </c>
      <c r="D23" s="7">
        <v>7</v>
      </c>
      <c r="E23" s="7">
        <v>51833</v>
      </c>
      <c r="F23" s="7">
        <v>40324</v>
      </c>
      <c r="G23" s="7">
        <v>197</v>
      </c>
      <c r="H23" s="9">
        <f t="shared" si="12"/>
        <v>4.885428032933241E-3</v>
      </c>
      <c r="I23" s="9">
        <f>IFERROR((51833-F23)/51833,0)</f>
        <v>0.22204001311905544</v>
      </c>
      <c r="J23" s="7">
        <v>169600</v>
      </c>
      <c r="K23" s="11">
        <f t="shared" si="13"/>
        <v>60.084742159933114</v>
      </c>
      <c r="L23" s="11">
        <f>K23-69.5865</f>
        <v>-9.5017578400668867</v>
      </c>
      <c r="M23" s="11">
        <v>72</v>
      </c>
      <c r="N23" s="11">
        <f t="shared" si="14"/>
        <v>-11.915257840066886</v>
      </c>
      <c r="O23" s="11">
        <f>IFERROR(20465028/51833,0)</f>
        <v>394.8262303937646</v>
      </c>
      <c r="P23" s="11">
        <v>0</v>
      </c>
      <c r="Q23" s="11">
        <f t="shared" si="15"/>
        <v>394.8262303937646</v>
      </c>
      <c r="R23" s="7">
        <v>30457</v>
      </c>
      <c r="S23" s="11">
        <f t="shared" si="16"/>
        <v>107.90100188473366</v>
      </c>
      <c r="T23" s="13">
        <f t="shared" si="17"/>
        <v>5.5685064188856419</v>
      </c>
      <c r="U23" s="7">
        <v>46849</v>
      </c>
      <c r="V23" s="11">
        <f t="shared" si="18"/>
        <v>165.97347201949918</v>
      </c>
      <c r="W23" s="11">
        <f t="shared" si="19"/>
        <v>1.5382013986932395</v>
      </c>
      <c r="X23" s="11">
        <v>271.08857142860001</v>
      </c>
      <c r="Y23" s="11">
        <f t="shared" si="20"/>
        <v>179.58136792452831</v>
      </c>
      <c r="Z23" s="11">
        <f t="shared" si="21"/>
        <v>48.682456485854189</v>
      </c>
      <c r="AA23" s="7">
        <v>1777</v>
      </c>
      <c r="AB23" s="15">
        <f>IFERROR(AA23/0,0)</f>
        <v>0</v>
      </c>
      <c r="AC23" s="11">
        <v>0</v>
      </c>
      <c r="AD23" s="15">
        <f>IFERROR(AC23/0,0)</f>
        <v>0</v>
      </c>
      <c r="AE23" s="11">
        <v>22</v>
      </c>
      <c r="AF23" s="11">
        <v>26</v>
      </c>
      <c r="AG23" s="7">
        <f t="shared" si="22"/>
        <v>-33632.959999999999</v>
      </c>
      <c r="AH23" s="7">
        <v>37</v>
      </c>
      <c r="AI23" s="7">
        <v>20.5405405405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IFERROR(1140/F23,0)</f>
        <v>2.8271004860628907E-2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81</v>
      </c>
      <c r="B24" s="5">
        <v>99</v>
      </c>
      <c r="C24" s="7">
        <v>33</v>
      </c>
      <c r="D24" s="7">
        <v>7</v>
      </c>
      <c r="E24" s="7">
        <v>21623</v>
      </c>
      <c r="F24" s="7">
        <v>17962</v>
      </c>
      <c r="G24" s="7">
        <v>53</v>
      </c>
      <c r="H24" s="9">
        <f t="shared" si="12"/>
        <v>2.9506736443603164E-3</v>
      </c>
      <c r="I24" s="9">
        <f>IFERROR((21623-F24)/21623,0)</f>
        <v>0.16931045645840079</v>
      </c>
      <c r="J24" s="7">
        <v>85860</v>
      </c>
      <c r="K24" s="11">
        <f t="shared" si="13"/>
        <v>68.287018626624459</v>
      </c>
      <c r="L24" s="11">
        <f>K24-72.3683</f>
        <v>-4.0812813733755462</v>
      </c>
      <c r="M24" s="11">
        <v>75</v>
      </c>
      <c r="N24" s="11">
        <f t="shared" si="14"/>
        <v>-6.7129813733755412</v>
      </c>
      <c r="O24" s="11">
        <f>IFERROR(8615645/21623,0)</f>
        <v>398.44818017851361</v>
      </c>
      <c r="P24" s="11">
        <v>0</v>
      </c>
      <c r="Q24" s="11">
        <f t="shared" si="15"/>
        <v>398.44818017851361</v>
      </c>
      <c r="R24" s="7">
        <v>14929</v>
      </c>
      <c r="S24" s="11">
        <f t="shared" si="16"/>
        <v>118.73478931712981</v>
      </c>
      <c r="T24" s="13">
        <f t="shared" si="17"/>
        <v>5.7512224529439342</v>
      </c>
      <c r="U24" s="7">
        <v>23424</v>
      </c>
      <c r="V24" s="11">
        <f t="shared" si="18"/>
        <v>186.29805780457156</v>
      </c>
      <c r="W24" s="11">
        <f t="shared" si="19"/>
        <v>1.5690267265054592</v>
      </c>
      <c r="X24" s="11">
        <v>278.31857142860002</v>
      </c>
      <c r="Y24" s="11">
        <f t="shared" si="20"/>
        <v>173.87607733519681</v>
      </c>
      <c r="Z24" s="11">
        <f t="shared" si="21"/>
        <v>48.392941449540757</v>
      </c>
      <c r="AA24" s="7">
        <v>2040</v>
      </c>
      <c r="AB24" s="15">
        <f>IFERROR(AA24/1980,0)</f>
        <v>1.0303030303030303</v>
      </c>
      <c r="AC24" s="11">
        <v>65.63</v>
      </c>
      <c r="AD24" s="15">
        <f>IFERROR(AC24/65.3,0)</f>
        <v>1.0050535987748852</v>
      </c>
      <c r="AE24" s="11">
        <v>22</v>
      </c>
      <c r="AF24" s="11">
        <v>26</v>
      </c>
      <c r="AG24" s="7">
        <f t="shared" si="22"/>
        <v>-8440.5000000000036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IFERROR(520/F24,0)</f>
        <v>2.8950005567308763E-2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68</v>
      </c>
      <c r="B25" s="5">
        <v>32</v>
      </c>
      <c r="C25" s="7"/>
      <c r="D25" s="7">
        <v>7</v>
      </c>
      <c r="E25" s="7">
        <v>21339</v>
      </c>
      <c r="F25" s="7">
        <v>20966</v>
      </c>
      <c r="G25" s="7">
        <v>21</v>
      </c>
      <c r="H25" s="9">
        <f t="shared" si="12"/>
        <v>1.001621673185157E-3</v>
      </c>
      <c r="I25" s="9">
        <f>IFERROR((21339-F25)/21339,0)</f>
        <v>1.7479731946201789E-2</v>
      </c>
      <c r="J25" s="7">
        <v>131580</v>
      </c>
      <c r="K25" s="11">
        <f t="shared" si="13"/>
        <v>89.655360379389776</v>
      </c>
      <c r="L25" s="11">
        <f>K25-90.7909</f>
        <v>-1.1355396206102171</v>
      </c>
      <c r="M25" s="11">
        <v>94.5</v>
      </c>
      <c r="N25" s="11">
        <f t="shared" si="14"/>
        <v>-4.8446396206102236</v>
      </c>
      <c r="O25" s="11">
        <f>IFERROR(1691310/21339,0)</f>
        <v>79.259103050752145</v>
      </c>
      <c r="P25" s="11">
        <v>85</v>
      </c>
      <c r="Q25" s="11">
        <f t="shared" si="15"/>
        <v>-5.7408969492478548</v>
      </c>
      <c r="R25" s="7">
        <v>18160</v>
      </c>
      <c r="S25" s="11">
        <f t="shared" si="16"/>
        <v>123.73775227920034</v>
      </c>
      <c r="T25" s="13">
        <f t="shared" si="17"/>
        <v>7.2455947136563879</v>
      </c>
      <c r="U25" s="7">
        <v>36077</v>
      </c>
      <c r="V25" s="11">
        <f t="shared" si="18"/>
        <v>245.81976260884971</v>
      </c>
      <c r="W25" s="11">
        <f t="shared" si="19"/>
        <v>1.9866189427312777</v>
      </c>
      <c r="X25" s="11">
        <v>262.39142857140001</v>
      </c>
      <c r="Y25" s="11">
        <f t="shared" si="20"/>
        <v>138.01489588083291</v>
      </c>
      <c r="Z25" s="11">
        <f t="shared" si="21"/>
        <v>36.213925694304777</v>
      </c>
      <c r="AA25" s="7">
        <v>1940</v>
      </c>
      <c r="AB25" s="15">
        <f>IFERROR(AA25/1910,0)</f>
        <v>1.0157068062827226</v>
      </c>
      <c r="AC25" s="11">
        <v>61.31</v>
      </c>
      <c r="AD25" s="15">
        <f>IFERROR(AC25/61.3,0)</f>
        <v>1.000163132137031</v>
      </c>
      <c r="AE25" s="11">
        <v>23</v>
      </c>
      <c r="AF25" s="11">
        <v>26</v>
      </c>
      <c r="AG25" s="7">
        <f t="shared" si="22"/>
        <v>-7110.0899999999756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IFERROR(210/F25,0)</f>
        <v>1.0016216731851569E-2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69</v>
      </c>
      <c r="B26" s="5">
        <v>19</v>
      </c>
      <c r="C26" s="7"/>
      <c r="D26" s="7">
        <v>7</v>
      </c>
      <c r="E26" s="7">
        <v>64976</v>
      </c>
      <c r="F26" s="7">
        <v>64897</v>
      </c>
      <c r="G26" s="7">
        <v>79</v>
      </c>
      <c r="H26" s="9">
        <f t="shared" si="12"/>
        <v>1.2173135892260044E-3</v>
      </c>
      <c r="I26" s="9">
        <f>IFERROR((64976-F26)/64976,0)</f>
        <v>1.215833538537306E-3</v>
      </c>
      <c r="J26" s="7">
        <v>101160</v>
      </c>
      <c r="K26" s="11">
        <f t="shared" si="13"/>
        <v>22.2682536502898</v>
      </c>
      <c r="L26" s="11">
        <f>K26-0</f>
        <v>22.2682536502898</v>
      </c>
      <c r="M26" s="11">
        <v>18.5</v>
      </c>
      <c r="N26" s="11">
        <f t="shared" si="14"/>
        <v>3.7682536502898003</v>
      </c>
      <c r="O26" s="11">
        <f>IFERROR(16623978/64976,0)</f>
        <v>255.84797463678896</v>
      </c>
      <c r="P26" s="11">
        <v>1</v>
      </c>
      <c r="Q26" s="11">
        <f t="shared" si="15"/>
        <v>254.84797463678896</v>
      </c>
      <c r="R26" s="7">
        <v>38016</v>
      </c>
      <c r="S26" s="11">
        <f t="shared" si="16"/>
        <v>83.684255710697613</v>
      </c>
      <c r="T26" s="13">
        <f t="shared" si="17"/>
        <v>2.6609848484848486</v>
      </c>
      <c r="U26" s="7">
        <v>77437</v>
      </c>
      <c r="V26" s="11">
        <f t="shared" si="18"/>
        <v>170.46132442837992</v>
      </c>
      <c r="W26" s="11">
        <f t="shared" si="19"/>
        <v>2.0369581228956228</v>
      </c>
      <c r="X26" s="11">
        <v>270.18285714289999</v>
      </c>
      <c r="Y26" s="11">
        <f t="shared" si="20"/>
        <v>375.80071174377218</v>
      </c>
      <c r="Z26" s="11">
        <f t="shared" si="21"/>
        <v>101.53491001526774</v>
      </c>
      <c r="AA26" s="7">
        <v>1419</v>
      </c>
      <c r="AB26" s="15">
        <f>IFERROR(AA26/1320,0)</f>
        <v>1.075</v>
      </c>
      <c r="AC26" s="11">
        <v>0</v>
      </c>
      <c r="AD26" s="15">
        <f>IFERROR(AC26/45,0)</f>
        <v>0</v>
      </c>
      <c r="AE26" s="11">
        <v>21</v>
      </c>
      <c r="AF26" s="11">
        <v>25</v>
      </c>
      <c r="AG26" s="7">
        <f t="shared" si="22"/>
        <v>17118.385000000002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70</v>
      </c>
      <c r="B27" s="5">
        <v>90</v>
      </c>
      <c r="C27" s="7">
        <v>18</v>
      </c>
      <c r="D27" s="7">
        <v>7</v>
      </c>
      <c r="E27" s="7">
        <v>47224</v>
      </c>
      <c r="F27" s="7">
        <v>37222</v>
      </c>
      <c r="G27" s="7">
        <v>125</v>
      </c>
      <c r="H27" s="9">
        <f t="shared" si="12"/>
        <v>3.358229004352265E-3</v>
      </c>
      <c r="I27" s="9">
        <f>IFERROR((47224-F27)/47224,0)</f>
        <v>0.2117990852109097</v>
      </c>
      <c r="J27" s="7">
        <v>183060</v>
      </c>
      <c r="K27" s="11">
        <f t="shared" si="13"/>
        <v>70.257988747054355</v>
      </c>
      <c r="L27" s="11">
        <f>K27-68.2365</f>
        <v>2.0214887470543488</v>
      </c>
      <c r="M27" s="11">
        <v>78</v>
      </c>
      <c r="N27" s="11">
        <f t="shared" si="14"/>
        <v>-7.7420112529456446</v>
      </c>
      <c r="O27" s="11">
        <f>IFERROR(16078620/47224,0)</f>
        <v>340.47560562425883</v>
      </c>
      <c r="P27" s="11">
        <v>0</v>
      </c>
      <c r="Q27" s="11">
        <f t="shared" si="15"/>
        <v>340.47560562425883</v>
      </c>
      <c r="R27" s="7">
        <v>29220</v>
      </c>
      <c r="S27" s="11">
        <f t="shared" si="16"/>
        <v>112.14565886534078</v>
      </c>
      <c r="T27" s="13">
        <f t="shared" si="17"/>
        <v>6.2648870636550305</v>
      </c>
      <c r="U27" s="7">
        <v>48600</v>
      </c>
      <c r="V27" s="11">
        <f t="shared" si="18"/>
        <v>186.52563384173723</v>
      </c>
      <c r="W27" s="11">
        <f t="shared" si="19"/>
        <v>1.6632443531827517</v>
      </c>
      <c r="X27" s="11">
        <v>280.18142857139998</v>
      </c>
      <c r="Y27" s="11">
        <f t="shared" si="20"/>
        <v>159.61979678793838</v>
      </c>
      <c r="Z27" s="11">
        <f t="shared" si="21"/>
        <v>44.722502692321143</v>
      </c>
      <c r="AA27" s="7">
        <v>1579</v>
      </c>
      <c r="AB27" s="15">
        <f>IFERROR(AA27/1580,0)</f>
        <v>0.99936708860759493</v>
      </c>
      <c r="AC27" s="11">
        <v>0</v>
      </c>
      <c r="AD27" s="15">
        <f>IFERROR(AC27/63.7,0)</f>
        <v>0</v>
      </c>
      <c r="AE27" s="11">
        <v>16</v>
      </c>
      <c r="AF27" s="11">
        <v>27</v>
      </c>
      <c r="AG27" s="7">
        <f t="shared" si="22"/>
        <v>-20172.119999999995</v>
      </c>
      <c r="AH27" s="7">
        <v>47</v>
      </c>
      <c r="AI27" s="7">
        <v>19.574468085100001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IFERROR(560/F27,0)</f>
        <v>1.5044865939498147E-2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71</v>
      </c>
      <c r="B28" s="5">
        <v>120</v>
      </c>
      <c r="C28" s="7">
        <v>22</v>
      </c>
      <c r="D28" s="7">
        <v>7</v>
      </c>
      <c r="E28" s="7">
        <v>33376</v>
      </c>
      <c r="F28" s="7">
        <v>28837</v>
      </c>
      <c r="G28" s="7">
        <v>119</v>
      </c>
      <c r="H28" s="9">
        <f t="shared" si="12"/>
        <v>4.1266428546658804E-3</v>
      </c>
      <c r="I28" s="9">
        <f>IFERROR((33376-F28)/33376,0)</f>
        <v>0.13599592521572387</v>
      </c>
      <c r="J28" s="7">
        <v>124540</v>
      </c>
      <c r="K28" s="11">
        <f t="shared" si="13"/>
        <v>61.696530746709342</v>
      </c>
      <c r="L28" s="11">
        <f>K28-61.6206</f>
        <v>7.5930746709339303E-2</v>
      </c>
      <c r="M28" s="11">
        <v>76</v>
      </c>
      <c r="N28" s="11">
        <f t="shared" si="14"/>
        <v>-14.303469253290658</v>
      </c>
      <c r="O28" s="11">
        <f>IFERROR(15567613/33376,0)</f>
        <v>466.4313578619367</v>
      </c>
      <c r="P28" s="11">
        <v>0</v>
      </c>
      <c r="Q28" s="11">
        <f t="shared" si="15"/>
        <v>466.4313578619367</v>
      </c>
      <c r="R28" s="7">
        <v>24460</v>
      </c>
      <c r="S28" s="11">
        <f t="shared" si="16"/>
        <v>121.17369054637147</v>
      </c>
      <c r="T28" s="13">
        <f t="shared" si="17"/>
        <v>5.0915780866721176</v>
      </c>
      <c r="U28" s="7">
        <v>31600</v>
      </c>
      <c r="V28" s="11">
        <f t="shared" si="18"/>
        <v>156.54491501493618</v>
      </c>
      <c r="W28" s="11">
        <f t="shared" si="19"/>
        <v>1.2919051512673754</v>
      </c>
      <c r="X28" s="11">
        <v>280.02428571429999</v>
      </c>
      <c r="Y28" s="11">
        <f t="shared" si="20"/>
        <v>196.4027621647663</v>
      </c>
      <c r="Z28" s="11">
        <f t="shared" si="21"/>
        <v>54.997543187504228</v>
      </c>
      <c r="AA28" s="7">
        <v>1710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16</v>
      </c>
      <c r="AF28" s="11">
        <v>27</v>
      </c>
      <c r="AG28" s="7">
        <f t="shared" si="22"/>
        <v>-28872.839999999986</v>
      </c>
      <c r="AH28" s="7">
        <v>56</v>
      </c>
      <c r="AI28" s="7">
        <v>21.071428571399998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IFERROR(910/F28,0)</f>
        <v>3.1556680653327319E-2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5" t="s">
        <v>72</v>
      </c>
      <c r="B29" s="5">
        <v>120</v>
      </c>
      <c r="C29" s="7">
        <v>22</v>
      </c>
      <c r="D29" s="7">
        <v>7</v>
      </c>
      <c r="E29" s="7">
        <v>12390</v>
      </c>
      <c r="F29" s="7">
        <v>9843</v>
      </c>
      <c r="G29" s="7">
        <v>34</v>
      </c>
      <c r="H29" s="9">
        <f t="shared" si="12"/>
        <v>3.4542314335060447E-3</v>
      </c>
      <c r="I29" s="9">
        <f>IFERROR((12390-F29)/12390,0)</f>
        <v>0.20556900726392252</v>
      </c>
      <c r="J29" s="7">
        <v>48080</v>
      </c>
      <c r="K29" s="11">
        <f t="shared" si="13"/>
        <v>69.781280387802795</v>
      </c>
      <c r="L29" s="11">
        <f>K29-71.8263</f>
        <v>-2.0450196121972084</v>
      </c>
      <c r="M29" s="11">
        <v>76</v>
      </c>
      <c r="N29" s="11">
        <f t="shared" si="14"/>
        <v>-6.218719612197205</v>
      </c>
      <c r="O29" s="11">
        <f>IFERROR(6321288/12390,0)</f>
        <v>510.19273607748187</v>
      </c>
      <c r="P29" s="11">
        <v>0</v>
      </c>
      <c r="Q29" s="11">
        <f t="shared" si="15"/>
        <v>510.19273607748187</v>
      </c>
      <c r="R29" s="7">
        <v>9610</v>
      </c>
      <c r="S29" s="11">
        <f t="shared" si="16"/>
        <v>139.47547931089534</v>
      </c>
      <c r="T29" s="13">
        <f t="shared" si="17"/>
        <v>5.0031217481789803</v>
      </c>
      <c r="U29" s="7">
        <v>15500</v>
      </c>
      <c r="V29" s="11">
        <f t="shared" si="18"/>
        <v>224.96045050144409</v>
      </c>
      <c r="W29" s="11">
        <f t="shared" si="19"/>
        <v>1.6129032258064515</v>
      </c>
      <c r="X29" s="11">
        <v>275.77714285709999</v>
      </c>
      <c r="Y29" s="11">
        <f t="shared" si="20"/>
        <v>199.87520798668882</v>
      </c>
      <c r="Z29" s="11">
        <f t="shared" si="21"/>
        <v>55.121013786537652</v>
      </c>
      <c r="AA29" s="7">
        <v>2052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16</v>
      </c>
      <c r="AF29" s="11">
        <v>27</v>
      </c>
      <c r="AG29" s="7">
        <f t="shared" si="22"/>
        <v>-4284.7599999999966</v>
      </c>
      <c r="AH29" s="7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IFERROR(455/F29,0)</f>
        <v>4.6225744183683838E-2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16" t="s">
        <v>73</v>
      </c>
      <c r="B30" s="16"/>
      <c r="C30" s="17"/>
      <c r="D30" s="17">
        <f>AVERAGE(D14:D29)</f>
        <v>7</v>
      </c>
      <c r="E30" s="17">
        <f>SUM(E14:E29)</f>
        <v>618940</v>
      </c>
      <c r="F30" s="17">
        <f>SUM(F14:F29)</f>
        <v>550779</v>
      </c>
      <c r="G30" s="17">
        <f>SUM(G14:G29)</f>
        <v>1602</v>
      </c>
      <c r="H30" s="18">
        <f t="shared" si="12"/>
        <v>2.9086076266524323E-3</v>
      </c>
      <c r="I30" s="18"/>
      <c r="J30" s="17">
        <f>SUM(J14:J29)</f>
        <v>2874360</v>
      </c>
      <c r="K30" s="19">
        <f t="shared" si="13"/>
        <v>74.553106988984169</v>
      </c>
      <c r="L30" s="19"/>
      <c r="M30" s="19">
        <f>IFERROR(SUMPRODUCT($F14:$F29,M14:M29)/$F30, 0)</f>
        <v>77.687348283068161</v>
      </c>
      <c r="N30" s="19">
        <f t="shared" si="14"/>
        <v>-3.1342412940839921</v>
      </c>
      <c r="O30" s="19">
        <f>IFERROR(SUMPRODUCT($E14:$E29,O14:O29)/$E30, 0)</f>
        <v>277.08956280091769</v>
      </c>
      <c r="P30" s="19">
        <f>IFERROR(SUMPRODUCT($E14:$E29,P14:P29)/$E30, 0)</f>
        <v>110.55304391378809</v>
      </c>
      <c r="Q30" s="19">
        <f>IFERROR(SUMPRODUCT($E14:$E29,Q14:Q29)/$E30, 0)</f>
        <v>166.5365188871296</v>
      </c>
      <c r="R30" s="17">
        <f>SUM(R14:R29)</f>
        <v>429022</v>
      </c>
      <c r="S30" s="19">
        <f>IFERROR(R30/D30/$F30*1000,0)</f>
        <v>111.27667747473514</v>
      </c>
      <c r="T30" s="20">
        <f t="shared" si="17"/>
        <v>6.6997962808434064</v>
      </c>
      <c r="U30" s="17">
        <f>SUM(U14:U29)</f>
        <v>724399</v>
      </c>
      <c r="V30" s="19">
        <f>IFERROR(U30/D30/$F30*1000,0)</f>
        <v>187.88946461025463</v>
      </c>
      <c r="W30" s="19">
        <f t="shared" si="19"/>
        <v>1.6884891683876353</v>
      </c>
      <c r="X30" s="19">
        <f>IFERROR(SUMPRODUCT(R14:R29,X14:X29)/R30,0)</f>
        <v>276.65080189026787</v>
      </c>
      <c r="Y30" s="19">
        <f>IFERROR(($F30*S30)/($F30*K30)*100,0)</f>
        <v>149.25826966698676</v>
      </c>
      <c r="Z30" s="19">
        <f t="shared" si="21"/>
        <v>41.29241999212573</v>
      </c>
      <c r="AA30" s="17"/>
      <c r="AB30" s="21">
        <f>IFERROR(SUMPRODUCT($F14:$F29,AB14:AB29)/$F30,0)</f>
        <v>0.81856625554583617</v>
      </c>
      <c r="AC30" s="19"/>
      <c r="AD30" s="21">
        <f>AVERAGE(AD14:AD29)</f>
        <v>0.50207480434366225</v>
      </c>
      <c r="AE30" s="19"/>
      <c r="AF30" s="19"/>
      <c r="AG30" s="17">
        <f>SUM(AG14:AG29)</f>
        <v>-120839.19999999992</v>
      </c>
      <c r="AH30" s="17">
        <f>SUM(AH14:AH29)</f>
        <v>441.5</v>
      </c>
      <c r="AI30" s="17">
        <f>IFERROR(SUMPRODUCT(AH14:AH29,AI14:AI29)/AH30, 0)</f>
        <v>14.677236693078596</v>
      </c>
      <c r="AJ30" s="19">
        <f>AVERAGE(AJ14:AJ29)</f>
        <v>0</v>
      </c>
      <c r="AK30" s="19">
        <f>AVERAGE(AK14:AK29)</f>
        <v>0</v>
      </c>
      <c r="AL30" s="19">
        <f>AVERAGE(AL14:AL29)</f>
        <v>0</v>
      </c>
      <c r="AM30" s="19">
        <f>AVERAGE(AM14:AM29)</f>
        <v>0</v>
      </c>
      <c r="AN30" s="19">
        <f>AVERAGE(AN14:AN29)</f>
        <v>0</v>
      </c>
      <c r="AO30" s="20"/>
      <c r="AP30" s="19"/>
      <c r="AQ30" s="17"/>
      <c r="AR30" s="17"/>
      <c r="AS30" s="17"/>
      <c r="AT30" s="17"/>
    </row>
    <row r="31" spans="1:46" ht="15" thickBot="1" x14ac:dyDescent="0.35"/>
    <row r="32" spans="1:46" ht="15" thickBot="1" x14ac:dyDescent="0.35">
      <c r="A32" s="23" t="s">
        <v>74</v>
      </c>
      <c r="B32" s="23"/>
      <c r="C32" s="23"/>
      <c r="D32" s="23">
        <f>IFERROR($F$12/$F32*D$12,0)+IFERROR($F$30/$F32*D$30,0)</f>
        <v>6.9999999999999991</v>
      </c>
      <c r="E32" s="23">
        <f>E12+E30</f>
        <v>665145</v>
      </c>
      <c r="F32" s="23">
        <f>F12+F30</f>
        <v>589338</v>
      </c>
      <c r="G32" s="23">
        <f>G12+G30</f>
        <v>1692</v>
      </c>
      <c r="H32" s="24">
        <f>IFERROR(G32/F32,0)</f>
        <v>2.8710179896765525E-3</v>
      </c>
      <c r="I32" s="23"/>
      <c r="J32" s="23">
        <f>J12+J30</f>
        <v>3093420</v>
      </c>
      <c r="K32" s="25">
        <f>IFERROR(J32/D32/F32*100,0)</f>
        <v>74.985346754687953</v>
      </c>
      <c r="L32" s="23"/>
      <c r="M32" s="25">
        <f>IFERROR($F$12/$F32*M$12,0)+IFERROR($F$30/$F32*M$30,0)</f>
        <v>78.146012135650508</v>
      </c>
      <c r="N32" s="25">
        <f>K32-M32</f>
        <v>-3.1606653809625556</v>
      </c>
      <c r="O32" s="23">
        <f>IFERROR($E$12/$E32*O$12,0)+IFERROR($E$30/$E32*O$30,0)</f>
        <v>276.21093145103697</v>
      </c>
      <c r="P32" s="23">
        <f>IFERROR($E$12/$E32*P$12,0)+IFERROR($E$30/$E32*P$30,0)</f>
        <v>107.791452991453</v>
      </c>
      <c r="Q32" s="23">
        <f>IFERROR($E$12/$E32*Q$12,0)+IFERROR($E$30/$E32*Q$30,0)</f>
        <v>168.41947845958398</v>
      </c>
      <c r="R32" s="23">
        <f>R12+R30</f>
        <v>466099</v>
      </c>
      <c r="S32" s="25">
        <f>IFERROR(R32/D32/$F32*1000,0)</f>
        <v>112.98367223659672</v>
      </c>
      <c r="T32" s="26">
        <f>IFERROR(J32/R32,0)</f>
        <v>6.6368303729465197</v>
      </c>
      <c r="U32" s="23">
        <f>U12+U30</f>
        <v>739520</v>
      </c>
      <c r="V32" s="25">
        <f>IFERROR(U32/D32/$F32*1000,0)</f>
        <v>179.26167035846035</v>
      </c>
      <c r="W32" s="25">
        <f>IFERROR(V32/S32,0)</f>
        <v>1.5866157189781571</v>
      </c>
      <c r="X32" s="25">
        <f>IFERROR($F$12/$F32*X$12,0)+IFERROR($F$30/$F32*X$30,0)</f>
        <v>282.60891270783884</v>
      </c>
      <c r="Y32" s="25">
        <f>IFERROR(($F32*S32)/($F32*K32)*100,0)</f>
        <v>150.67433455528186</v>
      </c>
      <c r="Z32" s="25">
        <f>IFERROR(Y32*X32/1000,0)</f>
        <v>42.581909861645357</v>
      </c>
      <c r="AA32" s="23"/>
      <c r="AB32" s="27"/>
      <c r="AC32" s="23"/>
      <c r="AD32" s="27"/>
      <c r="AE32" s="23"/>
      <c r="AF32" s="23"/>
      <c r="AG32" s="23">
        <f>AG12+AG30</f>
        <v>-130389.01499999993</v>
      </c>
      <c r="AH32" s="23">
        <f>AH12+AH30</f>
        <v>441.5</v>
      </c>
      <c r="AI32" s="23">
        <f>IFERROR(AH$12/AH32*AI$12,0)+IFERROR(AH$30/AH32*AI$30,0)</f>
        <v>14.677236693078596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</row>
    <row r="34" spans="1:30" x14ac:dyDescent="0.3">
      <c r="A34" s="31" t="s">
        <v>75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x14ac:dyDescent="0.3">
      <c r="A35" s="32"/>
      <c r="B35" s="32" t="s">
        <v>76</v>
      </c>
      <c r="C35" s="32"/>
      <c r="D35" s="32" t="s">
        <v>77</v>
      </c>
      <c r="E35" s="32" t="s">
        <v>78</v>
      </c>
      <c r="F35" s="32" t="s">
        <v>79</v>
      </c>
      <c r="G35" s="32" t="s">
        <v>50</v>
      </c>
      <c r="H35" s="32" t="s">
        <v>51</v>
      </c>
      <c r="I35" s="32" t="s">
        <v>49</v>
      </c>
      <c r="J35" s="32" t="s">
        <v>52</v>
      </c>
      <c r="K35" s="32" t="s">
        <v>53</v>
      </c>
      <c r="L35" s="32" t="s">
        <v>54</v>
      </c>
      <c r="M35" s="32" t="s">
        <v>56</v>
      </c>
      <c r="N35" s="32" t="s">
        <v>65</v>
      </c>
      <c r="O35" s="32" t="s">
        <v>58</v>
      </c>
      <c r="P35" s="32" t="s">
        <v>59</v>
      </c>
      <c r="Q35" s="32" t="s">
        <v>80</v>
      </c>
      <c r="R35" s="32" t="s">
        <v>60</v>
      </c>
      <c r="S35" s="32" t="s">
        <v>69</v>
      </c>
      <c r="T35" s="32" t="s">
        <v>61</v>
      </c>
      <c r="U35" s="32" t="s">
        <v>70</v>
      </c>
      <c r="V35" s="32" t="s">
        <v>71</v>
      </c>
      <c r="W35" s="32" t="s">
        <v>72</v>
      </c>
      <c r="X35" s="32" t="s">
        <v>62</v>
      </c>
      <c r="Y35" s="32" t="s">
        <v>66</v>
      </c>
      <c r="Z35" s="32" t="s">
        <v>67</v>
      </c>
      <c r="AA35" s="32" t="s">
        <v>81</v>
      </c>
      <c r="AB35" s="32" t="s">
        <v>63</v>
      </c>
      <c r="AC35" s="32" t="s">
        <v>68</v>
      </c>
      <c r="AD35" s="32" t="s">
        <v>64</v>
      </c>
    </row>
    <row r="36" spans="1:30" x14ac:dyDescent="0.3">
      <c r="B36" s="4">
        <v>202501</v>
      </c>
      <c r="C36" s="4"/>
      <c r="D36" s="8">
        <v>2.8E-3</v>
      </c>
      <c r="E36" s="8">
        <v>5.1000000000000004E-3</v>
      </c>
      <c r="F36" s="8">
        <v>2.5999999999999999E-3</v>
      </c>
      <c r="G36" s="8">
        <v>7.7999999999999996E-3</v>
      </c>
      <c r="H36" s="8">
        <v>4.4999999999999997E-3</v>
      </c>
      <c r="I36" s="8">
        <v>3.5000000000000001E-3</v>
      </c>
      <c r="J36" s="8">
        <v>3.2000000000000002E-3</v>
      </c>
      <c r="K36" s="8">
        <v>4.7999999999999996E-3</v>
      </c>
      <c r="L36" s="8">
        <v>1.9E-3</v>
      </c>
      <c r="M36" s="8">
        <v>2.3999999999999998E-3</v>
      </c>
      <c r="N36" s="8">
        <v>2E-3</v>
      </c>
      <c r="O36" s="8">
        <v>5.7999999999999996E-3</v>
      </c>
      <c r="P36" s="8">
        <v>2.3999999999999998E-3</v>
      </c>
      <c r="Q36" s="8">
        <v>3.3999999999999998E-3</v>
      </c>
      <c r="R36" s="8">
        <v>1.6999999999999999E-3</v>
      </c>
      <c r="S36" s="8"/>
      <c r="T36" s="8">
        <v>2.5000000000000001E-3</v>
      </c>
      <c r="U36" s="8">
        <v>5.3E-3</v>
      </c>
      <c r="V36" s="8">
        <v>6.3E-3</v>
      </c>
      <c r="W36" s="8">
        <v>2.7000000000000001E-3</v>
      </c>
      <c r="X36" s="8">
        <v>1.5E-3</v>
      </c>
      <c r="Y36" s="8">
        <v>1.4E-3</v>
      </c>
      <c r="Z36" s="8">
        <v>2.8E-3</v>
      </c>
      <c r="AA36" s="8">
        <v>1.6999999999999999E-3</v>
      </c>
      <c r="AB36" s="8"/>
      <c r="AC36" s="8"/>
      <c r="AD36" s="8">
        <v>6.9999999999999999E-4</v>
      </c>
    </row>
    <row r="37" spans="1:30" x14ac:dyDescent="0.3">
      <c r="B37" s="5">
        <v>202502</v>
      </c>
      <c r="C37" s="5"/>
      <c r="D37" s="9">
        <v>2.8999999999999998E-3</v>
      </c>
      <c r="E37" s="9">
        <v>4.4000000000000003E-3</v>
      </c>
      <c r="F37" s="9">
        <v>2.7000000000000001E-3</v>
      </c>
      <c r="G37" s="9">
        <v>6.3E-3</v>
      </c>
      <c r="H37" s="9">
        <v>4.4999999999999997E-3</v>
      </c>
      <c r="I37" s="9">
        <v>4.4000000000000003E-3</v>
      </c>
      <c r="J37" s="9">
        <v>3.2000000000000002E-3</v>
      </c>
      <c r="K37" s="9">
        <v>2.7000000000000001E-3</v>
      </c>
      <c r="L37" s="9">
        <v>2.0999999999999999E-3</v>
      </c>
      <c r="M37" s="9">
        <v>3.3999999999999998E-3</v>
      </c>
      <c r="N37" s="9">
        <v>1.9E-3</v>
      </c>
      <c r="O37" s="9">
        <v>1.32E-2</v>
      </c>
      <c r="P37" s="9">
        <v>2.3999999999999998E-3</v>
      </c>
      <c r="Q37" s="9">
        <v>4.1999999999999997E-3</v>
      </c>
      <c r="R37" s="9">
        <v>1.6999999999999999E-3</v>
      </c>
      <c r="S37" s="9"/>
      <c r="T37" s="9">
        <v>2.5000000000000001E-3</v>
      </c>
      <c r="U37" s="9">
        <v>5.7999999999999996E-3</v>
      </c>
      <c r="V37" s="9">
        <v>3.5999999999999999E-3</v>
      </c>
      <c r="W37" s="9">
        <v>2.3E-3</v>
      </c>
      <c r="X37" s="9">
        <v>1.5E-3</v>
      </c>
      <c r="Y37" s="9">
        <v>1E-3</v>
      </c>
      <c r="Z37" s="9">
        <v>3.0000000000000001E-3</v>
      </c>
      <c r="AA37" s="9">
        <v>1.8E-3</v>
      </c>
      <c r="AB37" s="9"/>
      <c r="AC37" s="9"/>
      <c r="AD37" s="9">
        <v>1E-3</v>
      </c>
    </row>
    <row r="38" spans="1:30" x14ac:dyDescent="0.3">
      <c r="B38" s="5">
        <v>202503</v>
      </c>
      <c r="C38" s="5"/>
      <c r="D38" s="9">
        <v>2.8E-3</v>
      </c>
      <c r="E38" s="9">
        <v>4.8999999999999998E-3</v>
      </c>
      <c r="F38" s="9">
        <v>2.5999999999999999E-3</v>
      </c>
      <c r="G38" s="9">
        <v>5.8999999999999999E-3</v>
      </c>
      <c r="H38" s="9">
        <v>5.8999999999999999E-3</v>
      </c>
      <c r="I38" s="9">
        <v>3.5999999999999999E-3</v>
      </c>
      <c r="J38" s="9">
        <v>3.3999999999999998E-3</v>
      </c>
      <c r="K38" s="9">
        <v>3.2000000000000002E-3</v>
      </c>
      <c r="L38" s="9">
        <v>3.0000000000000001E-3</v>
      </c>
      <c r="M38" s="9">
        <v>2.2000000000000001E-3</v>
      </c>
      <c r="N38" s="9">
        <v>1.6000000000000001E-3</v>
      </c>
      <c r="O38" s="9">
        <v>9.7999999999999997E-3</v>
      </c>
      <c r="P38" s="9">
        <v>2.5000000000000001E-3</v>
      </c>
      <c r="Q38" s="9">
        <v>3.3E-3</v>
      </c>
      <c r="R38" s="9">
        <v>1.8E-3</v>
      </c>
      <c r="S38" s="9"/>
      <c r="T38" s="9">
        <v>2.5000000000000001E-3</v>
      </c>
      <c r="U38" s="9">
        <v>5.4999999999999997E-3</v>
      </c>
      <c r="V38" s="9">
        <v>3.5000000000000001E-3</v>
      </c>
      <c r="W38" s="9">
        <v>2.5000000000000001E-3</v>
      </c>
      <c r="X38" s="9">
        <v>1.6999999999999999E-3</v>
      </c>
      <c r="Y38" s="9">
        <v>6.9999999999999999E-4</v>
      </c>
      <c r="Z38" s="9">
        <v>2.8E-3</v>
      </c>
      <c r="AA38" s="9">
        <v>1.4E-3</v>
      </c>
      <c r="AB38" s="9"/>
      <c r="AC38" s="9"/>
      <c r="AD38" s="9">
        <v>1.6000000000000001E-3</v>
      </c>
    </row>
    <row r="39" spans="1:30" x14ac:dyDescent="0.3">
      <c r="B39" s="5">
        <v>202504</v>
      </c>
      <c r="C39" s="5"/>
      <c r="D39" s="9">
        <v>2.5999999999999999E-3</v>
      </c>
      <c r="E39" s="9">
        <v>5.1000000000000004E-3</v>
      </c>
      <c r="F39" s="9">
        <v>2.3999999999999998E-3</v>
      </c>
      <c r="G39" s="9">
        <v>5.8999999999999999E-3</v>
      </c>
      <c r="H39" s="9">
        <v>5.7999999999999996E-3</v>
      </c>
      <c r="I39" s="9">
        <v>6.3E-3</v>
      </c>
      <c r="J39" s="9">
        <v>5.0000000000000001E-3</v>
      </c>
      <c r="K39" s="9">
        <v>4.1000000000000003E-3</v>
      </c>
      <c r="L39" s="9">
        <v>1.9E-3</v>
      </c>
      <c r="M39" s="9">
        <v>2.3999999999999998E-3</v>
      </c>
      <c r="N39" s="9">
        <v>2.2000000000000001E-3</v>
      </c>
      <c r="O39" s="9">
        <v>7.3000000000000001E-3</v>
      </c>
      <c r="P39" s="9">
        <v>2.5000000000000001E-3</v>
      </c>
      <c r="Q39" s="9">
        <v>4.1000000000000003E-3</v>
      </c>
      <c r="R39" s="9">
        <v>1.6999999999999999E-3</v>
      </c>
      <c r="S39" s="9"/>
      <c r="T39" s="9">
        <v>2.5999999999999999E-3</v>
      </c>
      <c r="U39" s="9">
        <v>3.2000000000000002E-3</v>
      </c>
      <c r="V39" s="9">
        <v>3.7000000000000002E-3</v>
      </c>
      <c r="W39" s="9">
        <v>2.5000000000000001E-3</v>
      </c>
      <c r="X39" s="9">
        <v>1.6000000000000001E-3</v>
      </c>
      <c r="Y39" s="9">
        <v>8.9999999999999998E-4</v>
      </c>
      <c r="Z39" s="9">
        <v>3.5000000000000001E-3</v>
      </c>
      <c r="AA39" s="9">
        <v>1.6000000000000001E-3</v>
      </c>
      <c r="AB39" s="9"/>
      <c r="AC39" s="9"/>
      <c r="AD39" s="9">
        <v>8.9999999999999998E-4</v>
      </c>
    </row>
    <row r="40" spans="1:30" x14ac:dyDescent="0.3">
      <c r="B40" s="5">
        <v>202505</v>
      </c>
      <c r="C40" s="5"/>
      <c r="D40" s="9">
        <v>2.5999999999999999E-3</v>
      </c>
      <c r="E40" s="9">
        <v>4.1000000000000003E-3</v>
      </c>
      <c r="F40" s="9">
        <v>2.5000000000000001E-3</v>
      </c>
      <c r="G40" s="9">
        <v>5.3E-3</v>
      </c>
      <c r="H40" s="9">
        <v>4.7000000000000002E-3</v>
      </c>
      <c r="I40" s="9">
        <v>2.7000000000000001E-3</v>
      </c>
      <c r="J40" s="9">
        <v>1.6000000000000001E-3</v>
      </c>
      <c r="K40" s="9">
        <v>3.0000000000000001E-3</v>
      </c>
      <c r="L40" s="9">
        <v>2.8E-3</v>
      </c>
      <c r="M40" s="9">
        <v>2.5000000000000001E-3</v>
      </c>
      <c r="N40" s="9">
        <v>2.7000000000000001E-3</v>
      </c>
      <c r="O40" s="9">
        <v>4.5999999999999999E-3</v>
      </c>
      <c r="P40" s="9">
        <v>4.1000000000000003E-3</v>
      </c>
      <c r="Q40" s="9">
        <v>4.1000000000000003E-3</v>
      </c>
      <c r="R40" s="9">
        <v>1.6999999999999999E-3</v>
      </c>
      <c r="S40" s="9"/>
      <c r="T40" s="9">
        <v>2.3E-3</v>
      </c>
      <c r="U40" s="9">
        <v>2.2000000000000001E-3</v>
      </c>
      <c r="V40" s="9">
        <v>4.4000000000000003E-3</v>
      </c>
      <c r="W40" s="9">
        <v>2.3E-3</v>
      </c>
      <c r="X40" s="9">
        <v>1.6000000000000001E-3</v>
      </c>
      <c r="Y40" s="9">
        <v>8.9999999999999998E-4</v>
      </c>
      <c r="Z40" s="9">
        <v>3.0999999999999999E-3</v>
      </c>
      <c r="AA40" s="9">
        <v>1.5E-3</v>
      </c>
      <c r="AB40" s="9"/>
      <c r="AC40" s="9"/>
      <c r="AD40" s="9">
        <v>8.9999999999999998E-4</v>
      </c>
    </row>
    <row r="41" spans="1:30" x14ac:dyDescent="0.3">
      <c r="B41" s="5">
        <v>202506</v>
      </c>
      <c r="C41" s="5"/>
      <c r="D41" s="9">
        <v>1.9E-3</v>
      </c>
      <c r="E41" s="9">
        <v>4.4999999999999997E-3</v>
      </c>
      <c r="F41" s="9">
        <v>1.6999999999999999E-3</v>
      </c>
      <c r="G41" s="9">
        <v>5.8999999999999999E-3</v>
      </c>
      <c r="H41" s="9">
        <v>5.4000000000000003E-3</v>
      </c>
      <c r="I41" s="9">
        <v>4.4999999999999997E-3</v>
      </c>
      <c r="J41" s="9">
        <v>2.5000000000000001E-3</v>
      </c>
      <c r="K41" s="9">
        <v>3.0000000000000001E-3</v>
      </c>
      <c r="L41" s="9">
        <v>1.2999999999999999E-3</v>
      </c>
      <c r="M41" s="9">
        <v>3.7000000000000002E-3</v>
      </c>
      <c r="N41" s="9">
        <v>2.5000000000000001E-3</v>
      </c>
      <c r="O41" s="9">
        <v>4.0000000000000001E-3</v>
      </c>
      <c r="P41" s="9">
        <v>2.7000000000000001E-3</v>
      </c>
      <c r="Q41" s="9">
        <v>3.8E-3</v>
      </c>
      <c r="R41" s="9">
        <v>1.5E-3</v>
      </c>
      <c r="S41" s="9"/>
      <c r="T41" s="9">
        <v>1.6999999999999999E-3</v>
      </c>
      <c r="U41" s="9">
        <v>3.0000000000000001E-3</v>
      </c>
      <c r="V41" s="9">
        <v>3.5999999999999999E-3</v>
      </c>
      <c r="W41" s="9">
        <v>1.8E-3</v>
      </c>
      <c r="X41" s="9">
        <v>8.9999999999999998E-4</v>
      </c>
      <c r="Y41" s="9">
        <v>5.9999999999999995E-4</v>
      </c>
      <c r="Z41" s="9">
        <v>1.6999999999999999E-3</v>
      </c>
      <c r="AA41" s="9">
        <v>1E-3</v>
      </c>
      <c r="AB41" s="9">
        <v>0</v>
      </c>
      <c r="AC41" s="9">
        <v>0</v>
      </c>
      <c r="AD41" s="9">
        <v>5.0000000000000001E-4</v>
      </c>
    </row>
    <row r="42" spans="1:30" x14ac:dyDescent="0.3">
      <c r="B42" s="5">
        <v>202507</v>
      </c>
      <c r="C42" s="5"/>
      <c r="D42" s="9">
        <v>2.3999999999999998E-3</v>
      </c>
      <c r="E42" s="9">
        <v>4.5999999999999999E-3</v>
      </c>
      <c r="F42" s="9">
        <v>2.2000000000000001E-3</v>
      </c>
      <c r="G42" s="9">
        <v>5.7999999999999996E-3</v>
      </c>
      <c r="H42" s="9">
        <v>4.3E-3</v>
      </c>
      <c r="I42" s="9">
        <v>4.4999999999999997E-3</v>
      </c>
      <c r="J42" s="9">
        <v>2.5000000000000001E-3</v>
      </c>
      <c r="K42" s="9">
        <v>5.1000000000000004E-3</v>
      </c>
      <c r="L42" s="9">
        <v>3.8E-3</v>
      </c>
      <c r="M42" s="9">
        <v>8.0999999999999996E-3</v>
      </c>
      <c r="N42" s="9">
        <v>2.8E-3</v>
      </c>
      <c r="O42" s="9">
        <v>4.4999999999999997E-3</v>
      </c>
      <c r="P42" s="9">
        <v>2E-3</v>
      </c>
      <c r="Q42" s="9">
        <v>4.8999999999999998E-3</v>
      </c>
      <c r="R42" s="9">
        <v>1.4E-3</v>
      </c>
      <c r="S42" s="9"/>
      <c r="T42" s="9">
        <v>1.9E-3</v>
      </c>
      <c r="U42" s="9">
        <v>4.3E-3</v>
      </c>
      <c r="V42" s="9">
        <v>4.1999999999999997E-3</v>
      </c>
      <c r="W42" s="9">
        <v>4.4000000000000003E-3</v>
      </c>
      <c r="X42" s="9">
        <v>1.1000000000000001E-3</v>
      </c>
      <c r="Y42" s="9">
        <v>5.0000000000000001E-4</v>
      </c>
      <c r="Z42" s="9">
        <v>2.0999999999999999E-3</v>
      </c>
      <c r="AA42" s="9">
        <v>1.1999999999999999E-3</v>
      </c>
      <c r="AB42" s="9">
        <v>8.9999999999999998E-4</v>
      </c>
      <c r="AC42" s="9">
        <v>8.0000000000000004E-4</v>
      </c>
      <c r="AD42" s="9">
        <v>6.9999999999999999E-4</v>
      </c>
    </row>
    <row r="43" spans="1:30" x14ac:dyDescent="0.3">
      <c r="B43" s="5">
        <v>202508</v>
      </c>
      <c r="C43" s="5"/>
      <c r="D43" s="9">
        <v>2E-3</v>
      </c>
      <c r="E43" s="9">
        <v>4.4000000000000003E-3</v>
      </c>
      <c r="F43" s="9">
        <v>1.8E-3</v>
      </c>
      <c r="G43" s="9">
        <v>6.6E-3</v>
      </c>
      <c r="H43" s="9">
        <v>3.8E-3</v>
      </c>
      <c r="I43" s="9">
        <v>2.7000000000000001E-3</v>
      </c>
      <c r="J43" s="9">
        <v>3.2000000000000002E-3</v>
      </c>
      <c r="K43" s="9">
        <v>4.1999999999999997E-3</v>
      </c>
      <c r="L43" s="9">
        <v>2.0999999999999999E-3</v>
      </c>
      <c r="M43" s="9">
        <v>2.5999999999999999E-3</v>
      </c>
      <c r="N43" s="9">
        <v>2.8999999999999998E-3</v>
      </c>
      <c r="O43" s="9">
        <v>5.1999999999999998E-3</v>
      </c>
      <c r="P43" s="9">
        <v>1.9E-3</v>
      </c>
      <c r="Q43" s="9">
        <v>2.3999999999999998E-3</v>
      </c>
      <c r="R43" s="9">
        <v>1.2999999999999999E-3</v>
      </c>
      <c r="S43" s="9"/>
      <c r="T43" s="9">
        <v>1.9E-3</v>
      </c>
      <c r="U43" s="9">
        <v>3.0999999999999999E-3</v>
      </c>
      <c r="V43" s="9">
        <v>3.2000000000000002E-3</v>
      </c>
      <c r="W43" s="9">
        <v>2.3E-3</v>
      </c>
      <c r="X43" s="9">
        <v>1.1000000000000001E-3</v>
      </c>
      <c r="Y43" s="9">
        <v>5.0000000000000001E-4</v>
      </c>
      <c r="Z43" s="9">
        <v>2.8E-3</v>
      </c>
      <c r="AA43" s="9">
        <v>1.2999999999999999E-3</v>
      </c>
      <c r="AB43" s="9">
        <v>1.1999999999999999E-3</v>
      </c>
      <c r="AC43" s="9">
        <v>6.9999999999999999E-4</v>
      </c>
      <c r="AD43" s="9">
        <v>5.9999999999999995E-4</v>
      </c>
    </row>
    <row r="44" spans="1:30" x14ac:dyDescent="0.3">
      <c r="B44" s="5">
        <v>202509</v>
      </c>
      <c r="C44" s="5"/>
      <c r="D44" s="9">
        <v>3.0000000000000001E-3</v>
      </c>
      <c r="E44" s="9">
        <v>8.8000000000000005E-3</v>
      </c>
      <c r="F44" s="9">
        <v>2.5000000000000001E-3</v>
      </c>
      <c r="G44" s="9">
        <v>1.7299999999999999E-2</v>
      </c>
      <c r="H44" s="9">
        <v>5.7000000000000002E-3</v>
      </c>
      <c r="I44" s="9">
        <v>9.1999999999999998E-3</v>
      </c>
      <c r="J44" s="9">
        <v>5.1000000000000004E-3</v>
      </c>
      <c r="K44" s="9">
        <v>4.4000000000000003E-3</v>
      </c>
      <c r="L44" s="9">
        <v>3.8999999999999998E-3</v>
      </c>
      <c r="M44" s="9">
        <v>2.0999999999999999E-3</v>
      </c>
      <c r="N44" s="9">
        <v>5.1999999999999998E-3</v>
      </c>
      <c r="O44" s="9">
        <v>5.0000000000000001E-3</v>
      </c>
      <c r="P44" s="9">
        <v>2.7000000000000001E-3</v>
      </c>
      <c r="Q44" s="9">
        <v>4.8999999999999998E-3</v>
      </c>
      <c r="R44" s="9">
        <v>2E-3</v>
      </c>
      <c r="S44" s="9"/>
      <c r="T44" s="9">
        <v>2.5000000000000001E-3</v>
      </c>
      <c r="U44" s="9">
        <v>3.0999999999999999E-3</v>
      </c>
      <c r="V44" s="9">
        <v>4.5999999999999999E-3</v>
      </c>
      <c r="W44" s="9">
        <v>2.8E-3</v>
      </c>
      <c r="X44" s="9">
        <v>1.6999999999999999E-3</v>
      </c>
      <c r="Y44" s="9">
        <v>1E-3</v>
      </c>
      <c r="Z44" s="9">
        <v>3.5999999999999999E-3</v>
      </c>
      <c r="AA44" s="9">
        <v>1.6000000000000001E-3</v>
      </c>
      <c r="AB44" s="9">
        <v>2.3E-3</v>
      </c>
      <c r="AC44" s="9">
        <v>1.1999999999999999E-3</v>
      </c>
      <c r="AD44" s="9">
        <v>1.1999999999999999E-3</v>
      </c>
    </row>
    <row r="45" spans="1:30" x14ac:dyDescent="0.3">
      <c r="B45" s="5">
        <v>202510</v>
      </c>
      <c r="C45" s="5"/>
      <c r="D45" s="9">
        <v>2.8E-3</v>
      </c>
      <c r="E45" s="9">
        <v>8.0000000000000002E-3</v>
      </c>
      <c r="F45" s="9">
        <v>2.3999999999999998E-3</v>
      </c>
      <c r="G45" s="9">
        <v>1.47E-2</v>
      </c>
      <c r="H45" s="9">
        <v>7.1000000000000004E-3</v>
      </c>
      <c r="I45" s="9">
        <v>1.12E-2</v>
      </c>
      <c r="J45" s="9">
        <v>2.8E-3</v>
      </c>
      <c r="K45" s="9">
        <v>2.0999999999999999E-3</v>
      </c>
      <c r="L45" s="9">
        <v>3.0000000000000001E-3</v>
      </c>
      <c r="M45" s="9">
        <v>2.5000000000000001E-3</v>
      </c>
      <c r="N45" s="9">
        <v>3.3999999999999998E-3</v>
      </c>
      <c r="O45" s="9">
        <v>5.5999999999999999E-3</v>
      </c>
      <c r="P45" s="9">
        <v>2.8999999999999998E-3</v>
      </c>
      <c r="Q45" s="9">
        <v>4.1999999999999997E-3</v>
      </c>
      <c r="R45" s="9">
        <v>2.3E-3</v>
      </c>
      <c r="S45" s="9"/>
      <c r="T45" s="9">
        <v>2.5000000000000001E-3</v>
      </c>
      <c r="U45" s="9">
        <v>2.5999999999999999E-3</v>
      </c>
      <c r="V45" s="9">
        <v>3.3999999999999998E-3</v>
      </c>
      <c r="W45" s="9">
        <v>2.5000000000000001E-3</v>
      </c>
      <c r="X45" s="9">
        <v>2E-3</v>
      </c>
      <c r="Y45" s="9">
        <v>1E-3</v>
      </c>
      <c r="Z45" s="9">
        <v>3.5000000000000001E-3</v>
      </c>
      <c r="AA45" s="9">
        <v>1.6999999999999999E-3</v>
      </c>
      <c r="AB45" s="9">
        <v>1.6999999999999999E-3</v>
      </c>
      <c r="AC45" s="9">
        <v>1.6000000000000001E-3</v>
      </c>
      <c r="AD45" s="9">
        <v>1.2999999999999999E-3</v>
      </c>
    </row>
    <row r="46" spans="1:30" x14ac:dyDescent="0.3">
      <c r="B46" s="5">
        <v>202511</v>
      </c>
      <c r="C46" s="5"/>
      <c r="D46" s="9">
        <v>2.3E-3</v>
      </c>
      <c r="E46" s="9">
        <v>3.5999999999999999E-3</v>
      </c>
      <c r="F46" s="9">
        <v>2.2000000000000001E-3</v>
      </c>
      <c r="G46" s="9">
        <v>5.0000000000000001E-3</v>
      </c>
      <c r="H46" s="9">
        <v>4.1000000000000003E-3</v>
      </c>
      <c r="I46" s="9">
        <v>6.6E-3</v>
      </c>
      <c r="J46" s="9">
        <v>1.9E-3</v>
      </c>
      <c r="K46" s="9">
        <v>2.0999999999999999E-3</v>
      </c>
      <c r="L46" s="9">
        <v>1.2999999999999999E-3</v>
      </c>
      <c r="M46" s="9">
        <v>2E-3</v>
      </c>
      <c r="N46" s="9">
        <v>2.5999999999999999E-3</v>
      </c>
      <c r="O46" s="9">
        <v>3.5000000000000001E-3</v>
      </c>
      <c r="P46" s="9">
        <v>2.5000000000000001E-3</v>
      </c>
      <c r="Q46" s="9">
        <v>3.5000000000000001E-3</v>
      </c>
      <c r="R46" s="9">
        <v>2.3E-3</v>
      </c>
      <c r="S46" s="9"/>
      <c r="T46" s="9">
        <v>3.0000000000000001E-3</v>
      </c>
      <c r="U46" s="9">
        <v>2.3E-3</v>
      </c>
      <c r="V46" s="9">
        <v>3.0999999999999999E-3</v>
      </c>
      <c r="W46" s="9">
        <v>2.8E-3</v>
      </c>
      <c r="X46" s="9">
        <v>1.9E-3</v>
      </c>
      <c r="Y46" s="9">
        <v>8.9999999999999998E-4</v>
      </c>
      <c r="Z46" s="9">
        <v>3.5000000000000001E-3</v>
      </c>
      <c r="AA46" s="9">
        <v>1.5E-3</v>
      </c>
      <c r="AB46" s="9">
        <v>1.1000000000000001E-3</v>
      </c>
      <c r="AC46" s="9">
        <v>1.1999999999999999E-3</v>
      </c>
      <c r="AD46" s="9">
        <v>1.4E-3</v>
      </c>
    </row>
    <row r="47" spans="1:30" x14ac:dyDescent="0.3">
      <c r="B47" s="5">
        <v>202512</v>
      </c>
      <c r="C47" s="5"/>
      <c r="D47" s="9">
        <v>2.5000000000000001E-3</v>
      </c>
      <c r="E47" s="9">
        <v>3.0999999999999999E-3</v>
      </c>
      <c r="F47" s="9">
        <v>2.3999999999999998E-3</v>
      </c>
      <c r="G47" s="9">
        <v>3.3999999999999998E-3</v>
      </c>
      <c r="H47" s="9">
        <v>3.2000000000000002E-3</v>
      </c>
      <c r="I47" s="9">
        <v>4.7000000000000002E-3</v>
      </c>
      <c r="J47" s="9">
        <v>8.9999999999999998E-4</v>
      </c>
      <c r="K47" s="9">
        <v>4.1999999999999997E-3</v>
      </c>
      <c r="L47" s="9">
        <v>2.5999999999999999E-3</v>
      </c>
      <c r="M47" s="9">
        <v>1.9E-3</v>
      </c>
      <c r="N47" s="9">
        <v>3.2000000000000002E-3</v>
      </c>
      <c r="O47" s="9">
        <v>4.4000000000000003E-3</v>
      </c>
      <c r="P47" s="9">
        <v>3.7000000000000002E-3</v>
      </c>
      <c r="Q47" s="9">
        <v>3.2000000000000002E-3</v>
      </c>
      <c r="R47" s="9">
        <v>2.5999999999999999E-3</v>
      </c>
      <c r="S47" s="9"/>
      <c r="T47" s="9">
        <v>3.3999999999999998E-3</v>
      </c>
      <c r="U47" s="9">
        <v>2.5000000000000001E-3</v>
      </c>
      <c r="V47" s="9">
        <v>3.0999999999999999E-3</v>
      </c>
      <c r="W47" s="9">
        <v>3.2000000000000002E-3</v>
      </c>
      <c r="X47" s="9">
        <v>1.5E-3</v>
      </c>
      <c r="Y47" s="9">
        <v>8.0000000000000004E-4</v>
      </c>
      <c r="Z47" s="9">
        <v>3.8999999999999998E-3</v>
      </c>
      <c r="AA47" s="9">
        <v>3.5999999999999999E-3</v>
      </c>
      <c r="AB47" s="9">
        <v>1.1000000000000001E-3</v>
      </c>
      <c r="AC47" s="9">
        <v>1E-3</v>
      </c>
      <c r="AD47" s="9">
        <v>8.9999999999999998E-4</v>
      </c>
    </row>
    <row r="48" spans="1:30" x14ac:dyDescent="0.3">
      <c r="B48" s="5">
        <v>202513</v>
      </c>
      <c r="C48" s="5"/>
      <c r="D48" s="9">
        <v>2.5000000000000001E-3</v>
      </c>
      <c r="E48" s="9">
        <v>3.0000000000000001E-3</v>
      </c>
      <c r="F48" s="9">
        <v>2.5000000000000001E-3</v>
      </c>
      <c r="G48" s="9">
        <v>3.0000000000000001E-3</v>
      </c>
      <c r="H48" s="9">
        <v>2.8999999999999998E-3</v>
      </c>
      <c r="I48" s="9">
        <v>4.7000000000000002E-3</v>
      </c>
      <c r="J48" s="9">
        <v>2.5999999999999999E-3</v>
      </c>
      <c r="K48" s="9">
        <v>4.4999999999999997E-3</v>
      </c>
      <c r="L48" s="9">
        <v>1.6999999999999999E-3</v>
      </c>
      <c r="M48" s="9">
        <v>2E-3</v>
      </c>
      <c r="N48" s="9">
        <v>3.5999999999999999E-3</v>
      </c>
      <c r="O48" s="9">
        <v>5.3E-3</v>
      </c>
      <c r="P48" s="9">
        <v>2.5000000000000001E-3</v>
      </c>
      <c r="Q48" s="9">
        <v>3.8E-3</v>
      </c>
      <c r="R48" s="9">
        <v>3.0000000000000001E-3</v>
      </c>
      <c r="S48" s="9"/>
      <c r="T48" s="9">
        <v>3.5999999999999999E-3</v>
      </c>
      <c r="U48" s="9">
        <v>2.5000000000000001E-3</v>
      </c>
      <c r="V48" s="9">
        <v>3.5000000000000001E-3</v>
      </c>
      <c r="W48" s="9">
        <v>3.0999999999999999E-3</v>
      </c>
      <c r="X48" s="9">
        <v>2E-3</v>
      </c>
      <c r="Y48" s="9">
        <v>1.1000000000000001E-3</v>
      </c>
      <c r="Z48" s="9">
        <v>3.7000000000000002E-3</v>
      </c>
      <c r="AA48" s="9">
        <v>1.8E-3</v>
      </c>
      <c r="AB48" s="9">
        <v>1.6999999999999999E-3</v>
      </c>
      <c r="AC48" s="9">
        <v>8.9999999999999998E-4</v>
      </c>
      <c r="AD48" s="9">
        <v>1E-3</v>
      </c>
    </row>
    <row r="49" spans="2:30" x14ac:dyDescent="0.3">
      <c r="B49" s="5">
        <v>202514</v>
      </c>
      <c r="C49" s="5"/>
      <c r="D49" s="9">
        <v>2.5999999999999999E-3</v>
      </c>
      <c r="E49" s="9">
        <v>4.1999999999999997E-3</v>
      </c>
      <c r="F49" s="9">
        <v>2.5000000000000001E-3</v>
      </c>
      <c r="G49" s="9">
        <v>4.8999999999999998E-3</v>
      </c>
      <c r="H49" s="9">
        <v>3.2000000000000002E-3</v>
      </c>
      <c r="I49" s="9">
        <v>2.8E-3</v>
      </c>
      <c r="J49" s="9">
        <v>6.1000000000000004E-3</v>
      </c>
      <c r="K49" s="9">
        <v>7.1000000000000004E-3</v>
      </c>
      <c r="L49" s="9">
        <v>8.9999999999999998E-4</v>
      </c>
      <c r="M49" s="9">
        <v>2.0999999999999999E-3</v>
      </c>
      <c r="N49" s="9">
        <v>3.7000000000000002E-3</v>
      </c>
      <c r="O49" s="9">
        <v>3.8999999999999998E-3</v>
      </c>
      <c r="P49" s="9">
        <v>2.5000000000000001E-3</v>
      </c>
      <c r="Q49" s="9">
        <v>-1</v>
      </c>
      <c r="R49" s="9">
        <v>2.8E-3</v>
      </c>
      <c r="S49" s="9"/>
      <c r="T49" s="9">
        <v>3.5999999999999999E-3</v>
      </c>
      <c r="U49" s="9">
        <v>2.0999999999999999E-3</v>
      </c>
      <c r="V49" s="9">
        <v>3.2000000000000002E-3</v>
      </c>
      <c r="W49" s="9">
        <v>3.2000000000000002E-3</v>
      </c>
      <c r="X49" s="9">
        <v>2.3999999999999998E-3</v>
      </c>
      <c r="Y49" s="9">
        <v>1.1999999999999999E-3</v>
      </c>
      <c r="Z49" s="9">
        <v>4.7999999999999996E-3</v>
      </c>
      <c r="AA49" s="9">
        <v>1.6999999999999999E-3</v>
      </c>
      <c r="AB49" s="9">
        <v>1.6999999999999999E-3</v>
      </c>
      <c r="AC49" s="9">
        <v>1.1000000000000001E-3</v>
      </c>
      <c r="AD49" s="9">
        <v>1.1000000000000001E-3</v>
      </c>
    </row>
    <row r="50" spans="2:30" x14ac:dyDescent="0.3">
      <c r="B50" s="5">
        <v>202515</v>
      </c>
      <c r="C50" s="5"/>
      <c r="D50" s="9">
        <v>2.5000000000000001E-3</v>
      </c>
      <c r="E50" s="9">
        <v>3.3E-3</v>
      </c>
      <c r="F50" s="9">
        <v>2.3999999999999998E-3</v>
      </c>
      <c r="G50" s="9">
        <v>5.1000000000000004E-3</v>
      </c>
      <c r="H50" s="9">
        <v>2.8E-3</v>
      </c>
      <c r="I50" s="9">
        <v>1.9E-3</v>
      </c>
      <c r="J50" s="9">
        <v>2.3999999999999998E-3</v>
      </c>
      <c r="K50" s="9">
        <v>3.0999999999999999E-3</v>
      </c>
      <c r="L50" s="9">
        <v>1.5E-3</v>
      </c>
      <c r="M50" s="9">
        <v>1.8E-3</v>
      </c>
      <c r="N50" s="9"/>
      <c r="O50" s="9">
        <v>5.3E-3</v>
      </c>
      <c r="P50" s="9">
        <v>2.5000000000000001E-3</v>
      </c>
      <c r="Q50" s="9"/>
      <c r="R50" s="9">
        <v>2.5000000000000001E-3</v>
      </c>
      <c r="S50" s="9"/>
      <c r="T50" s="9">
        <v>3.7000000000000002E-3</v>
      </c>
      <c r="U50" s="9">
        <v>2.5999999999999999E-3</v>
      </c>
      <c r="V50" s="9">
        <v>2.8999999999999998E-3</v>
      </c>
      <c r="W50" s="9">
        <v>3.5999999999999999E-3</v>
      </c>
      <c r="X50" s="9">
        <v>2.5999999999999999E-3</v>
      </c>
      <c r="Y50" s="9">
        <v>8.0000000000000004E-4</v>
      </c>
      <c r="Z50" s="9">
        <v>3.7000000000000002E-3</v>
      </c>
      <c r="AA50" s="9">
        <v>1.9E-3</v>
      </c>
      <c r="AB50" s="9">
        <v>1.4E-3</v>
      </c>
      <c r="AC50" s="9">
        <v>8.9999999999999998E-4</v>
      </c>
      <c r="AD50" s="9">
        <v>1.4E-3</v>
      </c>
    </row>
    <row r="51" spans="2:30" x14ac:dyDescent="0.3">
      <c r="B51" s="5">
        <v>202516</v>
      </c>
      <c r="C51" s="5"/>
      <c r="D51" s="9">
        <v>2.7000000000000001E-3</v>
      </c>
      <c r="E51" s="9">
        <v>2.8E-3</v>
      </c>
      <c r="F51" s="9">
        <v>2.5999999999999999E-3</v>
      </c>
      <c r="G51" s="9">
        <v>3.8999999999999998E-3</v>
      </c>
      <c r="H51" s="9">
        <v>2.5000000000000001E-3</v>
      </c>
      <c r="I51" s="9">
        <v>2.8999999999999998E-3</v>
      </c>
      <c r="J51" s="9">
        <v>1.9E-3</v>
      </c>
      <c r="K51" s="9">
        <v>2.2000000000000001E-3</v>
      </c>
      <c r="L51" s="9">
        <v>2.5999999999999999E-3</v>
      </c>
      <c r="M51" s="9">
        <v>1.9E-3</v>
      </c>
      <c r="N51" s="9"/>
      <c r="O51" s="9">
        <v>5.0000000000000001E-3</v>
      </c>
      <c r="P51" s="9">
        <v>2.5000000000000001E-3</v>
      </c>
      <c r="Q51" s="9"/>
      <c r="R51" s="9">
        <v>2.8E-3</v>
      </c>
      <c r="S51" s="9"/>
      <c r="T51" s="9">
        <v>4.0000000000000001E-3</v>
      </c>
      <c r="U51" s="9">
        <v>2.3E-3</v>
      </c>
      <c r="V51" s="9">
        <v>3.0999999999999999E-3</v>
      </c>
      <c r="W51" s="9">
        <v>3.5999999999999999E-3</v>
      </c>
      <c r="X51" s="9">
        <v>3.3999999999999998E-3</v>
      </c>
      <c r="Y51" s="9">
        <v>1.1999999999999999E-3</v>
      </c>
      <c r="Z51" s="9">
        <v>4.3E-3</v>
      </c>
      <c r="AA51" s="9">
        <v>2.2000000000000001E-3</v>
      </c>
      <c r="AB51" s="9">
        <v>1.6000000000000001E-3</v>
      </c>
      <c r="AC51" s="9">
        <v>1.2999999999999999E-3</v>
      </c>
      <c r="AD51" s="9">
        <v>1.2999999999999999E-3</v>
      </c>
    </row>
    <row r="52" spans="2:30" x14ac:dyDescent="0.3">
      <c r="B52" s="5">
        <v>202517</v>
      </c>
      <c r="C52" s="5"/>
      <c r="D52" s="9">
        <v>2.8E-3</v>
      </c>
      <c r="E52" s="9">
        <v>2.5999999999999999E-3</v>
      </c>
      <c r="F52" s="9">
        <v>2.8E-3</v>
      </c>
      <c r="G52" s="9">
        <v>2.8E-3</v>
      </c>
      <c r="H52" s="9">
        <v>2.8999999999999998E-3</v>
      </c>
      <c r="I52" s="9">
        <v>3.8E-3</v>
      </c>
      <c r="J52" s="9">
        <v>1.4E-3</v>
      </c>
      <c r="K52" s="9">
        <v>2.3999999999999998E-3</v>
      </c>
      <c r="L52" s="9">
        <v>1.6999999999999999E-3</v>
      </c>
      <c r="M52" s="9">
        <v>1.2999999999999999E-3</v>
      </c>
      <c r="N52" s="9"/>
      <c r="O52" s="9">
        <v>8.2000000000000007E-3</v>
      </c>
      <c r="P52" s="9">
        <v>3.0999999999999999E-3</v>
      </c>
      <c r="Q52" s="9"/>
      <c r="R52" s="9">
        <v>2.8E-3</v>
      </c>
      <c r="S52" s="9"/>
      <c r="T52" s="9">
        <v>3.8999999999999998E-3</v>
      </c>
      <c r="U52" s="9">
        <v>2.8999999999999998E-3</v>
      </c>
      <c r="V52" s="9">
        <v>3.5999999999999999E-3</v>
      </c>
      <c r="W52" s="9">
        <v>2.7000000000000001E-3</v>
      </c>
      <c r="X52" s="9">
        <v>3.3E-3</v>
      </c>
      <c r="Y52" s="9">
        <v>8.9999999999999998E-4</v>
      </c>
      <c r="Z52" s="9">
        <v>4.1999999999999997E-3</v>
      </c>
      <c r="AA52" s="9">
        <v>2E-3</v>
      </c>
      <c r="AB52" s="9">
        <v>2.2000000000000001E-3</v>
      </c>
      <c r="AC52" s="9">
        <v>8.9999999999999998E-4</v>
      </c>
      <c r="AD52" s="9">
        <v>1.2999999999999999E-3</v>
      </c>
    </row>
    <row r="53" spans="2:30" x14ac:dyDescent="0.3">
      <c r="B53" s="5">
        <v>202518</v>
      </c>
      <c r="C53" s="5"/>
      <c r="D53" s="9">
        <v>3.7000000000000002E-3</v>
      </c>
      <c r="E53" s="9">
        <v>2.5999999999999999E-3</v>
      </c>
      <c r="F53" s="9">
        <v>3.7000000000000002E-3</v>
      </c>
      <c r="G53" s="9">
        <v>3.0999999999999999E-3</v>
      </c>
      <c r="H53" s="9">
        <v>2.2000000000000001E-3</v>
      </c>
      <c r="I53" s="9">
        <v>8.6999999999999994E-3</v>
      </c>
      <c r="J53" s="9">
        <v>2.5999999999999999E-3</v>
      </c>
      <c r="K53" s="9">
        <v>2.3999999999999998E-3</v>
      </c>
      <c r="L53" s="9">
        <v>1.6999999999999999E-3</v>
      </c>
      <c r="M53" s="9">
        <v>1.4E-3</v>
      </c>
      <c r="N53" s="9"/>
      <c r="O53" s="9">
        <v>4.8999999999999998E-3</v>
      </c>
      <c r="P53" s="9">
        <v>4.1999999999999997E-3</v>
      </c>
      <c r="Q53" s="9"/>
      <c r="R53" s="9">
        <v>3.0000000000000001E-3</v>
      </c>
      <c r="S53" s="9"/>
      <c r="T53" s="9">
        <v>4.1999999999999997E-3</v>
      </c>
      <c r="U53" s="9">
        <v>2.0999999999999999E-3</v>
      </c>
      <c r="V53" s="9">
        <v>3.3E-3</v>
      </c>
      <c r="W53" s="9">
        <v>3.7000000000000002E-3</v>
      </c>
      <c r="X53" s="9">
        <v>4.1999999999999997E-3</v>
      </c>
      <c r="Y53" s="9">
        <v>9.1999999999999998E-3</v>
      </c>
      <c r="Z53" s="9">
        <v>9.4000000000000004E-3</v>
      </c>
      <c r="AA53" s="9">
        <v>1.9E-3</v>
      </c>
      <c r="AB53" s="9">
        <v>1.8E-3</v>
      </c>
      <c r="AC53" s="9">
        <v>1.6000000000000001E-3</v>
      </c>
      <c r="AD53" s="9">
        <v>1.8E-3</v>
      </c>
    </row>
    <row r="54" spans="2:30" ht="15" thickBot="1" x14ac:dyDescent="0.35">
      <c r="B54" s="5">
        <v>202519</v>
      </c>
      <c r="C54" s="5"/>
      <c r="D54" s="9">
        <v>2.8999999999999998E-3</v>
      </c>
      <c r="E54" s="9">
        <v>2.3E-3</v>
      </c>
      <c r="F54" s="9">
        <v>2.8999999999999998E-3</v>
      </c>
      <c r="G54" s="9">
        <v>2.5000000000000001E-3</v>
      </c>
      <c r="H54" s="9">
        <v>2.0999999999999999E-3</v>
      </c>
      <c r="I54" s="9">
        <v>1E-3</v>
      </c>
      <c r="J54" s="9">
        <v>2.0999999999999999E-3</v>
      </c>
      <c r="K54" s="9">
        <v>4.3E-3</v>
      </c>
      <c r="L54" s="9">
        <v>1.2999999999999999E-3</v>
      </c>
      <c r="M54" s="9">
        <v>1.6999999999999999E-3</v>
      </c>
      <c r="N54" s="9"/>
      <c r="O54" s="9">
        <v>5.1999999999999998E-3</v>
      </c>
      <c r="P54" s="9">
        <v>3.2000000000000002E-3</v>
      </c>
      <c r="Q54" s="9"/>
      <c r="R54" s="9">
        <v>2.5999999999999999E-3</v>
      </c>
      <c r="S54" s="9">
        <v>1.1999999999999999E-3</v>
      </c>
      <c r="T54" s="9">
        <v>3.8999999999999998E-3</v>
      </c>
      <c r="U54" s="9">
        <v>3.3999999999999998E-3</v>
      </c>
      <c r="V54" s="9">
        <v>4.1000000000000003E-3</v>
      </c>
      <c r="W54" s="9">
        <v>3.5000000000000001E-3</v>
      </c>
      <c r="X54" s="9">
        <v>4.4999999999999997E-3</v>
      </c>
      <c r="Y54" s="9">
        <v>2E-3</v>
      </c>
      <c r="Z54" s="9">
        <v>4.8999999999999998E-3</v>
      </c>
      <c r="AA54" s="9">
        <v>3.0000000000000001E-3</v>
      </c>
      <c r="AB54" s="9">
        <v>1.9E-3</v>
      </c>
      <c r="AC54" s="9">
        <v>1E-3</v>
      </c>
      <c r="AD54" s="9">
        <v>2E-3</v>
      </c>
    </row>
    <row r="55" spans="2:30" ht="15" thickBot="1" x14ac:dyDescent="0.35">
      <c r="B55" s="22" t="s">
        <v>82</v>
      </c>
      <c r="C55" s="22"/>
      <c r="D55" s="24">
        <f t="shared" ref="D55:AD55" si="23">AVERAGE(D36:D54)</f>
        <v>2.6473684210526318E-3</v>
      </c>
      <c r="E55" s="24">
        <f t="shared" si="23"/>
        <v>4.2842105263157897E-3</v>
      </c>
      <c r="F55" s="24">
        <f t="shared" si="23"/>
        <v>2.4947368421052627E-3</v>
      </c>
      <c r="G55" s="24">
        <f t="shared" si="23"/>
        <v>6.0631578947368432E-3</v>
      </c>
      <c r="H55" s="24">
        <f t="shared" si="23"/>
        <v>4.08421052631579E-3</v>
      </c>
      <c r="I55" s="24">
        <f t="shared" si="23"/>
        <v>4.721052631578947E-3</v>
      </c>
      <c r="J55" s="24">
        <f t="shared" si="23"/>
        <v>2.8631578947368418E-3</v>
      </c>
      <c r="K55" s="24">
        <f t="shared" si="23"/>
        <v>3.6263157894736837E-3</v>
      </c>
      <c r="L55" s="24">
        <f t="shared" si="23"/>
        <v>2.1631578947368425E-3</v>
      </c>
      <c r="M55" s="24">
        <f t="shared" si="23"/>
        <v>2.5263157894736842E-3</v>
      </c>
      <c r="N55" s="24">
        <f t="shared" si="23"/>
        <v>2.8785714285714287E-3</v>
      </c>
      <c r="O55" s="24">
        <f t="shared" si="23"/>
        <v>5.8263157894736847E-3</v>
      </c>
      <c r="P55" s="24">
        <f t="shared" si="23"/>
        <v>2.7789473684210531E-3</v>
      </c>
      <c r="Q55" s="24">
        <f t="shared" si="23"/>
        <v>-6.7871428571428569E-2</v>
      </c>
      <c r="R55" s="24">
        <f t="shared" si="23"/>
        <v>2.1842105263157894E-3</v>
      </c>
      <c r="S55" s="24">
        <f t="shared" si="23"/>
        <v>1.1999999999999999E-3</v>
      </c>
      <c r="T55" s="24">
        <f t="shared" si="23"/>
        <v>2.9578947368421055E-3</v>
      </c>
      <c r="U55" s="24">
        <f t="shared" si="23"/>
        <v>3.1999999999999993E-3</v>
      </c>
      <c r="V55" s="24">
        <f t="shared" si="23"/>
        <v>3.7052631578947371E-3</v>
      </c>
      <c r="W55" s="24">
        <f t="shared" si="23"/>
        <v>2.9210526315789475E-3</v>
      </c>
      <c r="X55" s="24">
        <f t="shared" si="23"/>
        <v>2.1315789473684205E-3</v>
      </c>
      <c r="Y55" s="24">
        <f t="shared" si="23"/>
        <v>1.4E-3</v>
      </c>
      <c r="Z55" s="24">
        <f t="shared" si="23"/>
        <v>3.7526315789473685E-3</v>
      </c>
      <c r="AA55" s="24">
        <f t="shared" si="23"/>
        <v>1.8105263157894736E-3</v>
      </c>
      <c r="AB55" s="24">
        <f t="shared" si="23"/>
        <v>1.4714285714285714E-3</v>
      </c>
      <c r="AC55" s="24">
        <f t="shared" si="23"/>
        <v>1.0142857142857141E-3</v>
      </c>
      <c r="AD55" s="24">
        <f t="shared" si="23"/>
        <v>1.1368421052631579E-3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T57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8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45788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45794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122</v>
      </c>
      <c r="C6" s="7">
        <v>12</v>
      </c>
      <c r="D6" s="7">
        <v>7</v>
      </c>
      <c r="E6" s="7">
        <v>1197</v>
      </c>
      <c r="F6" s="7">
        <v>1033</v>
      </c>
      <c r="G6" s="7">
        <v>3</v>
      </c>
      <c r="H6" s="9">
        <f t="shared" ref="H6:H12" si="0">IFERROR(G6/F6,0)</f>
        <v>2.9041626331074541E-3</v>
      </c>
      <c r="I6" s="9">
        <f>IFERROR((1197-F6)/1197,0)</f>
        <v>0.13700918964076858</v>
      </c>
      <c r="J6" s="7">
        <v>4380</v>
      </c>
      <c r="K6" s="11">
        <f t="shared" ref="K6:K12" si="1">IFERROR(J6/D6/F6*100,0)</f>
        <v>60.572534919098317</v>
      </c>
      <c r="L6" s="11">
        <f>K6-62.8792</f>
        <v>-2.3066650809016807</v>
      </c>
      <c r="M6" s="11">
        <v>86</v>
      </c>
      <c r="N6" s="11">
        <f t="shared" ref="N6:N12" si="2">K6-M6</f>
        <v>-25.427465080901683</v>
      </c>
      <c r="O6" s="11">
        <f>IFERROR(137570/1197,0)</f>
        <v>114.92898913951545</v>
      </c>
      <c r="P6" s="11">
        <v>0</v>
      </c>
      <c r="Q6" s="11">
        <f t="shared" ref="Q6:Q11" si="3">IFERROR(O6-P6,0)</f>
        <v>114.92898913951545</v>
      </c>
      <c r="R6" s="7">
        <v>938</v>
      </c>
      <c r="S6" s="11">
        <f t="shared" ref="S6:S11" si="4">IFERROR(R6/D6/F6*1000,0)</f>
        <v>129.71926427879961</v>
      </c>
      <c r="T6" s="13">
        <f t="shared" ref="T6:T12" si="5">IFERROR(J6/R6,0)</f>
        <v>4.6695095948827294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214.15525114155253</v>
      </c>
      <c r="Z6" s="11">
        <f t="shared" ref="Z6:Z12" si="9">IFERROR(Y6*X6/1000,0)</f>
        <v>63.578410958904108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26</v>
      </c>
      <c r="AG6" s="7">
        <f t="shared" ref="AG6:AG11" si="10">IF(M6=0,0,IFERROR(N6/100*7*F6,0))</f>
        <v>-1838.6600000000008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82</v>
      </c>
      <c r="C7" s="7">
        <v>12</v>
      </c>
      <c r="D7" s="7">
        <v>7</v>
      </c>
      <c r="E7" s="7">
        <v>14440</v>
      </c>
      <c r="F7" s="7">
        <v>11309</v>
      </c>
      <c r="G7" s="7">
        <v>32</v>
      </c>
      <c r="H7" s="9">
        <f t="shared" si="0"/>
        <v>2.829604739587939E-3</v>
      </c>
      <c r="I7" s="9">
        <f>IFERROR((14440-F7)/14440,0)</f>
        <v>0.21682825484764542</v>
      </c>
      <c r="J7" s="7">
        <v>60600</v>
      </c>
      <c r="K7" s="11">
        <f t="shared" si="1"/>
        <v>76.550913937066554</v>
      </c>
      <c r="L7" s="11">
        <f>K7-77.0529</f>
        <v>-0.50198606293344028</v>
      </c>
      <c r="M7" s="11">
        <v>86</v>
      </c>
      <c r="N7" s="11">
        <f t="shared" si="2"/>
        <v>-9.4490860629334463</v>
      </c>
      <c r="O7" s="11">
        <f>IFERROR(4535470/14440,0)</f>
        <v>314.09072022160666</v>
      </c>
      <c r="P7" s="11">
        <v>0</v>
      </c>
      <c r="Q7" s="11">
        <f t="shared" si="3"/>
        <v>314.09072022160666</v>
      </c>
      <c r="R7" s="7">
        <v>10430</v>
      </c>
      <c r="S7" s="11">
        <f t="shared" si="4"/>
        <v>131.75347068706338</v>
      </c>
      <c r="T7" s="13">
        <f t="shared" si="5"/>
        <v>5.8101629913710449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172.1122112211221</v>
      </c>
      <c r="Z7" s="11">
        <f t="shared" si="9"/>
        <v>64.223671617161713</v>
      </c>
      <c r="AA7" s="7">
        <v>2068</v>
      </c>
      <c r="AB7" s="15">
        <f>IFERROR(AA7/1970,0)</f>
        <v>1.0497461928934011</v>
      </c>
      <c r="AC7" s="11">
        <v>0</v>
      </c>
      <c r="AD7" s="15">
        <f>IFERROR(AC7/64.8,0)</f>
        <v>0</v>
      </c>
      <c r="AE7" s="11">
        <v>0</v>
      </c>
      <c r="AF7" s="11">
        <v>26</v>
      </c>
      <c r="AG7" s="7">
        <f t="shared" si="10"/>
        <v>-7480.1800000000048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82</v>
      </c>
      <c r="C8" s="7">
        <v>12</v>
      </c>
      <c r="D8" s="7">
        <v>7</v>
      </c>
      <c r="E8" s="7">
        <v>16063</v>
      </c>
      <c r="F8" s="7">
        <v>13228</v>
      </c>
      <c r="G8" s="7">
        <v>24</v>
      </c>
      <c r="H8" s="9">
        <f t="shared" si="0"/>
        <v>1.8143332325370426E-3</v>
      </c>
      <c r="I8" s="9">
        <f>IFERROR((16063-F8)/16063,0)</f>
        <v>0.17649256054286247</v>
      </c>
      <c r="J8" s="7">
        <v>64800</v>
      </c>
      <c r="K8" s="11">
        <f t="shared" si="1"/>
        <v>69.981424683571646</v>
      </c>
      <c r="L8" s="11">
        <f>K8-71.5687</f>
        <v>-1.5872753164283608</v>
      </c>
      <c r="M8" s="11">
        <v>81</v>
      </c>
      <c r="N8" s="11">
        <f t="shared" si="2"/>
        <v>-11.018575316428354</v>
      </c>
      <c r="O8" s="11">
        <f>IFERROR(4721640/16063,0)</f>
        <v>293.94509120338665</v>
      </c>
      <c r="P8" s="11">
        <v>0</v>
      </c>
      <c r="Q8" s="11">
        <f t="shared" si="3"/>
        <v>293.94509120338665</v>
      </c>
      <c r="R8" s="7">
        <v>10850</v>
      </c>
      <c r="S8" s="11">
        <f t="shared" si="4"/>
        <v>117.17568793468399</v>
      </c>
      <c r="T8" s="13">
        <f t="shared" si="5"/>
        <v>5.9723502304147464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167.43827160493825</v>
      </c>
      <c r="Z8" s="11">
        <f t="shared" si="9"/>
        <v>61.952160493827158</v>
      </c>
      <c r="AA8" s="7">
        <v>1737</v>
      </c>
      <c r="AB8" s="15">
        <f>IFERROR(AA8/1580,0)</f>
        <v>1.099367088607595</v>
      </c>
      <c r="AC8" s="11">
        <v>0</v>
      </c>
      <c r="AD8" s="15">
        <f>IFERROR(AC8/63.6,0)</f>
        <v>0</v>
      </c>
      <c r="AE8" s="11">
        <v>0</v>
      </c>
      <c r="AF8" s="11">
        <v>26</v>
      </c>
      <c r="AG8" s="7">
        <f t="shared" si="10"/>
        <v>-10202.759999999998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43</v>
      </c>
      <c r="C9" s="7"/>
      <c r="D9" s="7">
        <v>7</v>
      </c>
      <c r="E9" s="7">
        <v>4686</v>
      </c>
      <c r="F9" s="7">
        <v>4195</v>
      </c>
      <c r="G9" s="7">
        <v>9</v>
      </c>
      <c r="H9" s="9">
        <f t="shared" si="0"/>
        <v>2.1454112038140644E-3</v>
      </c>
      <c r="I9" s="9">
        <f>IFERROR((4686-F9)/4686,0)</f>
        <v>0.10478019632949211</v>
      </c>
      <c r="J9" s="7">
        <v>29730</v>
      </c>
      <c r="K9" s="11">
        <f t="shared" si="1"/>
        <v>101.24297633236846</v>
      </c>
      <c r="L9" s="11">
        <f>K9-100.9243</f>
        <v>0.3186763323684545</v>
      </c>
      <c r="M9" s="11">
        <v>91</v>
      </c>
      <c r="N9" s="11">
        <f t="shared" si="2"/>
        <v>10.242976332368457</v>
      </c>
      <c r="O9" s="11">
        <f>IFERROR(671070/4686,0)</f>
        <v>143.20742637644045</v>
      </c>
      <c r="P9" s="11">
        <v>155</v>
      </c>
      <c r="Q9" s="11">
        <f t="shared" si="3"/>
        <v>-11.792573623559548</v>
      </c>
      <c r="R9" s="7">
        <v>4775</v>
      </c>
      <c r="S9" s="11">
        <f t="shared" si="4"/>
        <v>162.60854759066913</v>
      </c>
      <c r="T9" s="13">
        <f t="shared" si="5"/>
        <v>6.2261780104712043</v>
      </c>
      <c r="U9" s="7">
        <v>5040</v>
      </c>
      <c r="V9" s="11">
        <f t="shared" si="6"/>
        <v>171.63289630512514</v>
      </c>
      <c r="W9" s="11">
        <f t="shared" si="7"/>
        <v>1.0554973821989531</v>
      </c>
      <c r="X9" s="11">
        <v>362.76</v>
      </c>
      <c r="Y9" s="11">
        <f t="shared" si="8"/>
        <v>160.61217625294316</v>
      </c>
      <c r="Z9" s="11">
        <f t="shared" si="9"/>
        <v>58.263673057517657</v>
      </c>
      <c r="AA9" s="7">
        <v>1928</v>
      </c>
      <c r="AB9" s="15">
        <f>IFERROR(AA9/1940,0)</f>
        <v>0.99381443298969074</v>
      </c>
      <c r="AC9" s="11">
        <v>0</v>
      </c>
      <c r="AD9" s="15">
        <f>IFERROR(AC9/62.8,0)</f>
        <v>0</v>
      </c>
      <c r="AE9" s="11">
        <v>13</v>
      </c>
      <c r="AF9" s="11">
        <v>24</v>
      </c>
      <c r="AG9" s="7">
        <f t="shared" si="10"/>
        <v>3007.8499999999972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82</v>
      </c>
      <c r="C10" s="7">
        <v>13</v>
      </c>
      <c r="D10" s="7">
        <v>7</v>
      </c>
      <c r="E10" s="7">
        <v>5000</v>
      </c>
      <c r="F10" s="7">
        <v>4127</v>
      </c>
      <c r="G10" s="7">
        <v>14</v>
      </c>
      <c r="H10" s="9">
        <f t="shared" si="0"/>
        <v>3.3922946450205961E-3</v>
      </c>
      <c r="I10" s="9">
        <f>IFERROR((5000-F10)/5000,0)</f>
        <v>0.17460000000000001</v>
      </c>
      <c r="J10" s="7">
        <v>26130</v>
      </c>
      <c r="K10" s="11">
        <f t="shared" si="1"/>
        <v>90.449652116722618</v>
      </c>
      <c r="L10" s="11">
        <f>K10-89.8334</f>
        <v>0.61625211672262026</v>
      </c>
      <c r="M10" s="11">
        <v>86</v>
      </c>
      <c r="N10" s="11">
        <f t="shared" si="2"/>
        <v>4.4496521167226177</v>
      </c>
      <c r="O10" s="11">
        <f>IFERROR(1659440/5000,0)</f>
        <v>331.88799999999998</v>
      </c>
      <c r="P10" s="11">
        <v>0</v>
      </c>
      <c r="Q10" s="11">
        <f t="shared" si="3"/>
        <v>331.88799999999998</v>
      </c>
      <c r="R10" s="7">
        <v>4822</v>
      </c>
      <c r="S10" s="11">
        <f t="shared" si="4"/>
        <v>166.91474263560528</v>
      </c>
      <c r="T10" s="13">
        <f t="shared" si="5"/>
        <v>5.4189133139776029</v>
      </c>
      <c r="U10" s="7">
        <v>5040</v>
      </c>
      <c r="V10" s="11">
        <f t="shared" si="6"/>
        <v>174.46086745820207</v>
      </c>
      <c r="W10" s="11">
        <f t="shared" si="7"/>
        <v>1.0452094566569885</v>
      </c>
      <c r="X10" s="11">
        <v>374.81</v>
      </c>
      <c r="Y10" s="11">
        <f t="shared" si="8"/>
        <v>184.53884424033683</v>
      </c>
      <c r="Z10" s="11">
        <f t="shared" si="9"/>
        <v>69.167004209720645</v>
      </c>
      <c r="AA10" s="7">
        <v>1986</v>
      </c>
      <c r="AB10" s="15">
        <f>IFERROR(AA10/1970,0)</f>
        <v>1.0081218274111674</v>
      </c>
      <c r="AC10" s="11">
        <v>0</v>
      </c>
      <c r="AD10" s="15">
        <f>IFERROR(AC10/64.8,0)</f>
        <v>0</v>
      </c>
      <c r="AE10" s="11">
        <v>12</v>
      </c>
      <c r="AF10" s="11">
        <v>21</v>
      </c>
      <c r="AG10" s="7">
        <f t="shared" si="10"/>
        <v>1285.4599999999969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43</v>
      </c>
      <c r="C11" s="7"/>
      <c r="D11" s="7">
        <v>7</v>
      </c>
      <c r="E11" s="7">
        <v>4819</v>
      </c>
      <c r="F11" s="7">
        <v>4581</v>
      </c>
      <c r="G11" s="7">
        <v>4</v>
      </c>
      <c r="H11" s="9">
        <f t="shared" si="0"/>
        <v>8.731717965509714E-4</v>
      </c>
      <c r="I11" s="9">
        <f>IFERROR((4819-F11)/4819,0)</f>
        <v>4.9387839800788542E-2</v>
      </c>
      <c r="J11" s="7">
        <v>30720</v>
      </c>
      <c r="K11" s="11">
        <f t="shared" si="1"/>
        <v>95.799419964449427</v>
      </c>
      <c r="L11" s="11">
        <f>K11-97.2114</f>
        <v>-1.4119800355505703</v>
      </c>
      <c r="M11" s="11">
        <v>91</v>
      </c>
      <c r="N11" s="11">
        <f t="shared" si="2"/>
        <v>4.7994199644494273</v>
      </c>
      <c r="O11" s="11">
        <f>IFERROR(709676/4819,0)</f>
        <v>147.26623780867399</v>
      </c>
      <c r="P11" s="11">
        <v>155</v>
      </c>
      <c r="Q11" s="11">
        <f t="shared" si="3"/>
        <v>-7.733762191326008</v>
      </c>
      <c r="R11" s="7">
        <v>5030</v>
      </c>
      <c r="S11" s="11">
        <f t="shared" si="4"/>
        <v>156.85907630897808</v>
      </c>
      <c r="T11" s="13">
        <f t="shared" si="5"/>
        <v>6.107355864811133</v>
      </c>
      <c r="U11" s="7">
        <v>5040</v>
      </c>
      <c r="V11" s="11">
        <f t="shared" si="6"/>
        <v>157.17092337917484</v>
      </c>
      <c r="W11" s="11">
        <f t="shared" si="7"/>
        <v>1.0019880715705765</v>
      </c>
      <c r="X11" s="11">
        <v>362.76</v>
      </c>
      <c r="Y11" s="11">
        <f t="shared" si="8"/>
        <v>163.73697916666666</v>
      </c>
      <c r="Z11" s="11">
        <f t="shared" si="9"/>
        <v>59.397226562499995</v>
      </c>
      <c r="AA11" s="7">
        <v>1960</v>
      </c>
      <c r="AB11" s="15">
        <f>IFERROR(AA11/1940,0)</f>
        <v>1.0103092783505154</v>
      </c>
      <c r="AC11" s="11">
        <v>0</v>
      </c>
      <c r="AD11" s="15">
        <f>IFERROR(AC11/62.8,0)</f>
        <v>0</v>
      </c>
      <c r="AE11" s="11">
        <v>11</v>
      </c>
      <c r="AF11" s="11">
        <v>24</v>
      </c>
      <c r="AG11" s="7">
        <f t="shared" si="10"/>
        <v>1539.0299999999979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38473</v>
      </c>
      <c r="G12" s="17">
        <f>SUM(G6:G11)</f>
        <v>86</v>
      </c>
      <c r="H12" s="18">
        <f t="shared" si="0"/>
        <v>2.2353338705065891E-3</v>
      </c>
      <c r="I12" s="18"/>
      <c r="J12" s="17">
        <f>SUM(J6:J11)</f>
        <v>216360</v>
      </c>
      <c r="K12" s="19">
        <f t="shared" si="1"/>
        <v>80.338344887509237</v>
      </c>
      <c r="L12" s="19"/>
      <c r="M12" s="19">
        <f>IFERROR(SUMPRODUCT($F6:$F11,M6:M11)/$F12, 0)</f>
        <v>85.421412419099113</v>
      </c>
      <c r="N12" s="19">
        <f t="shared" si="2"/>
        <v>-5.0830675315898759</v>
      </c>
      <c r="O12" s="19">
        <f>IFERROR(SUMPRODUCT($E6:$E11,O6:O11)/$E12, 0)</f>
        <v>269.12381776863975</v>
      </c>
      <c r="P12" s="19">
        <f>IFERROR(SUMPRODUCT($E6:$E11,P6:P11)/$E12, 0)</f>
        <v>31.885618439562819</v>
      </c>
      <c r="Q12" s="19">
        <f>IFERROR(SUMPRODUCT($E6:$E11,Q6:Q11)/$E12, 0)</f>
        <v>237.23819932907693</v>
      </c>
      <c r="R12" s="17">
        <f>SUM(R6:R11)</f>
        <v>36845</v>
      </c>
      <c r="S12" s="19">
        <f>IFERROR(R12/D12/$F12*1000,0)</f>
        <v>136.81208714088916</v>
      </c>
      <c r="T12" s="20">
        <f t="shared" si="5"/>
        <v>5.8721671868638889</v>
      </c>
      <c r="U12" s="17">
        <f>SUM(U6:U11)</f>
        <v>15120</v>
      </c>
      <c r="V12" s="19">
        <f>IFERROR(U12/D12/$F12*1000,0)</f>
        <v>56.143269305746891</v>
      </c>
      <c r="W12" s="19">
        <f t="shared" si="7"/>
        <v>0.41036775681910709</v>
      </c>
      <c r="X12" s="19">
        <f>IFERROR(SUMPRODUCT(R6:R11,X6:X11)/R12,0)</f>
        <v>367.73303189035147</v>
      </c>
      <c r="Y12" s="19">
        <f>IFERROR(($F12*S12)/($F12*K12)*100,0)</f>
        <v>170.29487890552787</v>
      </c>
      <c r="Z12" s="19">
        <f t="shared" si="9"/>
        <v>62.62305213533002</v>
      </c>
      <c r="AA12" s="17"/>
      <c r="AB12" s="21">
        <f>IFERROR(SUMPRODUCT($F6:$F11,AB6:AB11)/$F12,0)</f>
        <v>1.0233619597061339</v>
      </c>
      <c r="AC12" s="19"/>
      <c r="AD12" s="21">
        <f>AVERAGE(AD6:AD11)</f>
        <v>0</v>
      </c>
      <c r="AE12" s="19"/>
      <c r="AF12" s="19"/>
      <c r="AG12" s="17">
        <f>SUM(AG6:AG11)</f>
        <v>-13689.260000000013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82</v>
      </c>
      <c r="C14" s="6">
        <v>19</v>
      </c>
      <c r="D14" s="6">
        <v>7</v>
      </c>
      <c r="E14" s="6">
        <v>21388</v>
      </c>
      <c r="F14" s="6">
        <v>16623</v>
      </c>
      <c r="G14" s="6">
        <v>59</v>
      </c>
      <c r="H14" s="8">
        <f t="shared" ref="H14:H31" si="12">IFERROR(G14/F14,0)</f>
        <v>3.5492991638091799E-3</v>
      </c>
      <c r="I14" s="8">
        <f>IFERROR((21388-F14)/21388,0)</f>
        <v>0.22278847952122685</v>
      </c>
      <c r="J14" s="6">
        <v>80250</v>
      </c>
      <c r="K14" s="10">
        <f t="shared" ref="K14:K31" si="13">IFERROR(J14/D14/F14*100,0)</f>
        <v>68.966406270142059</v>
      </c>
      <c r="L14" s="10">
        <f>K14-77.0976</f>
        <v>-8.1311937298579409</v>
      </c>
      <c r="M14" s="10">
        <v>82</v>
      </c>
      <c r="N14" s="10">
        <f t="shared" ref="N14:N31" si="14">K14-M14</f>
        <v>-13.033593729857941</v>
      </c>
      <c r="O14" s="10">
        <f>IFERROR(5341130/21388,0)</f>
        <v>249.72554703572098</v>
      </c>
      <c r="P14" s="10">
        <v>0</v>
      </c>
      <c r="Q14" s="10">
        <f t="shared" ref="Q14:Q30" si="15">IFERROR(O14-P14,0)</f>
        <v>249.72554703572098</v>
      </c>
      <c r="R14" s="6">
        <v>12960</v>
      </c>
      <c r="S14" s="10">
        <f t="shared" ref="S14:S30" si="16">IFERROR(R14/D14/F14*1000,0)</f>
        <v>111.37752339701446</v>
      </c>
      <c r="T14" s="12">
        <f t="shared" ref="T14:T31" si="17">IFERROR(J14/R14,0)</f>
        <v>6.1921296296296298</v>
      </c>
      <c r="U14" s="6">
        <v>21120</v>
      </c>
      <c r="V14" s="10">
        <f t="shared" ref="V14:V30" si="18">IFERROR(U14/D14/F14*1000,0)</f>
        <v>181.5041122025421</v>
      </c>
      <c r="W14" s="10">
        <f t="shared" ref="W14:W31" si="19">IFERROR(V14/S14,0)</f>
        <v>1.6296296296296298</v>
      </c>
      <c r="X14" s="10">
        <v>254.7</v>
      </c>
      <c r="Y14" s="10">
        <f t="shared" ref="Y14:Y30" si="20">IFERROR((F14*S14)/(F14*K14)*100,0)</f>
        <v>161.49532710280374</v>
      </c>
      <c r="Z14" s="10">
        <f t="shared" ref="Z14:Z31" si="21">IFERROR(Y14*X14/1000,0)</f>
        <v>41.13285981308411</v>
      </c>
      <c r="AA14" s="6">
        <v>2460</v>
      </c>
      <c r="AB14" s="14">
        <f>IFERROR(AA14/1580,0)</f>
        <v>1.5569620253164558</v>
      </c>
      <c r="AC14" s="10">
        <v>0</v>
      </c>
      <c r="AD14" s="14">
        <f>IFERROR(AC14/63.6,0)</f>
        <v>0</v>
      </c>
      <c r="AE14" s="10">
        <v>20</v>
      </c>
      <c r="AF14" s="10">
        <v>25</v>
      </c>
      <c r="AG14" s="6">
        <f t="shared" ref="AG14:AG30" si="22">IF(M14=0,0,IFERROR(N14/100*7*F14,0))</f>
        <v>-15166.019999999997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42</v>
      </c>
      <c r="C15" s="7"/>
      <c r="D15" s="7">
        <v>7</v>
      </c>
      <c r="E15" s="7">
        <v>10225</v>
      </c>
      <c r="F15" s="7">
        <v>8931</v>
      </c>
      <c r="G15" s="7">
        <v>39</v>
      </c>
      <c r="H15" s="9">
        <f t="shared" si="12"/>
        <v>4.3668122270742356E-3</v>
      </c>
      <c r="I15" s="9">
        <f>IFERROR((10225-F15)/10225,0)</f>
        <v>0.12655256723716382</v>
      </c>
      <c r="J15" s="7">
        <v>54300</v>
      </c>
      <c r="K15" s="11">
        <f t="shared" si="13"/>
        <v>86.85637506598205</v>
      </c>
      <c r="L15" s="11">
        <f>K15-87.1954</f>
        <v>-0.33902493401795653</v>
      </c>
      <c r="M15" s="11">
        <v>91.5</v>
      </c>
      <c r="N15" s="11">
        <f t="shared" si="14"/>
        <v>-4.6436249340179501</v>
      </c>
      <c r="O15" s="11">
        <f>IFERROR(1288610/10225,0)</f>
        <v>126.02542787286063</v>
      </c>
      <c r="P15" s="11">
        <v>149</v>
      </c>
      <c r="Q15" s="11">
        <f t="shared" si="15"/>
        <v>-22.974572127139368</v>
      </c>
      <c r="R15" s="7">
        <v>9060</v>
      </c>
      <c r="S15" s="11">
        <f t="shared" si="16"/>
        <v>144.92058160180429</v>
      </c>
      <c r="T15" s="13">
        <f t="shared" si="17"/>
        <v>5.9933774834437088</v>
      </c>
      <c r="U15" s="7">
        <v>12610</v>
      </c>
      <c r="V15" s="11">
        <f t="shared" si="18"/>
        <v>201.70513620295279</v>
      </c>
      <c r="W15" s="11">
        <f t="shared" si="19"/>
        <v>1.3918322295805741</v>
      </c>
      <c r="X15" s="11">
        <v>235.75428571430001</v>
      </c>
      <c r="Y15" s="11">
        <f t="shared" si="20"/>
        <v>166.85082872928174</v>
      </c>
      <c r="Z15" s="11">
        <f t="shared" si="21"/>
        <v>39.335797947910827</v>
      </c>
      <c r="AA15" s="7">
        <v>0</v>
      </c>
      <c r="AB15" s="15">
        <f>IFERROR(AA15/1940,0)</f>
        <v>0</v>
      </c>
      <c r="AC15" s="11">
        <v>0</v>
      </c>
      <c r="AD15" s="15">
        <f>IFERROR(AC15/62.6,0)</f>
        <v>0</v>
      </c>
      <c r="AE15" s="11">
        <v>23</v>
      </c>
      <c r="AF15" s="11">
        <v>30</v>
      </c>
      <c r="AG15" s="7">
        <f t="shared" si="22"/>
        <v>-2903.0550000000021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71</v>
      </c>
      <c r="C16" s="7"/>
      <c r="D16" s="7">
        <v>7</v>
      </c>
      <c r="E16" s="7">
        <v>56050</v>
      </c>
      <c r="F16" s="7">
        <v>49585</v>
      </c>
      <c r="G16" s="7">
        <v>180</v>
      </c>
      <c r="H16" s="9">
        <f t="shared" si="12"/>
        <v>3.6301300796611879E-3</v>
      </c>
      <c r="I16" s="9">
        <f>IFERROR((56050-F16)/56050,0)</f>
        <v>0.11534344335414808</v>
      </c>
      <c r="J16" s="7">
        <v>314240</v>
      </c>
      <c r="K16" s="11">
        <f t="shared" si="13"/>
        <v>90.534291764502512</v>
      </c>
      <c r="L16" s="11">
        <f>K16-91.9981</f>
        <v>-1.4638082354974813</v>
      </c>
      <c r="M16" s="11">
        <v>88</v>
      </c>
      <c r="N16" s="11">
        <f t="shared" si="14"/>
        <v>2.5342917645025125</v>
      </c>
      <c r="O16" s="11">
        <f>IFERROR(17775101/56050,0)</f>
        <v>317.12936663693131</v>
      </c>
      <c r="P16" s="11">
        <v>321</v>
      </c>
      <c r="Q16" s="11">
        <f t="shared" si="15"/>
        <v>-3.8706333630686913</v>
      </c>
      <c r="R16" s="7">
        <v>39640</v>
      </c>
      <c r="S16" s="11">
        <f t="shared" si="16"/>
        <v>114.20504472838849</v>
      </c>
      <c r="T16" s="13">
        <f t="shared" si="17"/>
        <v>7.9273461150353182</v>
      </c>
      <c r="U16" s="7">
        <v>62400</v>
      </c>
      <c r="V16" s="11">
        <f t="shared" si="18"/>
        <v>179.77787061179214</v>
      </c>
      <c r="W16" s="11">
        <f t="shared" si="19"/>
        <v>1.5741675075681127</v>
      </c>
      <c r="X16" s="11">
        <v>287.66857142859999</v>
      </c>
      <c r="Y16" s="11">
        <f t="shared" si="20"/>
        <v>126.14562118126271</v>
      </c>
      <c r="Z16" s="11">
        <f t="shared" si="21"/>
        <v>36.288130637187187</v>
      </c>
      <c r="AA16" s="7">
        <v>1779</v>
      </c>
      <c r="AB16" s="15">
        <f>IFERROR(AA16/1725,0)</f>
        <v>1.031304347826087</v>
      </c>
      <c r="AC16" s="11">
        <v>0</v>
      </c>
      <c r="AD16" s="15">
        <f>IFERROR(AC16/63.7,0)</f>
        <v>0</v>
      </c>
      <c r="AE16" s="11">
        <v>21</v>
      </c>
      <c r="AF16" s="11">
        <v>26</v>
      </c>
      <c r="AG16" s="7">
        <f t="shared" si="22"/>
        <v>8796.399999999996</v>
      </c>
      <c r="AH16" s="7">
        <v>118.5</v>
      </c>
      <c r="AI16" s="7">
        <v>1.6877637131000001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IFERROR(630/F16,0)</f>
        <v>1.2705455278814157E-2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64</v>
      </c>
      <c r="C17" s="7"/>
      <c r="D17" s="7">
        <v>7</v>
      </c>
      <c r="E17" s="7">
        <v>51536</v>
      </c>
      <c r="F17" s="7">
        <v>47475</v>
      </c>
      <c r="G17" s="7">
        <v>127</v>
      </c>
      <c r="H17" s="9">
        <f t="shared" si="12"/>
        <v>2.6750921537651395E-3</v>
      </c>
      <c r="I17" s="9">
        <f>IFERROR((51536-F17)/51536,0)</f>
        <v>7.8799285936044711E-2</v>
      </c>
      <c r="J17" s="7">
        <v>278500</v>
      </c>
      <c r="K17" s="11">
        <f t="shared" si="13"/>
        <v>83.803505604453463</v>
      </c>
      <c r="L17" s="11">
        <f>K17-86.0588</f>
        <v>-2.2552943955465423</v>
      </c>
      <c r="M17" s="11">
        <v>90.2</v>
      </c>
      <c r="N17" s="11">
        <f t="shared" si="14"/>
        <v>-6.3964943955465401</v>
      </c>
      <c r="O17" s="11">
        <f>IFERROR(13957802/51536,0)</f>
        <v>270.83595932940079</v>
      </c>
      <c r="P17" s="11">
        <v>280</v>
      </c>
      <c r="Q17" s="11">
        <f t="shared" si="15"/>
        <v>-9.1640406705992064</v>
      </c>
      <c r="R17" s="7">
        <v>40580</v>
      </c>
      <c r="S17" s="11">
        <f t="shared" si="16"/>
        <v>122.10938087715338</v>
      </c>
      <c r="T17" s="13">
        <f t="shared" si="17"/>
        <v>6.8629866929521928</v>
      </c>
      <c r="U17" s="7">
        <v>68113</v>
      </c>
      <c r="V17" s="11">
        <f t="shared" si="18"/>
        <v>204.95900097795831</v>
      </c>
      <c r="W17" s="11">
        <f t="shared" si="19"/>
        <v>1.6784869393790045</v>
      </c>
      <c r="X17" s="11">
        <v>278.79142857139999</v>
      </c>
      <c r="Y17" s="11">
        <f t="shared" si="20"/>
        <v>145.70915619389589</v>
      </c>
      <c r="Z17" s="11">
        <f t="shared" si="21"/>
        <v>40.622463811229494</v>
      </c>
      <c r="AA17" s="7">
        <v>1690</v>
      </c>
      <c r="AB17" s="15">
        <f>IFERROR(AA17/1725,0)</f>
        <v>0.97971014492753628</v>
      </c>
      <c r="AC17" s="11">
        <v>0</v>
      </c>
      <c r="AD17" s="15">
        <f>IFERROR(AC17/63.4,0)</f>
        <v>0</v>
      </c>
      <c r="AE17" s="11">
        <v>21</v>
      </c>
      <c r="AF17" s="11">
        <v>26</v>
      </c>
      <c r="AG17" s="7">
        <f t="shared" si="22"/>
        <v>-21257.150000000038</v>
      </c>
      <c r="AH17" s="7">
        <v>27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IFERROR(150/F17,0)</f>
        <v>3.1595576619273301E-3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112</v>
      </c>
      <c r="C18" s="7">
        <v>42</v>
      </c>
      <c r="D18" s="7">
        <v>7</v>
      </c>
      <c r="E18" s="7">
        <v>51311</v>
      </c>
      <c r="F18" s="7">
        <v>38193</v>
      </c>
      <c r="G18" s="7">
        <v>145</v>
      </c>
      <c r="H18" s="9">
        <f t="shared" si="12"/>
        <v>3.7965072133637054E-3</v>
      </c>
      <c r="I18" s="9">
        <f>IFERROR((51311-F18)/51311,0)</f>
        <v>0.25565668180312212</v>
      </c>
      <c r="J18" s="7">
        <v>202860</v>
      </c>
      <c r="K18" s="11">
        <f t="shared" si="13"/>
        <v>75.877778650538048</v>
      </c>
      <c r="L18" s="11">
        <f>K18-75.8367</f>
        <v>4.1078650538054262E-2</v>
      </c>
      <c r="M18" s="11">
        <v>69</v>
      </c>
      <c r="N18" s="11">
        <f t="shared" si="14"/>
        <v>6.8777786505380476</v>
      </c>
      <c r="O18" s="11">
        <f>IFERROR(24662709/51311,0)</f>
        <v>480.65149772953168</v>
      </c>
      <c r="P18" s="11">
        <v>0</v>
      </c>
      <c r="Q18" s="11">
        <f t="shared" si="15"/>
        <v>480.65149772953168</v>
      </c>
      <c r="R18" s="7">
        <v>29630</v>
      </c>
      <c r="S18" s="11">
        <f t="shared" si="16"/>
        <v>110.82808742065676</v>
      </c>
      <c r="T18" s="13">
        <f t="shared" si="17"/>
        <v>6.8464394195072558</v>
      </c>
      <c r="U18" s="7">
        <v>45920</v>
      </c>
      <c r="V18" s="11">
        <f t="shared" si="18"/>
        <v>171.75922289424764</v>
      </c>
      <c r="W18" s="11">
        <f t="shared" si="19"/>
        <v>1.5497806277421531</v>
      </c>
      <c r="X18" s="11">
        <v>279.74428571430002</v>
      </c>
      <c r="Y18" s="11">
        <f t="shared" si="20"/>
        <v>146.06132307995668</v>
      </c>
      <c r="Z18" s="11">
        <f t="shared" si="21"/>
        <v>40.859820495488087</v>
      </c>
      <c r="AA18" s="7">
        <v>1710</v>
      </c>
      <c r="AB18" s="15">
        <f>IFERROR(AA18/0,0)</f>
        <v>0</v>
      </c>
      <c r="AC18" s="11">
        <v>0</v>
      </c>
      <c r="AD18" s="15">
        <f>IFERROR(AC18/0,0)</f>
        <v>0</v>
      </c>
      <c r="AE18" s="11">
        <v>19</v>
      </c>
      <c r="AF18" s="11">
        <v>26</v>
      </c>
      <c r="AG18" s="7">
        <f t="shared" si="22"/>
        <v>18387.809999999976</v>
      </c>
      <c r="AH18" s="7">
        <v>30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IFERROR(200/F18,0)</f>
        <v>5.2365616736051107E-3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43</v>
      </c>
      <c r="C19" s="7"/>
      <c r="D19" s="7">
        <v>7</v>
      </c>
      <c r="E19" s="7">
        <v>52424</v>
      </c>
      <c r="F19" s="7">
        <v>49693</v>
      </c>
      <c r="G19" s="7">
        <v>213</v>
      </c>
      <c r="H19" s="9">
        <f t="shared" si="12"/>
        <v>4.2863179924737893E-3</v>
      </c>
      <c r="I19" s="9">
        <f>IFERROR((52424-F19)/52424,0)</f>
        <v>5.2094460552418738E-2</v>
      </c>
      <c r="J19" s="7">
        <v>301380</v>
      </c>
      <c r="K19" s="11">
        <f t="shared" si="13"/>
        <v>86.640544371009426</v>
      </c>
      <c r="L19" s="11">
        <f>K19-90.2783</f>
        <v>-3.6377556289905755</v>
      </c>
      <c r="M19" s="11">
        <v>95.15</v>
      </c>
      <c r="N19" s="11">
        <f t="shared" si="14"/>
        <v>-8.5094556289905796</v>
      </c>
      <c r="O19" s="11">
        <f>IFERROR(7445180/52424,0)</f>
        <v>142.01854112620174</v>
      </c>
      <c r="P19" s="11">
        <v>150</v>
      </c>
      <c r="Q19" s="11">
        <f t="shared" si="15"/>
        <v>-7.9814588737982604</v>
      </c>
      <c r="R19" s="7">
        <v>38612</v>
      </c>
      <c r="S19" s="11">
        <f t="shared" si="16"/>
        <v>111.00154951401606</v>
      </c>
      <c r="T19" s="13">
        <f t="shared" si="17"/>
        <v>7.8053454884491869</v>
      </c>
      <c r="U19" s="7">
        <v>63329</v>
      </c>
      <c r="V19" s="11">
        <f t="shared" si="18"/>
        <v>182.05783510756044</v>
      </c>
      <c r="W19" s="11">
        <f t="shared" si="19"/>
        <v>1.6401377810007252</v>
      </c>
      <c r="X19" s="11">
        <v>289.7671428571</v>
      </c>
      <c r="Y19" s="11">
        <f t="shared" si="20"/>
        <v>128.11732696263851</v>
      </c>
      <c r="Z19" s="11">
        <f t="shared" si="21"/>
        <v>37.124191784452663</v>
      </c>
      <c r="AA19" s="7">
        <v>1697</v>
      </c>
      <c r="AB19" s="15">
        <f>IFERROR(AA19/1710,0)</f>
        <v>0.9923976608187135</v>
      </c>
      <c r="AC19" s="11">
        <v>61.91</v>
      </c>
      <c r="AD19" s="15">
        <f>IFERROR(AC19/62.15,0)</f>
        <v>0.9961383748994368</v>
      </c>
      <c r="AE19" s="11">
        <v>22</v>
      </c>
      <c r="AF19" s="11">
        <v>26</v>
      </c>
      <c r="AG19" s="7">
        <f t="shared" si="22"/>
        <v>-29600.226500000019</v>
      </c>
      <c r="AH19" s="7">
        <v>33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IFERROR(1050/F19,0)</f>
        <v>2.112973658261727E-2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33</v>
      </c>
      <c r="C20" s="7"/>
      <c r="D20" s="7">
        <v>7</v>
      </c>
      <c r="E20" s="7">
        <v>50525</v>
      </c>
      <c r="F20" s="7">
        <v>49311</v>
      </c>
      <c r="G20" s="7">
        <v>96</v>
      </c>
      <c r="H20" s="9">
        <f t="shared" si="12"/>
        <v>1.9468272799172599E-3</v>
      </c>
      <c r="I20" s="9">
        <f>IFERROR((50525-F20)/50525,0)</f>
        <v>2.4027709054923307E-2</v>
      </c>
      <c r="J20" s="7">
        <v>317490</v>
      </c>
      <c r="K20" s="11">
        <f t="shared" si="13"/>
        <v>91.978897782876601</v>
      </c>
      <c r="L20" s="11">
        <f>K20-92.6011</f>
        <v>-0.62220221712340162</v>
      </c>
      <c r="M20" s="11">
        <v>95</v>
      </c>
      <c r="N20" s="11">
        <f t="shared" si="14"/>
        <v>-3.0211022171233992</v>
      </c>
      <c r="O20" s="11">
        <f>IFERROR(3953970/50525,0)</f>
        <v>78.257694210786738</v>
      </c>
      <c r="P20" s="11">
        <v>87</v>
      </c>
      <c r="Q20" s="11">
        <f t="shared" si="15"/>
        <v>-8.7423057892132618</v>
      </c>
      <c r="R20" s="7">
        <v>39613</v>
      </c>
      <c r="S20" s="11">
        <f t="shared" si="16"/>
        <v>114.76141226095598</v>
      </c>
      <c r="T20" s="13">
        <f t="shared" si="17"/>
        <v>8.014793123469568</v>
      </c>
      <c r="U20" s="7">
        <v>71460</v>
      </c>
      <c r="V20" s="11">
        <f t="shared" si="18"/>
        <v>207.02422235548721</v>
      </c>
      <c r="W20" s="11">
        <f t="shared" si="19"/>
        <v>1.8039532476712192</v>
      </c>
      <c r="X20" s="11">
        <v>276.27285714290002</v>
      </c>
      <c r="Y20" s="11">
        <f t="shared" si="20"/>
        <v>124.76928407193928</v>
      </c>
      <c r="Z20" s="11">
        <f t="shared" si="21"/>
        <v>34.470366594228793</v>
      </c>
      <c r="AA20" s="7">
        <v>1671</v>
      </c>
      <c r="AB20" s="15">
        <f>IFERROR(AA20/1550,0)</f>
        <v>1.0780645161290323</v>
      </c>
      <c r="AC20" s="11">
        <v>60.04</v>
      </c>
      <c r="AD20" s="15">
        <f>IFERROR(AC20/59,0)</f>
        <v>1.0176271186440677</v>
      </c>
      <c r="AE20" s="11">
        <v>21</v>
      </c>
      <c r="AF20" s="11">
        <v>26</v>
      </c>
      <c r="AG20" s="7">
        <f t="shared" si="22"/>
        <v>-10428.150000000036</v>
      </c>
      <c r="AH20" s="7">
        <v>30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52</v>
      </c>
      <c r="C21" s="7"/>
      <c r="D21" s="7">
        <v>7</v>
      </c>
      <c r="E21" s="7">
        <v>50845</v>
      </c>
      <c r="F21" s="7">
        <v>48875</v>
      </c>
      <c r="G21" s="7">
        <v>88</v>
      </c>
      <c r="H21" s="9">
        <f t="shared" si="12"/>
        <v>1.8005115089514067E-3</v>
      </c>
      <c r="I21" s="9">
        <f>IFERROR((50845-F21)/50845,0)</f>
        <v>3.8745206018290887E-2</v>
      </c>
      <c r="J21" s="7">
        <v>317820</v>
      </c>
      <c r="K21" s="11">
        <f t="shared" si="13"/>
        <v>92.895871392035076</v>
      </c>
      <c r="L21" s="11">
        <f>K21-92.3555</f>
        <v>0.54037139203506968</v>
      </c>
      <c r="M21" s="11">
        <v>93.1</v>
      </c>
      <c r="N21" s="11">
        <f t="shared" si="14"/>
        <v>-0.20412860796491827</v>
      </c>
      <c r="O21" s="11">
        <f>IFERROR(10331700/50845,0)</f>
        <v>203.19992132953092</v>
      </c>
      <c r="P21" s="11">
        <v>207</v>
      </c>
      <c r="Q21" s="11">
        <f t="shared" si="15"/>
        <v>-3.8000786704690768</v>
      </c>
      <c r="R21" s="7">
        <v>39134</v>
      </c>
      <c r="S21" s="11">
        <f t="shared" si="16"/>
        <v>114.38509316770185</v>
      </c>
      <c r="T21" s="13">
        <f t="shared" si="17"/>
        <v>8.1213267235651863</v>
      </c>
      <c r="U21" s="7">
        <v>68000</v>
      </c>
      <c r="V21" s="11">
        <f t="shared" si="18"/>
        <v>198.75776397515526</v>
      </c>
      <c r="W21" s="11">
        <f t="shared" si="19"/>
        <v>1.737619461337967</v>
      </c>
      <c r="X21" s="11">
        <v>279.14714285709999</v>
      </c>
      <c r="Y21" s="11">
        <f t="shared" si="20"/>
        <v>123.1325907746523</v>
      </c>
      <c r="Z21" s="11">
        <f t="shared" si="21"/>
        <v>34.372110907336697</v>
      </c>
      <c r="AA21" s="7">
        <v>1783</v>
      </c>
      <c r="AB21" s="15">
        <f>IFERROR(AA21/1725,0)</f>
        <v>1.0336231884057971</v>
      </c>
      <c r="AC21" s="11">
        <v>62.41</v>
      </c>
      <c r="AD21" s="15">
        <f>IFERROR(AC21/62.8,0)</f>
        <v>0.99378980891719748</v>
      </c>
      <c r="AE21" s="11">
        <v>18</v>
      </c>
      <c r="AF21" s="11">
        <v>26</v>
      </c>
      <c r="AG21" s="7">
        <f t="shared" si="22"/>
        <v>-698.37499999997669</v>
      </c>
      <c r="AH21" s="7">
        <v>36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IFERROR(1120/F21,0)</f>
        <v>2.2915601023017904E-2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19</v>
      </c>
      <c r="C22" s="7"/>
      <c r="D22" s="7">
        <v>7</v>
      </c>
      <c r="E22" s="7">
        <v>21024</v>
      </c>
      <c r="F22" s="7">
        <v>21010</v>
      </c>
      <c r="G22" s="7">
        <v>14</v>
      </c>
      <c r="H22" s="9">
        <f t="shared" si="12"/>
        <v>6.6634935744883388E-4</v>
      </c>
      <c r="I22" s="9">
        <f>IFERROR((21024-F22)/21024,0)</f>
        <v>6.6590563165905628E-4</v>
      </c>
      <c r="J22" s="7">
        <v>930</v>
      </c>
      <c r="K22" s="11">
        <f t="shared" si="13"/>
        <v>0.63235194125246486</v>
      </c>
      <c r="L22" s="11">
        <f>K22-0</f>
        <v>0.63235194125246486</v>
      </c>
      <c r="M22" s="11">
        <v>31</v>
      </c>
      <c r="N22" s="11">
        <f t="shared" si="14"/>
        <v>-30.367648058747534</v>
      </c>
      <c r="O22" s="11">
        <f>IFERROR(6387844/21024,0)</f>
        <v>303.83580669710807</v>
      </c>
      <c r="P22" s="11">
        <v>3</v>
      </c>
      <c r="Q22" s="11">
        <f t="shared" si="15"/>
        <v>300.83580669710807</v>
      </c>
      <c r="R22" s="7">
        <v>13850</v>
      </c>
      <c r="S22" s="11">
        <f t="shared" si="16"/>
        <v>94.172842863942336</v>
      </c>
      <c r="T22" s="13">
        <f t="shared" si="17"/>
        <v>6.714801444043321E-2</v>
      </c>
      <c r="U22" s="7">
        <v>18130</v>
      </c>
      <c r="V22" s="11">
        <f t="shared" si="18"/>
        <v>123.27463112803427</v>
      </c>
      <c r="W22" s="11">
        <f t="shared" si="19"/>
        <v>1.3090252707581229</v>
      </c>
      <c r="X22" s="11">
        <v>254.7</v>
      </c>
      <c r="Y22" s="11">
        <f t="shared" si="20"/>
        <v>14892.473118279568</v>
      </c>
      <c r="Z22" s="11">
        <f t="shared" si="21"/>
        <v>3793.1129032258054</v>
      </c>
      <c r="AA22" s="7">
        <v>0</v>
      </c>
      <c r="AB22" s="15">
        <f>IFERROR(AA22/1620,0)</f>
        <v>0</v>
      </c>
      <c r="AC22" s="11">
        <v>0</v>
      </c>
      <c r="AD22" s="15">
        <f>IFERROR(AC22/50,0)</f>
        <v>0</v>
      </c>
      <c r="AE22" s="11">
        <v>20</v>
      </c>
      <c r="AF22" s="11">
        <v>25</v>
      </c>
      <c r="AG22" s="7">
        <f t="shared" si="22"/>
        <v>-44661.69999999999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43</v>
      </c>
      <c r="C23" s="7"/>
      <c r="D23" s="7">
        <v>7</v>
      </c>
      <c r="E23" s="7">
        <v>21875</v>
      </c>
      <c r="F23" s="7">
        <v>21069</v>
      </c>
      <c r="G23" s="7">
        <v>26</v>
      </c>
      <c r="H23" s="9">
        <f t="shared" si="12"/>
        <v>1.2340405334852153E-3</v>
      </c>
      <c r="I23" s="9">
        <f>IFERROR((21875-F23)/21875,0)</f>
        <v>3.6845714285714287E-2</v>
      </c>
      <c r="J23" s="7">
        <v>128160</v>
      </c>
      <c r="K23" s="11">
        <f t="shared" si="13"/>
        <v>86.898150973332505</v>
      </c>
      <c r="L23" s="11">
        <f>K23-83.1341</f>
        <v>3.7640509733325018</v>
      </c>
      <c r="M23" s="11">
        <v>91</v>
      </c>
      <c r="N23" s="11">
        <f t="shared" si="14"/>
        <v>-4.1018490266674945</v>
      </c>
      <c r="O23" s="11">
        <f>IFERROR(3377130/21875,0)</f>
        <v>154.38308571428573</v>
      </c>
      <c r="P23" s="11">
        <v>155</v>
      </c>
      <c r="Q23" s="11">
        <f t="shared" si="15"/>
        <v>-0.61691428571427309</v>
      </c>
      <c r="R23" s="7">
        <v>18550</v>
      </c>
      <c r="S23" s="11">
        <f t="shared" si="16"/>
        <v>125.77720822060847</v>
      </c>
      <c r="T23" s="13">
        <f t="shared" si="17"/>
        <v>6.9088948787061994</v>
      </c>
      <c r="U23" s="7">
        <v>31664</v>
      </c>
      <c r="V23" s="11">
        <f t="shared" si="18"/>
        <v>214.69593105646075</v>
      </c>
      <c r="W23" s="11">
        <f t="shared" si="19"/>
        <v>1.7069541778975743</v>
      </c>
      <c r="X23" s="11">
        <v>277.09285714290002</v>
      </c>
      <c r="Y23" s="11">
        <f t="shared" si="20"/>
        <v>144.74094881398256</v>
      </c>
      <c r="Z23" s="11">
        <f t="shared" si="21"/>
        <v>40.106683052440665</v>
      </c>
      <c r="AA23" s="7">
        <v>2003</v>
      </c>
      <c r="AB23" s="15">
        <f>IFERROR(AA23/1940,0)</f>
        <v>1.0324742268041238</v>
      </c>
      <c r="AC23" s="11">
        <v>62.81</v>
      </c>
      <c r="AD23" s="15">
        <f>IFERROR(AC23/62.8,0)</f>
        <v>1.0001592356687898</v>
      </c>
      <c r="AE23" s="11">
        <v>22</v>
      </c>
      <c r="AF23" s="11">
        <v>26</v>
      </c>
      <c r="AG23" s="7">
        <f t="shared" si="22"/>
        <v>-6049.5300000000216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IFERROR(595/F23,0)</f>
        <v>2.8240542977834734E-2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102</v>
      </c>
      <c r="C24" s="7">
        <v>35</v>
      </c>
      <c r="D24" s="7">
        <v>7</v>
      </c>
      <c r="E24" s="7">
        <v>51833</v>
      </c>
      <c r="F24" s="7">
        <v>40163</v>
      </c>
      <c r="G24" s="7">
        <v>161</v>
      </c>
      <c r="H24" s="9">
        <f t="shared" si="12"/>
        <v>4.0086646913826155E-3</v>
      </c>
      <c r="I24" s="9">
        <f>IFERROR((51833-F24)/51833,0)</f>
        <v>0.22514614241892231</v>
      </c>
      <c r="J24" s="7">
        <v>164840</v>
      </c>
      <c r="K24" s="11">
        <f t="shared" si="13"/>
        <v>58.632501129326563</v>
      </c>
      <c r="L24" s="11">
        <f>K24-60.0847</f>
        <v>-1.4521988706734348</v>
      </c>
      <c r="M24" s="11">
        <v>72</v>
      </c>
      <c r="N24" s="11">
        <f t="shared" si="14"/>
        <v>-13.367498870673437</v>
      </c>
      <c r="O24" s="11">
        <f>IFERROR(20629868/51833,0)</f>
        <v>398.00644377134256</v>
      </c>
      <c r="P24" s="11">
        <v>0</v>
      </c>
      <c r="Q24" s="11">
        <f t="shared" si="15"/>
        <v>398.00644377134256</v>
      </c>
      <c r="R24" s="7">
        <v>32024</v>
      </c>
      <c r="S24" s="11">
        <f t="shared" si="16"/>
        <v>113.90725650118624</v>
      </c>
      <c r="T24" s="13">
        <f t="shared" si="17"/>
        <v>5.14738945790657</v>
      </c>
      <c r="U24" s="7">
        <v>47477</v>
      </c>
      <c r="V24" s="11">
        <f t="shared" si="18"/>
        <v>168.87255860938106</v>
      </c>
      <c r="W24" s="11">
        <f t="shared" si="19"/>
        <v>1.4825443417436923</v>
      </c>
      <c r="X24" s="11">
        <v>274.2328571429</v>
      </c>
      <c r="Y24" s="11">
        <f t="shared" si="20"/>
        <v>194.27323465178355</v>
      </c>
      <c r="Z24" s="11">
        <f t="shared" si="21"/>
        <v>53.27610420495165</v>
      </c>
      <c r="AA24" s="7">
        <v>1725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21</v>
      </c>
      <c r="AF24" s="11">
        <v>26</v>
      </c>
      <c r="AG24" s="7">
        <f t="shared" si="22"/>
        <v>-37581.520000000004</v>
      </c>
      <c r="AH24" s="7">
        <v>34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IFERROR(1260/F24,0)</f>
        <v>3.1372158454298735E-2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100</v>
      </c>
      <c r="C25" s="7">
        <v>34</v>
      </c>
      <c r="D25" s="7">
        <v>7</v>
      </c>
      <c r="E25" s="7">
        <v>21623</v>
      </c>
      <c r="F25" s="7">
        <v>17918</v>
      </c>
      <c r="G25" s="7">
        <v>44</v>
      </c>
      <c r="H25" s="9">
        <f t="shared" si="12"/>
        <v>2.4556312088402726E-3</v>
      </c>
      <c r="I25" s="9">
        <f>IFERROR((21623-F25)/21623,0)</f>
        <v>0.17134532673542061</v>
      </c>
      <c r="J25" s="7">
        <v>86040</v>
      </c>
      <c r="K25" s="11">
        <f t="shared" si="13"/>
        <v>68.598217275525002</v>
      </c>
      <c r="L25" s="11">
        <f>K25-68.287</f>
        <v>0.31121727552499578</v>
      </c>
      <c r="M25" s="11">
        <v>75</v>
      </c>
      <c r="N25" s="11">
        <f t="shared" si="14"/>
        <v>-6.4017827244749981</v>
      </c>
      <c r="O25" s="11">
        <f>IFERROR(8701685/21623,0)</f>
        <v>402.42727651112244</v>
      </c>
      <c r="P25" s="11">
        <v>0</v>
      </c>
      <c r="Q25" s="11">
        <f t="shared" si="15"/>
        <v>402.42727651112244</v>
      </c>
      <c r="R25" s="7">
        <v>15208</v>
      </c>
      <c r="S25" s="11">
        <f t="shared" si="16"/>
        <v>121.2507773507885</v>
      </c>
      <c r="T25" s="13">
        <f t="shared" si="17"/>
        <v>5.6575486586007369</v>
      </c>
      <c r="U25" s="7">
        <v>23739</v>
      </c>
      <c r="V25" s="11">
        <f t="shared" si="18"/>
        <v>189.26697813850399</v>
      </c>
      <c r="W25" s="11">
        <f t="shared" si="19"/>
        <v>1.5609547606522884</v>
      </c>
      <c r="X25" s="11">
        <v>275.20999999999998</v>
      </c>
      <c r="Y25" s="11">
        <f t="shared" si="20"/>
        <v>176.75499767549977</v>
      </c>
      <c r="Z25" s="11">
        <f t="shared" si="21"/>
        <v>48.644742910274289</v>
      </c>
      <c r="AA25" s="7">
        <v>2081</v>
      </c>
      <c r="AB25" s="15">
        <f>IFERROR(AA25/1980,0)</f>
        <v>1.0510101010101009</v>
      </c>
      <c r="AC25" s="11">
        <v>65.63</v>
      </c>
      <c r="AD25" s="15">
        <f>IFERROR(AC25/65.35,0)</f>
        <v>1.0042846212700842</v>
      </c>
      <c r="AE25" s="11">
        <v>21</v>
      </c>
      <c r="AF25" s="11">
        <v>26</v>
      </c>
      <c r="AG25" s="7">
        <f t="shared" si="22"/>
        <v>-8029.5000000000118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IFERROR(560/F25,0)</f>
        <v>3.1253488112512558E-2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68</v>
      </c>
      <c r="B26" s="5">
        <v>33</v>
      </c>
      <c r="C26" s="7"/>
      <c r="D26" s="7">
        <v>7</v>
      </c>
      <c r="E26" s="7">
        <v>21339</v>
      </c>
      <c r="F26" s="7">
        <v>20936</v>
      </c>
      <c r="G26" s="7">
        <v>30</v>
      </c>
      <c r="H26" s="9">
        <f t="shared" si="12"/>
        <v>1.4329384791746274E-3</v>
      </c>
      <c r="I26" s="9">
        <f>IFERROR((21339-F26)/21339,0)</f>
        <v>1.8885608510239467E-2</v>
      </c>
      <c r="J26" s="7">
        <v>131400</v>
      </c>
      <c r="K26" s="11">
        <f t="shared" si="13"/>
        <v>89.661007696926703</v>
      </c>
      <c r="L26" s="11">
        <f>K26-89.6554</f>
        <v>5.6076969267024879E-3</v>
      </c>
      <c r="M26" s="11">
        <v>94.5</v>
      </c>
      <c r="N26" s="11">
        <f t="shared" si="14"/>
        <v>-4.8389923030732973</v>
      </c>
      <c r="O26" s="11">
        <f>IFERROR(1822710/21339,0)</f>
        <v>85.416842401237176</v>
      </c>
      <c r="P26" s="11">
        <v>91</v>
      </c>
      <c r="Q26" s="11">
        <f t="shared" si="15"/>
        <v>-5.5831575987628241</v>
      </c>
      <c r="R26" s="7">
        <v>18210</v>
      </c>
      <c r="S26" s="11">
        <f t="shared" si="16"/>
        <v>124.2562366941427</v>
      </c>
      <c r="T26" s="13">
        <f t="shared" si="17"/>
        <v>7.2158154859967052</v>
      </c>
      <c r="U26" s="7">
        <v>35511</v>
      </c>
      <c r="V26" s="11">
        <f t="shared" si="18"/>
        <v>242.30989682842949</v>
      </c>
      <c r="W26" s="11">
        <f t="shared" si="19"/>
        <v>1.9500823723228993</v>
      </c>
      <c r="X26" s="11">
        <v>266.97428571429998</v>
      </c>
      <c r="Y26" s="11">
        <f t="shared" si="20"/>
        <v>138.58447488584471</v>
      </c>
      <c r="Z26" s="11">
        <f t="shared" si="21"/>
        <v>36.998491193739731</v>
      </c>
      <c r="AA26" s="7">
        <v>1798</v>
      </c>
      <c r="AB26" s="15">
        <f>IFERROR(AA26/1910,0)</f>
        <v>0.94136125654450264</v>
      </c>
      <c r="AC26" s="11">
        <v>61.53</v>
      </c>
      <c r="AD26" s="15">
        <f>IFERROR(AC26/61.5,0)</f>
        <v>1.0004878048780488</v>
      </c>
      <c r="AE26" s="11">
        <v>20</v>
      </c>
      <c r="AF26" s="11">
        <v>26</v>
      </c>
      <c r="AG26" s="7">
        <f t="shared" si="22"/>
        <v>-7091.6399999999785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IFERROR(490/F26,0)</f>
        <v>2.3404661826518916E-2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69</v>
      </c>
      <c r="B27" s="5">
        <v>20</v>
      </c>
      <c r="C27" s="7"/>
      <c r="D27" s="7">
        <v>7</v>
      </c>
      <c r="E27" s="7">
        <v>64976</v>
      </c>
      <c r="F27" s="7">
        <v>64819</v>
      </c>
      <c r="G27" s="7">
        <v>78</v>
      </c>
      <c r="H27" s="9">
        <f t="shared" si="12"/>
        <v>1.2033508693438653E-3</v>
      </c>
      <c r="I27" s="9">
        <f>IFERROR((64976-F27)/64976,0)</f>
        <v>2.4162767791184436E-3</v>
      </c>
      <c r="J27" s="7">
        <v>236320</v>
      </c>
      <c r="K27" s="11">
        <f t="shared" si="13"/>
        <v>52.083494037242161</v>
      </c>
      <c r="L27" s="11">
        <f>K27-22.2683</f>
        <v>29.815194037242161</v>
      </c>
      <c r="M27" s="11">
        <v>42.5</v>
      </c>
      <c r="N27" s="11">
        <f t="shared" si="14"/>
        <v>9.5834940372421613</v>
      </c>
      <c r="O27" s="11">
        <f>IFERROR(337480/64976,0)</f>
        <v>5.193917754247722</v>
      </c>
      <c r="P27" s="11">
        <v>4</v>
      </c>
      <c r="Q27" s="11">
        <f t="shared" si="15"/>
        <v>1.193917754247722</v>
      </c>
      <c r="R27" s="7">
        <v>39740</v>
      </c>
      <c r="S27" s="11">
        <f t="shared" si="16"/>
        <v>87.584548622207322</v>
      </c>
      <c r="T27" s="13">
        <f t="shared" si="17"/>
        <v>5.9466532460996477</v>
      </c>
      <c r="U27" s="7">
        <v>86840</v>
      </c>
      <c r="V27" s="11">
        <f t="shared" si="18"/>
        <v>191.39009064802428</v>
      </c>
      <c r="W27" s="11">
        <f t="shared" si="19"/>
        <v>2.1852038248616008</v>
      </c>
      <c r="X27" s="11">
        <v>273.62285714289999</v>
      </c>
      <c r="Y27" s="11">
        <f t="shared" si="20"/>
        <v>168.1618144888287</v>
      </c>
      <c r="Z27" s="11">
        <f t="shared" si="21"/>
        <v>46.012916142767622</v>
      </c>
      <c r="AA27" s="7">
        <v>1410</v>
      </c>
      <c r="AB27" s="15">
        <f>IFERROR(AA27/1375,0)</f>
        <v>1.0254545454545454</v>
      </c>
      <c r="AC27" s="11">
        <v>0</v>
      </c>
      <c r="AD27" s="15">
        <f>IFERROR(AC27/45.9,0)</f>
        <v>0</v>
      </c>
      <c r="AE27" s="11">
        <v>21</v>
      </c>
      <c r="AF27" s="11">
        <v>25</v>
      </c>
      <c r="AG27" s="7">
        <f t="shared" si="22"/>
        <v>43483.474999999977</v>
      </c>
      <c r="AH27" s="7">
        <v>5</v>
      </c>
      <c r="AI27" s="7">
        <v>28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91</v>
      </c>
      <c r="C28" s="7">
        <v>19</v>
      </c>
      <c r="D28" s="7">
        <v>7</v>
      </c>
      <c r="E28" s="7">
        <v>47224</v>
      </c>
      <c r="F28" s="7">
        <v>37117</v>
      </c>
      <c r="G28" s="7">
        <v>105</v>
      </c>
      <c r="H28" s="9">
        <f t="shared" si="12"/>
        <v>2.8288924212624945E-3</v>
      </c>
      <c r="I28" s="9">
        <f>IFERROR((47224-F28)/47224,0)</f>
        <v>0.21402253091648316</v>
      </c>
      <c r="J28" s="7">
        <v>180760</v>
      </c>
      <c r="K28" s="11">
        <f t="shared" si="13"/>
        <v>69.571509396926317</v>
      </c>
      <c r="L28" s="11">
        <f>K28-70.258</f>
        <v>-0.68649060307367904</v>
      </c>
      <c r="M28" s="11">
        <v>77</v>
      </c>
      <c r="N28" s="11">
        <f t="shared" si="14"/>
        <v>-7.4284906030736835</v>
      </c>
      <c r="O28" s="11">
        <f>IFERROR(16259380/47224,0)</f>
        <v>344.303320345587</v>
      </c>
      <c r="P28" s="11">
        <v>0</v>
      </c>
      <c r="Q28" s="11">
        <f t="shared" si="15"/>
        <v>344.303320345587</v>
      </c>
      <c r="R28" s="7">
        <v>30450</v>
      </c>
      <c r="S28" s="11">
        <f t="shared" si="16"/>
        <v>117.19697173801761</v>
      </c>
      <c r="T28" s="13">
        <f t="shared" si="17"/>
        <v>5.9362889983579636</v>
      </c>
      <c r="U28" s="7">
        <v>49500</v>
      </c>
      <c r="V28" s="11">
        <f t="shared" si="18"/>
        <v>190.51724469727003</v>
      </c>
      <c r="W28" s="11">
        <f t="shared" si="19"/>
        <v>1.6256157635467983</v>
      </c>
      <c r="X28" s="11">
        <v>279.67</v>
      </c>
      <c r="Y28" s="11">
        <f t="shared" si="20"/>
        <v>168.45541048904627</v>
      </c>
      <c r="Z28" s="11">
        <f t="shared" si="21"/>
        <v>47.111924651471568</v>
      </c>
      <c r="AA28" s="7">
        <v>1583</v>
      </c>
      <c r="AB28" s="15">
        <f>IFERROR(AA28/1580,0)</f>
        <v>1.0018987341772152</v>
      </c>
      <c r="AC28" s="11">
        <v>0</v>
      </c>
      <c r="AD28" s="15">
        <f>IFERROR(AC28/63.7,0)</f>
        <v>0</v>
      </c>
      <c r="AE28" s="11">
        <v>16</v>
      </c>
      <c r="AF28" s="11">
        <v>28</v>
      </c>
      <c r="AG28" s="7">
        <f t="shared" si="22"/>
        <v>-19300.630000000012</v>
      </c>
      <c r="AH28" s="7">
        <v>29</v>
      </c>
      <c r="AI28" s="7">
        <v>20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IFERROR(720/F28,0)</f>
        <v>1.9398119460085676E-2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121</v>
      </c>
      <c r="C29" s="7">
        <v>23</v>
      </c>
      <c r="D29" s="7">
        <v>7</v>
      </c>
      <c r="E29" s="7">
        <v>33376</v>
      </c>
      <c r="F29" s="7">
        <v>28722</v>
      </c>
      <c r="G29" s="7">
        <v>115</v>
      </c>
      <c r="H29" s="9">
        <f t="shared" si="12"/>
        <v>4.0038994498990321E-3</v>
      </c>
      <c r="I29" s="9">
        <f>IFERROR((33376-F29)/33376,0)</f>
        <v>0.13944151486097794</v>
      </c>
      <c r="J29" s="7">
        <v>119720</v>
      </c>
      <c r="K29" s="11">
        <f t="shared" si="13"/>
        <v>59.546191570423858</v>
      </c>
      <c r="L29" s="11">
        <f>K29-61.6965</f>
        <v>-2.1503084295761425</v>
      </c>
      <c r="M29" s="11">
        <v>76</v>
      </c>
      <c r="N29" s="11">
        <f t="shared" si="14"/>
        <v>-16.453808429576142</v>
      </c>
      <c r="O29" s="11">
        <f>IFERROR(15687333/33376,0)</f>
        <v>470.01836649089165</v>
      </c>
      <c r="P29" s="11">
        <v>0</v>
      </c>
      <c r="Q29" s="11">
        <f t="shared" si="15"/>
        <v>470.01836649089165</v>
      </c>
      <c r="R29" s="7">
        <v>24250</v>
      </c>
      <c r="S29" s="11">
        <f t="shared" si="16"/>
        <v>120.61436231062302</v>
      </c>
      <c r="T29" s="13">
        <f t="shared" si="17"/>
        <v>4.9369072164948458</v>
      </c>
      <c r="U29" s="7">
        <v>31000</v>
      </c>
      <c r="V29" s="11">
        <f t="shared" si="18"/>
        <v>154.18743223213662</v>
      </c>
      <c r="W29" s="11">
        <f t="shared" si="19"/>
        <v>1.2783505154639172</v>
      </c>
      <c r="X29" s="11">
        <v>278.74714285710002</v>
      </c>
      <c r="Y29" s="11">
        <f t="shared" si="20"/>
        <v>202.55596391580357</v>
      </c>
      <c r="Z29" s="11">
        <f t="shared" si="21"/>
        <v>56.461896210196095</v>
      </c>
      <c r="AA29" s="7">
        <v>1686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16</v>
      </c>
      <c r="AF29" s="11">
        <v>26</v>
      </c>
      <c r="AG29" s="7">
        <f t="shared" si="22"/>
        <v>-33081.040000000015</v>
      </c>
      <c r="AH29" s="7">
        <v>73</v>
      </c>
      <c r="AI29" s="7">
        <v>17.534246575299999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IFERROR(780/F29,0)</f>
        <v>2.7156883225402131E-2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121</v>
      </c>
      <c r="C30" s="7">
        <v>23</v>
      </c>
      <c r="D30" s="7">
        <v>7</v>
      </c>
      <c r="E30" s="7">
        <v>12390</v>
      </c>
      <c r="F30" s="7">
        <v>9820</v>
      </c>
      <c r="G30" s="7">
        <v>23</v>
      </c>
      <c r="H30" s="9">
        <f t="shared" si="12"/>
        <v>2.3421588594704683E-3</v>
      </c>
      <c r="I30" s="9">
        <f>IFERROR((12390-F30)/12390,0)</f>
        <v>0.20742534301856336</v>
      </c>
      <c r="J30" s="7">
        <v>48760</v>
      </c>
      <c r="K30" s="11">
        <f t="shared" si="13"/>
        <v>70.933954029677039</v>
      </c>
      <c r="L30" s="11">
        <f>K30-69.7813</f>
        <v>1.1526540296770378</v>
      </c>
      <c r="M30" s="11">
        <v>76</v>
      </c>
      <c r="N30" s="11">
        <f t="shared" si="14"/>
        <v>-5.0660459703229606</v>
      </c>
      <c r="O30" s="11">
        <f>IFERROR(6370048/12390,0)</f>
        <v>514.12816787732038</v>
      </c>
      <c r="P30" s="11">
        <v>0</v>
      </c>
      <c r="Q30" s="11">
        <f t="shared" si="15"/>
        <v>514.12816787732038</v>
      </c>
      <c r="R30" s="7">
        <v>9960</v>
      </c>
      <c r="S30" s="11">
        <f t="shared" si="16"/>
        <v>144.89380273494325</v>
      </c>
      <c r="T30" s="13">
        <f t="shared" si="17"/>
        <v>4.8955823293172687</v>
      </c>
      <c r="U30" s="7">
        <v>15100</v>
      </c>
      <c r="V30" s="11">
        <f t="shared" si="18"/>
        <v>219.66831539132966</v>
      </c>
      <c r="W30" s="11">
        <f t="shared" si="19"/>
        <v>1.5160642570281126</v>
      </c>
      <c r="X30" s="11">
        <v>278.08571428570002</v>
      </c>
      <c r="Y30" s="11">
        <f t="shared" si="20"/>
        <v>204.26579163248567</v>
      </c>
      <c r="Z30" s="11">
        <f t="shared" si="21"/>
        <v>56.803398570253748</v>
      </c>
      <c r="AA30" s="7">
        <v>2056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16</v>
      </c>
      <c r="AF30" s="11">
        <v>26</v>
      </c>
      <c r="AG30" s="7">
        <f t="shared" si="22"/>
        <v>-3482.4000000000028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IFERROR(390/F30,0)</f>
        <v>3.9714867617107942E-2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639964</v>
      </c>
      <c r="F31" s="17">
        <f>SUM(F14:F30)</f>
        <v>570260</v>
      </c>
      <c r="G31" s="17">
        <f>SUM(G14:G30)</f>
        <v>1543</v>
      </c>
      <c r="H31" s="18">
        <f t="shared" si="12"/>
        <v>2.7057833269035175E-3</v>
      </c>
      <c r="I31" s="18"/>
      <c r="J31" s="17">
        <f>SUM(J14:J30)</f>
        <v>2963770</v>
      </c>
      <c r="K31" s="19">
        <f t="shared" si="13"/>
        <v>74.246083240226255</v>
      </c>
      <c r="L31" s="19"/>
      <c r="M31" s="19">
        <f>IFERROR(SUMPRODUCT($F14:$F30,M14:M30)/$F31, 0)</f>
        <v>78.471305106442685</v>
      </c>
      <c r="N31" s="19">
        <f t="shared" si="14"/>
        <v>-4.2252218662164296</v>
      </c>
      <c r="O31" s="19">
        <f>IFERROR(SUMPRODUCT($E14:$E30,O14:O30)/$E31, 0)</f>
        <v>256.77956885074786</v>
      </c>
      <c r="P31" s="19">
        <f>IFERROR(SUMPRODUCT($E14:$E30,P14:P30)/$E31, 0)</f>
        <v>97.482506828509102</v>
      </c>
      <c r="Q31" s="19">
        <f>IFERROR(SUMPRODUCT($E14:$E30,Q14:Q30)/$E31, 0)</f>
        <v>159.29706202223875</v>
      </c>
      <c r="R31" s="17">
        <f>SUM(R14:R30)</f>
        <v>451471</v>
      </c>
      <c r="S31" s="19">
        <f>IFERROR(R31/D31/$F31*1000,0)</f>
        <v>113.09903753175243</v>
      </c>
      <c r="T31" s="20">
        <f t="shared" si="17"/>
        <v>6.5646962927851398</v>
      </c>
      <c r="U31" s="17">
        <f>SUM(U14:U30)</f>
        <v>751913</v>
      </c>
      <c r="V31" s="19">
        <f>IFERROR(U31/D31/$F31*1000,0)</f>
        <v>188.3634532619206</v>
      </c>
      <c r="W31" s="19">
        <f t="shared" si="19"/>
        <v>1.6654735298612755</v>
      </c>
      <c r="X31" s="19">
        <f>IFERROR(SUMPRODUCT(R14:R30,X14:X30)/R31,0)</f>
        <v>276.68357207250233</v>
      </c>
      <c r="Y31" s="19">
        <f>IFERROR(($F31*S31)/($F31*K31)*100,0)</f>
        <v>152.32997162397893</v>
      </c>
      <c r="Z31" s="19">
        <f t="shared" si="21"/>
        <v>42.14720068262541</v>
      </c>
      <c r="AA31" s="17"/>
      <c r="AB31" s="21">
        <f>IFERROR(SUMPRODUCT($F14:$F30,AB14:AB30)/$F31,0)</f>
        <v>0.77240957782623321</v>
      </c>
      <c r="AC31" s="19"/>
      <c r="AD31" s="21">
        <f>AVERAGE(AD14:AD30)</f>
        <v>0.35367570378103669</v>
      </c>
      <c r="AE31" s="19"/>
      <c r="AF31" s="19"/>
      <c r="AG31" s="17">
        <f>SUM(AG14:AG30)</f>
        <v>-168663.25150000016</v>
      </c>
      <c r="AH31" s="17">
        <f>SUM(AH14:AH30)</f>
        <v>415.5</v>
      </c>
      <c r="AI31" s="17">
        <f>IFERROR(SUMPRODUCT(AH14:AH30,AI14:AI30)/AH31, 0)</f>
        <v>14.440433212994586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686169</v>
      </c>
      <c r="F33" s="23">
        <f>F12+F31</f>
        <v>608733</v>
      </c>
      <c r="G33" s="23">
        <f>G12+G31</f>
        <v>1629</v>
      </c>
      <c r="H33" s="24">
        <f>IFERROR(G33/F33,0)</f>
        <v>2.6760500909265637E-3</v>
      </c>
      <c r="I33" s="23"/>
      <c r="J33" s="23">
        <f>J12+J31</f>
        <v>3180130</v>
      </c>
      <c r="K33" s="25">
        <f>IFERROR(J33/D33/F33*100,0)</f>
        <v>74.631124929038791</v>
      </c>
      <c r="L33" s="23"/>
      <c r="M33" s="25">
        <f>IFERROR($F$12/$F33*M$12,0)+IFERROR($F$31/$F33*M$31,0)</f>
        <v>78.910564155385046</v>
      </c>
      <c r="N33" s="25">
        <f>K33-M33</f>
        <v>-4.2794392263462555</v>
      </c>
      <c r="O33" s="23">
        <f>IFERROR($E$12/$E33*O$12,0)+IFERROR($E$31/$E33*O$31,0)</f>
        <v>257.61080142064128</v>
      </c>
      <c r="P33" s="23">
        <f>IFERROR($E$12/$E33*P$12,0)+IFERROR($E$31/$E33*P$31,0)</f>
        <v>93.065367278323549</v>
      </c>
      <c r="Q33" s="23">
        <f>IFERROR($E$12/$E33*Q$12,0)+IFERROR($E$31/$E33*Q$31,0)</f>
        <v>164.54543414231767</v>
      </c>
      <c r="R33" s="23">
        <f>R12+R31</f>
        <v>488316</v>
      </c>
      <c r="S33" s="25">
        <f>IFERROR(R33/D33/$F33*1000,0)</f>
        <v>114.59774412004698</v>
      </c>
      <c r="T33" s="26">
        <f>IFERROR(J33/R33,0)</f>
        <v>6.51244276247348</v>
      </c>
      <c r="U33" s="23">
        <f>U12+U31</f>
        <v>767033</v>
      </c>
      <c r="V33" s="25">
        <f>IFERROR(U33/D33/$F33*1000,0)</f>
        <v>180.00690427025125</v>
      </c>
      <c r="W33" s="25">
        <f>IFERROR(V33/S33,0)</f>
        <v>1.5707717953128715</v>
      </c>
      <c r="X33" s="25">
        <f>IFERROR($F$12/$F33*X$12,0)+IFERROR($F$31/$F33*X$31,0)</f>
        <v>282.43805863323109</v>
      </c>
      <c r="Y33" s="25">
        <f>IFERROR(($F33*S33)/($F33*K33)*100,0)</f>
        <v>153.5522132743001</v>
      </c>
      <c r="Z33" s="25">
        <f>IFERROR(Y33*X33/1000,0)</f>
        <v>43.368989016029175</v>
      </c>
      <c r="AA33" s="23"/>
      <c r="AB33" s="27"/>
      <c r="AC33" s="23"/>
      <c r="AD33" s="27"/>
      <c r="AE33" s="23"/>
      <c r="AF33" s="23"/>
      <c r="AG33" s="23">
        <f>AG12+AG31</f>
        <v>-182352.51150000017</v>
      </c>
      <c r="AH33" s="23">
        <f>AH12+AH31</f>
        <v>415.5</v>
      </c>
      <c r="AI33" s="23">
        <f>IFERROR(AH$12/AH33*AI$12,0)+IFERROR(AH$31/AH33*AI$31,0)</f>
        <v>14.440433212994586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69</v>
      </c>
      <c r="T36" s="32" t="s">
        <v>61</v>
      </c>
      <c r="U36" s="32" t="s">
        <v>70</v>
      </c>
      <c r="V36" s="32" t="s">
        <v>71</v>
      </c>
      <c r="W36" s="32" t="s">
        <v>72</v>
      </c>
      <c r="X36" s="32" t="s">
        <v>62</v>
      </c>
      <c r="Y36" s="32" t="s">
        <v>66</v>
      </c>
      <c r="Z36" s="32" t="s">
        <v>67</v>
      </c>
      <c r="AA36" s="32" t="s">
        <v>81</v>
      </c>
      <c r="AB36" s="32" t="s">
        <v>63</v>
      </c>
      <c r="AC36" s="32" t="s">
        <v>68</v>
      </c>
      <c r="AD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/>
      <c r="T37" s="8">
        <v>2.5000000000000001E-3</v>
      </c>
      <c r="U37" s="8">
        <v>5.3E-3</v>
      </c>
      <c r="V37" s="8">
        <v>6.3E-3</v>
      </c>
      <c r="W37" s="8">
        <v>2.7000000000000001E-3</v>
      </c>
      <c r="X37" s="8">
        <v>1.5E-3</v>
      </c>
      <c r="Y37" s="8">
        <v>1.4E-3</v>
      </c>
      <c r="Z37" s="8">
        <v>2.8E-3</v>
      </c>
      <c r="AA37" s="8">
        <v>1.6999999999999999E-3</v>
      </c>
      <c r="AB37" s="8"/>
      <c r="AC37" s="8"/>
      <c r="AD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/>
      <c r="T38" s="9">
        <v>2.5000000000000001E-3</v>
      </c>
      <c r="U38" s="9">
        <v>5.7999999999999996E-3</v>
      </c>
      <c r="V38" s="9">
        <v>3.5999999999999999E-3</v>
      </c>
      <c r="W38" s="9">
        <v>2.3E-3</v>
      </c>
      <c r="X38" s="9">
        <v>1.5E-3</v>
      </c>
      <c r="Y38" s="9">
        <v>1E-3</v>
      </c>
      <c r="Z38" s="9">
        <v>3.0000000000000001E-3</v>
      </c>
      <c r="AA38" s="9">
        <v>1.8E-3</v>
      </c>
      <c r="AB38" s="9"/>
      <c r="AC38" s="9"/>
      <c r="AD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/>
      <c r="T39" s="9">
        <v>2.5000000000000001E-3</v>
      </c>
      <c r="U39" s="9">
        <v>5.4999999999999997E-3</v>
      </c>
      <c r="V39" s="9">
        <v>3.5000000000000001E-3</v>
      </c>
      <c r="W39" s="9">
        <v>2.5000000000000001E-3</v>
      </c>
      <c r="X39" s="9">
        <v>1.6999999999999999E-3</v>
      </c>
      <c r="Y39" s="9">
        <v>6.9999999999999999E-4</v>
      </c>
      <c r="Z39" s="9">
        <v>2.8E-3</v>
      </c>
      <c r="AA39" s="9">
        <v>1.4E-3</v>
      </c>
      <c r="AB39" s="9"/>
      <c r="AC39" s="9"/>
      <c r="AD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/>
      <c r="T40" s="9">
        <v>2.5999999999999999E-3</v>
      </c>
      <c r="U40" s="9">
        <v>3.2000000000000002E-3</v>
      </c>
      <c r="V40" s="9">
        <v>3.7000000000000002E-3</v>
      </c>
      <c r="W40" s="9">
        <v>2.5000000000000001E-3</v>
      </c>
      <c r="X40" s="9">
        <v>1.6000000000000001E-3</v>
      </c>
      <c r="Y40" s="9">
        <v>8.9999999999999998E-4</v>
      </c>
      <c r="Z40" s="9">
        <v>3.5000000000000001E-3</v>
      </c>
      <c r="AA40" s="9">
        <v>1.6000000000000001E-3</v>
      </c>
      <c r="AB40" s="9"/>
      <c r="AC40" s="9"/>
      <c r="AD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/>
      <c r="T41" s="9">
        <v>2.3E-3</v>
      </c>
      <c r="U41" s="9">
        <v>2.2000000000000001E-3</v>
      </c>
      <c r="V41" s="9">
        <v>4.4000000000000003E-3</v>
      </c>
      <c r="W41" s="9">
        <v>2.3E-3</v>
      </c>
      <c r="X41" s="9">
        <v>1.6000000000000001E-3</v>
      </c>
      <c r="Y41" s="9">
        <v>8.9999999999999998E-4</v>
      </c>
      <c r="Z41" s="9">
        <v>3.0999999999999999E-3</v>
      </c>
      <c r="AA41" s="9">
        <v>1.5E-3</v>
      </c>
      <c r="AB41" s="9"/>
      <c r="AC41" s="9"/>
      <c r="AD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/>
      <c r="T42" s="9">
        <v>1.6999999999999999E-3</v>
      </c>
      <c r="U42" s="9">
        <v>3.0000000000000001E-3</v>
      </c>
      <c r="V42" s="9">
        <v>3.5999999999999999E-3</v>
      </c>
      <c r="W42" s="9">
        <v>1.8E-3</v>
      </c>
      <c r="X42" s="9">
        <v>8.9999999999999998E-4</v>
      </c>
      <c r="Y42" s="9">
        <v>5.9999999999999995E-4</v>
      </c>
      <c r="Z42" s="9">
        <v>1.6999999999999999E-3</v>
      </c>
      <c r="AA42" s="9">
        <v>1E-3</v>
      </c>
      <c r="AB42" s="9">
        <v>0</v>
      </c>
      <c r="AC42" s="9">
        <v>0</v>
      </c>
      <c r="AD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/>
      <c r="T43" s="9">
        <v>1.9E-3</v>
      </c>
      <c r="U43" s="9">
        <v>4.3E-3</v>
      </c>
      <c r="V43" s="9">
        <v>4.1999999999999997E-3</v>
      </c>
      <c r="W43" s="9">
        <v>4.4000000000000003E-3</v>
      </c>
      <c r="X43" s="9">
        <v>1.1000000000000001E-3</v>
      </c>
      <c r="Y43" s="9">
        <v>5.0000000000000001E-4</v>
      </c>
      <c r="Z43" s="9">
        <v>2.0999999999999999E-3</v>
      </c>
      <c r="AA43" s="9">
        <v>1.1999999999999999E-3</v>
      </c>
      <c r="AB43" s="9">
        <v>8.9999999999999998E-4</v>
      </c>
      <c r="AC43" s="9">
        <v>8.0000000000000004E-4</v>
      </c>
      <c r="AD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/>
      <c r="T44" s="9">
        <v>1.9E-3</v>
      </c>
      <c r="U44" s="9">
        <v>3.0999999999999999E-3</v>
      </c>
      <c r="V44" s="9">
        <v>3.2000000000000002E-3</v>
      </c>
      <c r="W44" s="9">
        <v>2.3E-3</v>
      </c>
      <c r="X44" s="9">
        <v>1.1000000000000001E-3</v>
      </c>
      <c r="Y44" s="9">
        <v>5.0000000000000001E-4</v>
      </c>
      <c r="Z44" s="9">
        <v>2.8E-3</v>
      </c>
      <c r="AA44" s="9">
        <v>1.2999999999999999E-3</v>
      </c>
      <c r="AB44" s="9">
        <v>1.1999999999999999E-3</v>
      </c>
      <c r="AC44" s="9">
        <v>6.9999999999999999E-4</v>
      </c>
      <c r="AD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/>
      <c r="T45" s="9">
        <v>2.5000000000000001E-3</v>
      </c>
      <c r="U45" s="9">
        <v>3.0999999999999999E-3</v>
      </c>
      <c r="V45" s="9">
        <v>4.5999999999999999E-3</v>
      </c>
      <c r="W45" s="9">
        <v>2.8E-3</v>
      </c>
      <c r="X45" s="9">
        <v>1.6999999999999999E-3</v>
      </c>
      <c r="Y45" s="9">
        <v>1E-3</v>
      </c>
      <c r="Z45" s="9">
        <v>3.5999999999999999E-3</v>
      </c>
      <c r="AA45" s="9">
        <v>1.6000000000000001E-3</v>
      </c>
      <c r="AB45" s="9">
        <v>2.3E-3</v>
      </c>
      <c r="AC45" s="9">
        <v>1.1999999999999999E-3</v>
      </c>
      <c r="AD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/>
      <c r="T46" s="9">
        <v>2.5000000000000001E-3</v>
      </c>
      <c r="U46" s="9">
        <v>2.5999999999999999E-3</v>
      </c>
      <c r="V46" s="9">
        <v>3.3999999999999998E-3</v>
      </c>
      <c r="W46" s="9">
        <v>2.5000000000000001E-3</v>
      </c>
      <c r="X46" s="9">
        <v>2E-3</v>
      </c>
      <c r="Y46" s="9">
        <v>1E-3</v>
      </c>
      <c r="Z46" s="9">
        <v>3.5000000000000001E-3</v>
      </c>
      <c r="AA46" s="9">
        <v>1.6999999999999999E-3</v>
      </c>
      <c r="AB46" s="9">
        <v>1.6999999999999999E-3</v>
      </c>
      <c r="AC46" s="9">
        <v>1.6000000000000001E-3</v>
      </c>
      <c r="AD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/>
      <c r="T47" s="9">
        <v>3.0000000000000001E-3</v>
      </c>
      <c r="U47" s="9">
        <v>2.3E-3</v>
      </c>
      <c r="V47" s="9">
        <v>3.0999999999999999E-3</v>
      </c>
      <c r="W47" s="9">
        <v>2.8E-3</v>
      </c>
      <c r="X47" s="9">
        <v>1.9E-3</v>
      </c>
      <c r="Y47" s="9">
        <v>8.9999999999999998E-4</v>
      </c>
      <c r="Z47" s="9">
        <v>3.5000000000000001E-3</v>
      </c>
      <c r="AA47" s="9">
        <v>1.5E-3</v>
      </c>
      <c r="AB47" s="9">
        <v>1.1000000000000001E-3</v>
      </c>
      <c r="AC47" s="9">
        <v>1.1999999999999999E-3</v>
      </c>
      <c r="AD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/>
      <c r="T48" s="9">
        <v>3.3999999999999998E-3</v>
      </c>
      <c r="U48" s="9">
        <v>2.5000000000000001E-3</v>
      </c>
      <c r="V48" s="9">
        <v>3.0999999999999999E-3</v>
      </c>
      <c r="W48" s="9">
        <v>3.2000000000000002E-3</v>
      </c>
      <c r="X48" s="9">
        <v>1.5E-3</v>
      </c>
      <c r="Y48" s="9">
        <v>8.0000000000000004E-4</v>
      </c>
      <c r="Z48" s="9">
        <v>3.8999999999999998E-3</v>
      </c>
      <c r="AA48" s="9">
        <v>3.5999999999999999E-3</v>
      </c>
      <c r="AB48" s="9">
        <v>1.1000000000000001E-3</v>
      </c>
      <c r="AC48" s="9">
        <v>1E-3</v>
      </c>
      <c r="AD48" s="9">
        <v>8.9999999999999998E-4</v>
      </c>
    </row>
    <row r="49" spans="2:30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>
        <v>5.3E-3</v>
      </c>
      <c r="P49" s="9">
        <v>2.5000000000000001E-3</v>
      </c>
      <c r="Q49" s="9">
        <v>3.8E-3</v>
      </c>
      <c r="R49" s="9">
        <v>3.0000000000000001E-3</v>
      </c>
      <c r="S49" s="9"/>
      <c r="T49" s="9">
        <v>3.5999999999999999E-3</v>
      </c>
      <c r="U49" s="9">
        <v>2.5000000000000001E-3</v>
      </c>
      <c r="V49" s="9">
        <v>3.5000000000000001E-3</v>
      </c>
      <c r="W49" s="9">
        <v>3.0999999999999999E-3</v>
      </c>
      <c r="X49" s="9">
        <v>2E-3</v>
      </c>
      <c r="Y49" s="9">
        <v>1.1000000000000001E-3</v>
      </c>
      <c r="Z49" s="9">
        <v>3.7000000000000002E-3</v>
      </c>
      <c r="AA49" s="9">
        <v>1.8E-3</v>
      </c>
      <c r="AB49" s="9">
        <v>1.6999999999999999E-3</v>
      </c>
      <c r="AC49" s="9">
        <v>8.9999999999999998E-4</v>
      </c>
      <c r="AD49" s="9">
        <v>1E-3</v>
      </c>
    </row>
    <row r="50" spans="2:30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>
        <v>3.8999999999999998E-3</v>
      </c>
      <c r="P50" s="9">
        <v>2.5000000000000001E-3</v>
      </c>
      <c r="Q50" s="9">
        <v>-1</v>
      </c>
      <c r="R50" s="9">
        <v>2.8E-3</v>
      </c>
      <c r="S50" s="9"/>
      <c r="T50" s="9">
        <v>3.5999999999999999E-3</v>
      </c>
      <c r="U50" s="9">
        <v>2.0999999999999999E-3</v>
      </c>
      <c r="V50" s="9">
        <v>3.2000000000000002E-3</v>
      </c>
      <c r="W50" s="9">
        <v>3.2000000000000002E-3</v>
      </c>
      <c r="X50" s="9">
        <v>2.3999999999999998E-3</v>
      </c>
      <c r="Y50" s="9">
        <v>1.1999999999999999E-3</v>
      </c>
      <c r="Z50" s="9">
        <v>4.7999999999999996E-3</v>
      </c>
      <c r="AA50" s="9">
        <v>1.6999999999999999E-3</v>
      </c>
      <c r="AB50" s="9">
        <v>1.6999999999999999E-3</v>
      </c>
      <c r="AC50" s="9">
        <v>1.1000000000000001E-3</v>
      </c>
      <c r="AD50" s="9">
        <v>1.1000000000000001E-3</v>
      </c>
    </row>
    <row r="51" spans="2:30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>
        <v>5.3E-3</v>
      </c>
      <c r="P51" s="9">
        <v>2.5000000000000001E-3</v>
      </c>
      <c r="Q51" s="9"/>
      <c r="R51" s="9">
        <v>2.5000000000000001E-3</v>
      </c>
      <c r="S51" s="9"/>
      <c r="T51" s="9">
        <v>3.7000000000000002E-3</v>
      </c>
      <c r="U51" s="9">
        <v>2.5999999999999999E-3</v>
      </c>
      <c r="V51" s="9">
        <v>2.8999999999999998E-3</v>
      </c>
      <c r="W51" s="9">
        <v>3.5999999999999999E-3</v>
      </c>
      <c r="X51" s="9">
        <v>2.5999999999999999E-3</v>
      </c>
      <c r="Y51" s="9">
        <v>8.0000000000000004E-4</v>
      </c>
      <c r="Z51" s="9">
        <v>3.7000000000000002E-3</v>
      </c>
      <c r="AA51" s="9">
        <v>1.9E-3</v>
      </c>
      <c r="AB51" s="9">
        <v>1.4E-3</v>
      </c>
      <c r="AC51" s="9">
        <v>8.9999999999999998E-4</v>
      </c>
      <c r="AD51" s="9">
        <v>1.4E-3</v>
      </c>
    </row>
    <row r="52" spans="2:30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>
        <v>5.0000000000000001E-3</v>
      </c>
      <c r="P52" s="9">
        <v>2.5000000000000001E-3</v>
      </c>
      <c r="Q52" s="9"/>
      <c r="R52" s="9">
        <v>2.8E-3</v>
      </c>
      <c r="S52" s="9"/>
      <c r="T52" s="9">
        <v>4.0000000000000001E-3</v>
      </c>
      <c r="U52" s="9">
        <v>2.3E-3</v>
      </c>
      <c r="V52" s="9">
        <v>3.0999999999999999E-3</v>
      </c>
      <c r="W52" s="9">
        <v>3.5999999999999999E-3</v>
      </c>
      <c r="X52" s="9">
        <v>3.3999999999999998E-3</v>
      </c>
      <c r="Y52" s="9">
        <v>1.1999999999999999E-3</v>
      </c>
      <c r="Z52" s="9">
        <v>4.3E-3</v>
      </c>
      <c r="AA52" s="9">
        <v>2.2000000000000001E-3</v>
      </c>
      <c r="AB52" s="9">
        <v>1.6000000000000001E-3</v>
      </c>
      <c r="AC52" s="9">
        <v>1.2999999999999999E-3</v>
      </c>
      <c r="AD52" s="9">
        <v>1.2999999999999999E-3</v>
      </c>
    </row>
    <row r="53" spans="2:30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>
        <v>8.2000000000000007E-3</v>
      </c>
      <c r="P53" s="9">
        <v>3.0999999999999999E-3</v>
      </c>
      <c r="Q53" s="9"/>
      <c r="R53" s="9">
        <v>2.8E-3</v>
      </c>
      <c r="S53" s="9"/>
      <c r="T53" s="9">
        <v>3.8999999999999998E-3</v>
      </c>
      <c r="U53" s="9">
        <v>2.8999999999999998E-3</v>
      </c>
      <c r="V53" s="9">
        <v>3.5999999999999999E-3</v>
      </c>
      <c r="W53" s="9">
        <v>2.7000000000000001E-3</v>
      </c>
      <c r="X53" s="9">
        <v>3.3E-3</v>
      </c>
      <c r="Y53" s="9">
        <v>8.9999999999999998E-4</v>
      </c>
      <c r="Z53" s="9">
        <v>4.1999999999999997E-3</v>
      </c>
      <c r="AA53" s="9">
        <v>2E-3</v>
      </c>
      <c r="AB53" s="9">
        <v>2.2000000000000001E-3</v>
      </c>
      <c r="AC53" s="9">
        <v>8.9999999999999998E-4</v>
      </c>
      <c r="AD53" s="9">
        <v>1.2999999999999999E-3</v>
      </c>
    </row>
    <row r="54" spans="2:30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>
        <v>4.8999999999999998E-3</v>
      </c>
      <c r="P54" s="9">
        <v>4.1999999999999997E-3</v>
      </c>
      <c r="Q54" s="9"/>
      <c r="R54" s="9">
        <v>3.0000000000000001E-3</v>
      </c>
      <c r="S54" s="9"/>
      <c r="T54" s="9">
        <v>4.1999999999999997E-3</v>
      </c>
      <c r="U54" s="9">
        <v>2.0999999999999999E-3</v>
      </c>
      <c r="V54" s="9">
        <v>3.3E-3</v>
      </c>
      <c r="W54" s="9">
        <v>3.7000000000000002E-3</v>
      </c>
      <c r="X54" s="9">
        <v>4.1999999999999997E-3</v>
      </c>
      <c r="Y54" s="9">
        <v>9.1999999999999998E-3</v>
      </c>
      <c r="Z54" s="9">
        <v>9.4000000000000004E-3</v>
      </c>
      <c r="AA54" s="9">
        <v>1.9E-3</v>
      </c>
      <c r="AB54" s="9">
        <v>1.8E-3</v>
      </c>
      <c r="AC54" s="9">
        <v>1.6000000000000001E-3</v>
      </c>
      <c r="AD54" s="9">
        <v>1.8E-3</v>
      </c>
    </row>
    <row r="55" spans="2:30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>
        <v>5.1999999999999998E-3</v>
      </c>
      <c r="P55" s="9">
        <v>3.2000000000000002E-3</v>
      </c>
      <c r="Q55" s="9"/>
      <c r="R55" s="9">
        <v>2.5999999999999999E-3</v>
      </c>
      <c r="S55" s="9">
        <v>1.1999999999999999E-3</v>
      </c>
      <c r="T55" s="9">
        <v>3.8999999999999998E-3</v>
      </c>
      <c r="U55" s="9">
        <v>3.3999999999999998E-3</v>
      </c>
      <c r="V55" s="9">
        <v>4.1000000000000003E-3</v>
      </c>
      <c r="W55" s="9">
        <v>3.5000000000000001E-3</v>
      </c>
      <c r="X55" s="9">
        <v>4.4999999999999997E-3</v>
      </c>
      <c r="Y55" s="9">
        <v>2E-3</v>
      </c>
      <c r="Z55" s="9">
        <v>4.8999999999999998E-3</v>
      </c>
      <c r="AA55" s="9">
        <v>3.0000000000000001E-3</v>
      </c>
      <c r="AB55" s="9">
        <v>1.9E-3</v>
      </c>
      <c r="AC55" s="9">
        <v>1E-3</v>
      </c>
      <c r="AD55" s="9">
        <v>2E-3</v>
      </c>
    </row>
    <row r="56" spans="2:30" ht="15" thickBot="1" x14ac:dyDescent="0.35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>
        <v>4.4000000000000003E-3</v>
      </c>
      <c r="P56" s="9">
        <v>3.5999999999999999E-3</v>
      </c>
      <c r="Q56" s="9"/>
      <c r="R56" s="9">
        <v>2.7000000000000001E-3</v>
      </c>
      <c r="S56" s="9">
        <v>1.1999999999999999E-3</v>
      </c>
      <c r="T56" s="9">
        <v>3.8E-3</v>
      </c>
      <c r="U56" s="9">
        <v>2.8E-3</v>
      </c>
      <c r="V56" s="9">
        <v>4.0000000000000001E-3</v>
      </c>
      <c r="W56" s="9">
        <v>2.3E-3</v>
      </c>
      <c r="X56" s="9">
        <v>4.3E-3</v>
      </c>
      <c r="Y56" s="9">
        <v>1.1999999999999999E-3</v>
      </c>
      <c r="Z56" s="9">
        <v>4.0000000000000001E-3</v>
      </c>
      <c r="AA56" s="9">
        <v>2.5000000000000001E-3</v>
      </c>
      <c r="AB56" s="9">
        <v>1.9E-3</v>
      </c>
      <c r="AC56" s="9">
        <v>1.4E-3</v>
      </c>
      <c r="AD56" s="9">
        <v>1.8E-3</v>
      </c>
    </row>
    <row r="57" spans="2:30" ht="15" thickBot="1" x14ac:dyDescent="0.35">
      <c r="B57" s="22" t="s">
        <v>82</v>
      </c>
      <c r="C57" s="22"/>
      <c r="D57" s="24">
        <f t="shared" ref="D57:AD57" si="23">AVERAGE(D37:D56)</f>
        <v>2.6500000000000004E-3</v>
      </c>
      <c r="E57" s="24">
        <f t="shared" si="23"/>
        <v>4.1799999999999997E-3</v>
      </c>
      <c r="F57" s="24">
        <f t="shared" si="23"/>
        <v>2.5049999999999994E-3</v>
      </c>
      <c r="G57" s="24">
        <f t="shared" si="23"/>
        <v>5.9000000000000007E-3</v>
      </c>
      <c r="H57" s="24">
        <f t="shared" si="23"/>
        <v>3.9699999999999996E-3</v>
      </c>
      <c r="I57" s="24">
        <f t="shared" si="23"/>
        <v>4.6299999999999996E-3</v>
      </c>
      <c r="J57" s="24">
        <f t="shared" si="23"/>
        <v>2.8249999999999994E-3</v>
      </c>
      <c r="K57" s="24">
        <f t="shared" si="23"/>
        <v>3.6149999999999993E-3</v>
      </c>
      <c r="L57" s="24">
        <f t="shared" si="23"/>
        <v>2.1000000000000003E-3</v>
      </c>
      <c r="M57" s="24">
        <f t="shared" si="23"/>
        <v>2.575E-3</v>
      </c>
      <c r="N57" s="24">
        <f t="shared" si="23"/>
        <v>2.7333333333333333E-3</v>
      </c>
      <c r="O57" s="24">
        <f t="shared" si="23"/>
        <v>5.7550000000000006E-3</v>
      </c>
      <c r="P57" s="24">
        <f t="shared" si="23"/>
        <v>2.8200000000000005E-3</v>
      </c>
      <c r="Q57" s="24">
        <f t="shared" si="23"/>
        <v>-6.7871428571428569E-2</v>
      </c>
      <c r="R57" s="24">
        <f t="shared" si="23"/>
        <v>2.2099999999999997E-3</v>
      </c>
      <c r="S57" s="24">
        <f t="shared" si="23"/>
        <v>1.1999999999999999E-3</v>
      </c>
      <c r="T57" s="24">
        <f t="shared" si="23"/>
        <v>3.0000000000000001E-3</v>
      </c>
      <c r="U57" s="24">
        <f t="shared" si="23"/>
        <v>3.1799999999999997E-3</v>
      </c>
      <c r="V57" s="24">
        <f t="shared" si="23"/>
        <v>3.7200000000000002E-3</v>
      </c>
      <c r="W57" s="24">
        <f t="shared" si="23"/>
        <v>2.8900000000000002E-3</v>
      </c>
      <c r="X57" s="24">
        <f t="shared" si="23"/>
        <v>2.2399999999999998E-3</v>
      </c>
      <c r="Y57" s="24">
        <f t="shared" si="23"/>
        <v>1.39E-3</v>
      </c>
      <c r="Z57" s="24">
        <f t="shared" si="23"/>
        <v>3.7650000000000001E-3</v>
      </c>
      <c r="AA57" s="24">
        <f t="shared" si="23"/>
        <v>1.8450000000000001E-3</v>
      </c>
      <c r="AB57" s="24">
        <f t="shared" si="23"/>
        <v>1.5E-3</v>
      </c>
      <c r="AC57" s="24">
        <f t="shared" si="23"/>
        <v>1.0399999999999999E-3</v>
      </c>
      <c r="AD57" s="24">
        <f t="shared" si="23"/>
        <v>1.17E-3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T58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45795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45801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123</v>
      </c>
      <c r="C6" s="7">
        <v>13</v>
      </c>
      <c r="D6" s="7">
        <v>7</v>
      </c>
      <c r="E6" s="7">
        <v>1197</v>
      </c>
      <c r="F6" s="7">
        <v>1030</v>
      </c>
      <c r="G6" s="7">
        <v>3</v>
      </c>
      <c r="H6" s="9">
        <f t="shared" ref="H6:H12" si="0">IFERROR(G6/F6,0)</f>
        <v>2.9126213592233011E-3</v>
      </c>
      <c r="I6" s="9">
        <f>IFERROR((1197-F6)/1197,0)</f>
        <v>0.13951545530492898</v>
      </c>
      <c r="J6" s="7">
        <v>4260</v>
      </c>
      <c r="K6" s="11">
        <f t="shared" ref="K6:K12" si="1">IFERROR(J6/D6/F6*100,0)</f>
        <v>59.084604715672675</v>
      </c>
      <c r="L6" s="11">
        <f>K6-60.5725</f>
        <v>-1.4878952843273225</v>
      </c>
      <c r="M6" s="11">
        <v>86</v>
      </c>
      <c r="N6" s="11">
        <f t="shared" ref="N6:N12" si="2">K6-M6</f>
        <v>-26.915395284327325</v>
      </c>
      <c r="O6" s="11">
        <f>IFERROR(141830/1197,0)</f>
        <v>118.48788638262323</v>
      </c>
      <c r="P6" s="11">
        <v>0</v>
      </c>
      <c r="Q6" s="11">
        <f t="shared" ref="Q6:Q11" si="3">IFERROR(O6-P6,0)</f>
        <v>118.48788638262323</v>
      </c>
      <c r="R6" s="7">
        <v>938</v>
      </c>
      <c r="S6" s="11">
        <f t="shared" ref="S6:S11" si="4">IFERROR(R6/D6/F6*1000,0)</f>
        <v>130.09708737864079</v>
      </c>
      <c r="T6" s="13">
        <f t="shared" ref="T6:T12" si="5">IFERROR(J6/R6,0)</f>
        <v>4.5415778251599148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220.1877934272301</v>
      </c>
      <c r="Z6" s="11">
        <f t="shared" ref="Z6:Z12" si="9">IFERROR(Y6*X6/1000,0)</f>
        <v>65.369352112676069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23</v>
      </c>
      <c r="AG6" s="7">
        <f t="shared" ref="AG6:AG11" si="10">IF(M6=0,0,IFERROR(N6/100*7*F6,0))</f>
        <v>-1940.6000000000001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83</v>
      </c>
      <c r="C7" s="7">
        <v>13</v>
      </c>
      <c r="D7" s="7">
        <v>7</v>
      </c>
      <c r="E7" s="7">
        <v>14440</v>
      </c>
      <c r="F7" s="7">
        <v>11276</v>
      </c>
      <c r="G7" s="7">
        <v>33</v>
      </c>
      <c r="H7" s="9">
        <f t="shared" si="0"/>
        <v>2.9265697055693507E-3</v>
      </c>
      <c r="I7" s="9">
        <f>IFERROR((14440-F7)/14440,0)</f>
        <v>0.21911357340720222</v>
      </c>
      <c r="J7" s="7">
        <v>59910</v>
      </c>
      <c r="K7" s="11">
        <f t="shared" si="1"/>
        <v>75.900775350934993</v>
      </c>
      <c r="L7" s="11">
        <f>K7-76.5509</f>
        <v>-0.65012464906500611</v>
      </c>
      <c r="M7" s="11">
        <v>86</v>
      </c>
      <c r="N7" s="11">
        <f t="shared" si="2"/>
        <v>-10.099224649065007</v>
      </c>
      <c r="O7" s="11">
        <f>IFERROR(4595380/14440,0)</f>
        <v>318.23961218836564</v>
      </c>
      <c r="P7" s="11">
        <v>0</v>
      </c>
      <c r="Q7" s="11">
        <f t="shared" si="3"/>
        <v>318.23961218836564</v>
      </c>
      <c r="R7" s="7">
        <v>9914</v>
      </c>
      <c r="S7" s="11">
        <f t="shared" si="4"/>
        <v>125.60178381391576</v>
      </c>
      <c r="T7" s="13">
        <f t="shared" si="5"/>
        <v>6.0429695380270321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165.48155566683354</v>
      </c>
      <c r="Z7" s="11">
        <f t="shared" si="9"/>
        <v>61.749442497078931</v>
      </c>
      <c r="AA7" s="7">
        <v>2068</v>
      </c>
      <c r="AB7" s="15">
        <f>IFERROR(AA7/1970,0)</f>
        <v>1.0497461928934011</v>
      </c>
      <c r="AC7" s="11">
        <v>0</v>
      </c>
      <c r="AD7" s="15">
        <f>IFERROR(AC7/64.9,0)</f>
        <v>0</v>
      </c>
      <c r="AE7" s="11">
        <v>0</v>
      </c>
      <c r="AF7" s="11">
        <v>25</v>
      </c>
      <c r="AG7" s="7">
        <f t="shared" si="10"/>
        <v>-7971.5199999999913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83</v>
      </c>
      <c r="C8" s="7">
        <v>13</v>
      </c>
      <c r="D8" s="7">
        <v>7</v>
      </c>
      <c r="E8" s="7">
        <v>16063</v>
      </c>
      <c r="F8" s="7">
        <v>13203</v>
      </c>
      <c r="G8" s="7">
        <v>25</v>
      </c>
      <c r="H8" s="9">
        <f t="shared" si="0"/>
        <v>1.8935090509732636E-3</v>
      </c>
      <c r="I8" s="9">
        <f>IFERROR((16063-F8)/16063,0)</f>
        <v>0.17804893232895475</v>
      </c>
      <c r="J8" s="7">
        <v>63000</v>
      </c>
      <c r="K8" s="11">
        <f t="shared" si="1"/>
        <v>68.166325835037483</v>
      </c>
      <c r="L8" s="11">
        <f>K8-69.9814</f>
        <v>-1.8150741649625104</v>
      </c>
      <c r="M8" s="11">
        <v>81</v>
      </c>
      <c r="N8" s="11">
        <f t="shared" si="2"/>
        <v>-12.833674164962517</v>
      </c>
      <c r="O8" s="11">
        <f>IFERROR(4784640/16063,0)</f>
        <v>297.86714810433915</v>
      </c>
      <c r="P8" s="11">
        <v>0</v>
      </c>
      <c r="Q8" s="11">
        <f t="shared" si="3"/>
        <v>297.86714810433915</v>
      </c>
      <c r="R8" s="7">
        <v>10830</v>
      </c>
      <c r="S8" s="11">
        <f t="shared" si="4"/>
        <v>117.1811601259454</v>
      </c>
      <c r="T8" s="13">
        <f t="shared" si="5"/>
        <v>5.8171745152354575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171.90476190476193</v>
      </c>
      <c r="Z8" s="11">
        <f t="shared" si="9"/>
        <v>63.604761904761915</v>
      </c>
      <c r="AA8" s="7">
        <v>0</v>
      </c>
      <c r="AB8" s="15">
        <f>IFERROR(AA8/1580,0)</f>
        <v>0</v>
      </c>
      <c r="AC8" s="11">
        <v>0</v>
      </c>
      <c r="AD8" s="15">
        <f>IFERROR(AC8/63.6,0)</f>
        <v>0</v>
      </c>
      <c r="AE8" s="11">
        <v>0</v>
      </c>
      <c r="AF8" s="11">
        <v>25</v>
      </c>
      <c r="AG8" s="7">
        <f t="shared" si="10"/>
        <v>-11861.010000000007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44</v>
      </c>
      <c r="C9" s="7"/>
      <c r="D9" s="7">
        <v>7</v>
      </c>
      <c r="E9" s="7">
        <v>4686</v>
      </c>
      <c r="F9" s="7">
        <v>4194</v>
      </c>
      <c r="G9" s="7">
        <v>1</v>
      </c>
      <c r="H9" s="9">
        <f t="shared" si="0"/>
        <v>2.3843586075345731E-4</v>
      </c>
      <c r="I9" s="9">
        <f>IFERROR((4686-F9)/4686,0)</f>
        <v>0.10499359795134443</v>
      </c>
      <c r="J9" s="7">
        <v>29730</v>
      </c>
      <c r="K9" s="11">
        <f t="shared" si="1"/>
        <v>101.26711628857552</v>
      </c>
      <c r="L9" s="11">
        <f>K9-101.243</f>
        <v>2.4116288575527278E-2</v>
      </c>
      <c r="M9" s="11">
        <v>91</v>
      </c>
      <c r="N9" s="11">
        <f t="shared" si="2"/>
        <v>10.267116288575522</v>
      </c>
      <c r="O9" s="11">
        <f>IFERROR(700800/4686,0)</f>
        <v>149.55185659411012</v>
      </c>
      <c r="P9" s="11">
        <v>162</v>
      </c>
      <c r="Q9" s="11">
        <f t="shared" si="3"/>
        <v>-12.44814340588988</v>
      </c>
      <c r="R9" s="7">
        <v>4709</v>
      </c>
      <c r="S9" s="11">
        <f t="shared" si="4"/>
        <v>160.39920975543293</v>
      </c>
      <c r="T9" s="13">
        <f t="shared" si="5"/>
        <v>6.3134423444468037</v>
      </c>
      <c r="U9" s="7">
        <v>5040</v>
      </c>
      <c r="V9" s="11">
        <f t="shared" si="6"/>
        <v>171.67381974248926</v>
      </c>
      <c r="W9" s="11">
        <f t="shared" si="7"/>
        <v>1.0702909322573795</v>
      </c>
      <c r="X9" s="11">
        <v>362.76</v>
      </c>
      <c r="Y9" s="11">
        <f t="shared" si="8"/>
        <v>158.39219643457784</v>
      </c>
      <c r="Z9" s="11">
        <f t="shared" si="9"/>
        <v>57.458353178607453</v>
      </c>
      <c r="AA9" s="7">
        <v>1932</v>
      </c>
      <c r="AB9" s="15">
        <f>IFERROR(AA9/1940,0)</f>
        <v>0.99587628865979383</v>
      </c>
      <c r="AC9" s="11">
        <v>0</v>
      </c>
      <c r="AD9" s="15">
        <f>IFERROR(AC9/62.9,0)</f>
        <v>0</v>
      </c>
      <c r="AE9" s="11">
        <v>14</v>
      </c>
      <c r="AF9" s="11">
        <v>26</v>
      </c>
      <c r="AG9" s="7">
        <f t="shared" si="10"/>
        <v>3014.2200000000016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83</v>
      </c>
      <c r="C10" s="7">
        <v>14</v>
      </c>
      <c r="D10" s="7">
        <v>7</v>
      </c>
      <c r="E10" s="7">
        <v>5000</v>
      </c>
      <c r="F10" s="7">
        <v>4116</v>
      </c>
      <c r="G10" s="7">
        <v>11</v>
      </c>
      <c r="H10" s="9">
        <f t="shared" si="0"/>
        <v>2.6724975704567541E-3</v>
      </c>
      <c r="I10" s="9">
        <f>IFERROR((5000-F10)/5000,0)</f>
        <v>0.17680000000000001</v>
      </c>
      <c r="J10" s="7">
        <v>25470</v>
      </c>
      <c r="K10" s="11">
        <f t="shared" si="1"/>
        <v>88.400666389004584</v>
      </c>
      <c r="L10" s="11">
        <f>K10-90.4497</f>
        <v>-2.0490336109954228</v>
      </c>
      <c r="M10" s="11">
        <v>85</v>
      </c>
      <c r="N10" s="11">
        <f t="shared" si="2"/>
        <v>3.4006663890045843</v>
      </c>
      <c r="O10" s="11">
        <f>IFERROR(1684910/5000,0)</f>
        <v>336.98200000000003</v>
      </c>
      <c r="P10" s="11">
        <v>0</v>
      </c>
      <c r="Q10" s="11">
        <f t="shared" si="3"/>
        <v>336.98200000000003</v>
      </c>
      <c r="R10" s="7">
        <v>4644</v>
      </c>
      <c r="S10" s="11">
        <f t="shared" si="4"/>
        <v>161.18284048313203</v>
      </c>
      <c r="T10" s="13">
        <f t="shared" si="5"/>
        <v>5.4844961240310077</v>
      </c>
      <c r="U10" s="7">
        <v>5040</v>
      </c>
      <c r="V10" s="11">
        <f t="shared" si="6"/>
        <v>174.9271137026239</v>
      </c>
      <c r="W10" s="11">
        <f t="shared" si="7"/>
        <v>1.0852713178294573</v>
      </c>
      <c r="X10" s="11">
        <v>374.81</v>
      </c>
      <c r="Y10" s="11">
        <f t="shared" si="8"/>
        <v>182.33215547703179</v>
      </c>
      <c r="Z10" s="11">
        <f t="shared" si="9"/>
        <v>68.33991519434629</v>
      </c>
      <c r="AA10" s="7">
        <v>1930</v>
      </c>
      <c r="AB10" s="15">
        <f>IFERROR(AA10/1970,0)</f>
        <v>0.97969543147208127</v>
      </c>
      <c r="AC10" s="11">
        <v>0</v>
      </c>
      <c r="AD10" s="15">
        <f>IFERROR(AC10/64.9,0)</f>
        <v>0</v>
      </c>
      <c r="AE10" s="11">
        <v>13</v>
      </c>
      <c r="AF10" s="11">
        <v>21</v>
      </c>
      <c r="AG10" s="7">
        <f t="shared" si="10"/>
        <v>979.80000000000086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44</v>
      </c>
      <c r="C11" s="7"/>
      <c r="D11" s="7">
        <v>7</v>
      </c>
      <c r="E11" s="7">
        <v>4819</v>
      </c>
      <c r="F11" s="7">
        <v>4574</v>
      </c>
      <c r="G11" s="7">
        <v>7</v>
      </c>
      <c r="H11" s="9">
        <f t="shared" si="0"/>
        <v>1.530389156099694E-3</v>
      </c>
      <c r="I11" s="9">
        <f>IFERROR((4819-F11)/4819,0)</f>
        <v>5.0840423324341147E-2</v>
      </c>
      <c r="J11" s="7">
        <v>30830</v>
      </c>
      <c r="K11" s="11">
        <f t="shared" si="1"/>
        <v>96.289587107252189</v>
      </c>
      <c r="L11" s="11">
        <f>K11-95.7994</f>
        <v>0.49018710725218284</v>
      </c>
      <c r="M11" s="11">
        <v>91</v>
      </c>
      <c r="N11" s="11">
        <f t="shared" si="2"/>
        <v>5.2895871072521885</v>
      </c>
      <c r="O11" s="11">
        <f>IFERROR(740506/4819,0)</f>
        <v>153.66383067026354</v>
      </c>
      <c r="P11" s="11">
        <v>162</v>
      </c>
      <c r="Q11" s="11">
        <f t="shared" si="3"/>
        <v>-8.3361693297364639</v>
      </c>
      <c r="R11" s="7">
        <v>5326</v>
      </c>
      <c r="S11" s="11">
        <f t="shared" si="4"/>
        <v>166.34393153850959</v>
      </c>
      <c r="T11" s="13">
        <f t="shared" si="5"/>
        <v>5.7885843034171982</v>
      </c>
      <c r="U11" s="7">
        <v>5040</v>
      </c>
      <c r="V11" s="11">
        <f t="shared" si="6"/>
        <v>157.4114560559685</v>
      </c>
      <c r="W11" s="11">
        <f t="shared" si="7"/>
        <v>0.94630116410063825</v>
      </c>
      <c r="X11" s="11">
        <v>362.76</v>
      </c>
      <c r="Y11" s="11">
        <f t="shared" si="8"/>
        <v>172.75381122283486</v>
      </c>
      <c r="Z11" s="11">
        <f t="shared" si="9"/>
        <v>62.668172559195568</v>
      </c>
      <c r="AA11" s="7">
        <v>0</v>
      </c>
      <c r="AB11" s="15">
        <f>IFERROR(AA11/1940,0)</f>
        <v>0</v>
      </c>
      <c r="AC11" s="11">
        <v>0</v>
      </c>
      <c r="AD11" s="15">
        <f>IFERROR(AC11/62.9,0)</f>
        <v>0</v>
      </c>
      <c r="AE11" s="11">
        <v>13</v>
      </c>
      <c r="AF11" s="11">
        <v>24</v>
      </c>
      <c r="AG11" s="7">
        <f t="shared" si="10"/>
        <v>1693.6200000000058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38393</v>
      </c>
      <c r="G12" s="17">
        <f>SUM(G6:G11)</f>
        <v>80</v>
      </c>
      <c r="H12" s="18">
        <f t="shared" si="0"/>
        <v>2.0837131768812025E-3</v>
      </c>
      <c r="I12" s="18"/>
      <c r="J12" s="17">
        <f>SUM(J6:J11)</f>
        <v>213200</v>
      </c>
      <c r="K12" s="19">
        <f t="shared" si="1"/>
        <v>79.329937376977213</v>
      </c>
      <c r="L12" s="19"/>
      <c r="M12" s="19">
        <f>IFERROR(SUMPRODUCT($F6:$F11,M6:M11)/$F12, 0)</f>
        <v>85.315213710832708</v>
      </c>
      <c r="N12" s="19">
        <f t="shared" si="2"/>
        <v>-5.9852763338554951</v>
      </c>
      <c r="O12" s="19">
        <f>IFERROR(SUMPRODUCT($E6:$E11,O6:O11)/$E12, 0)</f>
        <v>273.73803700898173</v>
      </c>
      <c r="P12" s="19">
        <f>IFERROR(SUMPRODUCT($E6:$E11,P6:P11)/$E12, 0)</f>
        <v>33.325614111026944</v>
      </c>
      <c r="Q12" s="19">
        <f>IFERROR(SUMPRODUCT($E6:$E11,Q6:Q11)/$E12, 0)</f>
        <v>240.41242289795477</v>
      </c>
      <c r="R12" s="17">
        <f>SUM(R6:R11)</f>
        <v>36361</v>
      </c>
      <c r="S12" s="19">
        <f>IFERROR(R12/D12/$F12*1000,0)</f>
        <v>135.29624075817392</v>
      </c>
      <c r="T12" s="20">
        <f t="shared" si="5"/>
        <v>5.8634250983196283</v>
      </c>
      <c r="U12" s="17">
        <f>SUM(U6:U11)</f>
        <v>15120</v>
      </c>
      <c r="V12" s="19">
        <f>IFERROR(U12/D12/$F12*1000,0)</f>
        <v>56.260255775792459</v>
      </c>
      <c r="W12" s="19">
        <f t="shared" si="7"/>
        <v>0.4158301476857072</v>
      </c>
      <c r="X12" s="19">
        <f>IFERROR(SUMPRODUCT(R6:R11,X6:X11)/R12,0)</f>
        <v>367.58881163884382</v>
      </c>
      <c r="Y12" s="19">
        <f>IFERROR(($F12*S12)/($F12*K12)*100,0)</f>
        <v>170.54878048780489</v>
      </c>
      <c r="Z12" s="19">
        <f t="shared" si="9"/>
        <v>62.69182354596623</v>
      </c>
      <c r="AA12" s="17"/>
      <c r="AB12" s="21">
        <f>IFERROR(SUMPRODUCT($F6:$F11,AB6:AB11)/$F12,0)</f>
        <v>0.52212824269122626</v>
      </c>
      <c r="AC12" s="19"/>
      <c r="AD12" s="21">
        <f>AVERAGE(AD6:AD11)</f>
        <v>0</v>
      </c>
      <c r="AE12" s="19"/>
      <c r="AF12" s="19"/>
      <c r="AG12" s="17">
        <f>SUM(AG6:AG11)</f>
        <v>-16085.489999999991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83</v>
      </c>
      <c r="C14" s="6">
        <v>19</v>
      </c>
      <c r="D14" s="6">
        <v>7</v>
      </c>
      <c r="E14" s="6">
        <v>21388</v>
      </c>
      <c r="F14" s="6">
        <v>16589</v>
      </c>
      <c r="G14" s="6">
        <v>34</v>
      </c>
      <c r="H14" s="8">
        <f t="shared" ref="H14:H31" si="12">IFERROR(G14/F14,0)</f>
        <v>2.0495509072276808E-3</v>
      </c>
      <c r="I14" s="8">
        <f>IFERROR((21388-F14)/21388,0)</f>
        <v>0.22437815597531327</v>
      </c>
      <c r="J14" s="6">
        <v>71560</v>
      </c>
      <c r="K14" s="10">
        <f t="shared" ref="K14:K31" si="13">IFERROR(J14/D14/F14*100,0)</f>
        <v>61.624312151770113</v>
      </c>
      <c r="L14" s="10">
        <f>K14-68.9664</f>
        <v>-7.3420878482298804</v>
      </c>
      <c r="M14" s="10">
        <v>82</v>
      </c>
      <c r="N14" s="10">
        <f t="shared" ref="N14:N31" si="14">K14-M14</f>
        <v>-20.375687848229887</v>
      </c>
      <c r="O14" s="10">
        <f>IFERROR(5412690/21388,0)</f>
        <v>253.07134841967459</v>
      </c>
      <c r="P14" s="10">
        <v>0</v>
      </c>
      <c r="Q14" s="10">
        <f t="shared" ref="Q14:Q30" si="15">IFERROR(O14-P14,0)</f>
        <v>253.07134841967459</v>
      </c>
      <c r="R14" s="6">
        <v>11330</v>
      </c>
      <c r="S14" s="10">
        <f t="shared" ref="S14:S30" si="16">IFERROR(R14/D14/F14*1000,0)</f>
        <v>97.568957054158091</v>
      </c>
      <c r="T14" s="12">
        <f t="shared" ref="T14:T31" si="17">IFERROR(J14/R14,0)</f>
        <v>6.3159752868490733</v>
      </c>
      <c r="U14" s="6">
        <v>21130</v>
      </c>
      <c r="V14" s="10">
        <f t="shared" ref="V14:V30" si="18">IFERROR(U14/D14/F14*1000,0)</f>
        <v>181.96222970470964</v>
      </c>
      <c r="W14" s="10">
        <f t="shared" ref="W14:W31" si="19">IFERROR(V14/S14,0)</f>
        <v>1.8649602824360103</v>
      </c>
      <c r="X14" s="10">
        <v>284.9085714286</v>
      </c>
      <c r="Y14" s="10">
        <f t="shared" ref="Y14:Y30" si="20">IFERROR((F14*S14)/(F14*K14)*100,0)</f>
        <v>158.32867523756286</v>
      </c>
      <c r="Z14" s="10">
        <f t="shared" ref="Z14:Z31" si="21">IFERROR(Y14*X14/1000,0)</f>
        <v>45.109196678116795</v>
      </c>
      <c r="AA14" s="6">
        <v>2040</v>
      </c>
      <c r="AB14" s="14">
        <f>IFERROR(AA14/1580,0)</f>
        <v>1.2911392405063291</v>
      </c>
      <c r="AC14" s="10">
        <v>0</v>
      </c>
      <c r="AD14" s="14">
        <f>IFERROR(AC14/63.6,0)</f>
        <v>0</v>
      </c>
      <c r="AE14" s="10">
        <v>22</v>
      </c>
      <c r="AF14" s="10">
        <v>25</v>
      </c>
      <c r="AG14" s="6">
        <f t="shared" ref="AG14:AG30" si="22">IF(M14=0,0,IFERROR(N14/100*7*F14,0))</f>
        <v>-23660.85999999999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43</v>
      </c>
      <c r="C15" s="7"/>
      <c r="D15" s="7">
        <v>7</v>
      </c>
      <c r="E15" s="7">
        <v>10225</v>
      </c>
      <c r="F15" s="7">
        <v>8880</v>
      </c>
      <c r="G15" s="7">
        <v>51</v>
      </c>
      <c r="H15" s="9">
        <f t="shared" si="12"/>
        <v>5.7432432432432436E-3</v>
      </c>
      <c r="I15" s="9">
        <f>IFERROR((10225-F15)/10225,0)</f>
        <v>0.13154034229828851</v>
      </c>
      <c r="J15" s="7">
        <v>53100</v>
      </c>
      <c r="K15" s="11">
        <f t="shared" si="13"/>
        <v>85.424710424710412</v>
      </c>
      <c r="L15" s="11">
        <f>K15-86.8564</f>
        <v>-1.4316895752895817</v>
      </c>
      <c r="M15" s="11">
        <v>91</v>
      </c>
      <c r="N15" s="11">
        <f t="shared" si="14"/>
        <v>-5.5752895752895881</v>
      </c>
      <c r="O15" s="11">
        <f>IFERROR(1341710/10225,0)</f>
        <v>131.21858190709045</v>
      </c>
      <c r="P15" s="11">
        <v>155</v>
      </c>
      <c r="Q15" s="11">
        <f t="shared" si="15"/>
        <v>-23.781418092909547</v>
      </c>
      <c r="R15" s="7">
        <v>8930</v>
      </c>
      <c r="S15" s="11">
        <f t="shared" si="16"/>
        <v>143.66151866151867</v>
      </c>
      <c r="T15" s="13">
        <f t="shared" si="17"/>
        <v>5.9462486002239645</v>
      </c>
      <c r="U15" s="7">
        <v>12590</v>
      </c>
      <c r="V15" s="11">
        <f t="shared" si="18"/>
        <v>202.54182754182756</v>
      </c>
      <c r="W15" s="11">
        <f t="shared" si="19"/>
        <v>1.4098544232922732</v>
      </c>
      <c r="X15" s="11">
        <v>286.75428571430001</v>
      </c>
      <c r="Y15" s="11">
        <f t="shared" si="20"/>
        <v>168.17325800376651</v>
      </c>
      <c r="Z15" s="11">
        <f t="shared" si="21"/>
        <v>48.224402475116754</v>
      </c>
      <c r="AA15" s="7">
        <v>2020</v>
      </c>
      <c r="AB15" s="15">
        <f>IFERROR(AA15/1940,0)</f>
        <v>1.0412371134020619</v>
      </c>
      <c r="AC15" s="11">
        <v>0</v>
      </c>
      <c r="AD15" s="15">
        <f>IFERROR(AC15/62.8,0)</f>
        <v>0</v>
      </c>
      <c r="AE15" s="11">
        <v>23</v>
      </c>
      <c r="AF15" s="11">
        <v>31</v>
      </c>
      <c r="AG15" s="7">
        <f t="shared" si="22"/>
        <v>-3465.6000000000081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72</v>
      </c>
      <c r="C16" s="7"/>
      <c r="D16" s="7">
        <v>7</v>
      </c>
      <c r="E16" s="7">
        <v>56050</v>
      </c>
      <c r="F16" s="7">
        <v>49400</v>
      </c>
      <c r="G16" s="7">
        <v>185</v>
      </c>
      <c r="H16" s="9">
        <f t="shared" si="12"/>
        <v>3.7449392712550606E-3</v>
      </c>
      <c r="I16" s="9">
        <f>IFERROR((56050-F16)/56050,0)</f>
        <v>0.11864406779661017</v>
      </c>
      <c r="J16" s="7">
        <v>304280</v>
      </c>
      <c r="K16" s="11">
        <f t="shared" si="13"/>
        <v>87.993059572006942</v>
      </c>
      <c r="L16" s="11">
        <f>K16-90.5343</f>
        <v>-2.5412404279930598</v>
      </c>
      <c r="M16" s="11">
        <v>87.8</v>
      </c>
      <c r="N16" s="11">
        <f t="shared" si="14"/>
        <v>0.19305957200694479</v>
      </c>
      <c r="O16" s="11">
        <f>IFERROR(18079381/56050,0)</f>
        <v>322.55809099018734</v>
      </c>
      <c r="P16" s="11">
        <v>327</v>
      </c>
      <c r="Q16" s="11">
        <f t="shared" si="15"/>
        <v>-4.4419090098126617</v>
      </c>
      <c r="R16" s="7">
        <v>39420</v>
      </c>
      <c r="S16" s="11">
        <f t="shared" si="16"/>
        <v>113.99652978600346</v>
      </c>
      <c r="T16" s="13">
        <f t="shared" si="17"/>
        <v>7.7189244038559108</v>
      </c>
      <c r="U16" s="7">
        <v>60100</v>
      </c>
      <c r="V16" s="11">
        <f t="shared" si="18"/>
        <v>173.79988432620013</v>
      </c>
      <c r="W16" s="11">
        <f t="shared" si="19"/>
        <v>1.5246067985794016</v>
      </c>
      <c r="X16" s="11">
        <v>295.41857142859999</v>
      </c>
      <c r="Y16" s="11">
        <f t="shared" si="20"/>
        <v>129.55172867096096</v>
      </c>
      <c r="Z16" s="11">
        <f t="shared" si="21"/>
        <v>38.271986610080887</v>
      </c>
      <c r="AA16" s="7">
        <v>1770</v>
      </c>
      <c r="AB16" s="15">
        <f>IFERROR(AA16/1725,0)</f>
        <v>1.0260869565217392</v>
      </c>
      <c r="AC16" s="11">
        <v>0</v>
      </c>
      <c r="AD16" s="15">
        <f>IFERROR(AC16/63.8,0)</f>
        <v>0</v>
      </c>
      <c r="AE16" s="11">
        <v>21</v>
      </c>
      <c r="AF16" s="11">
        <v>26</v>
      </c>
      <c r="AG16" s="7">
        <f t="shared" si="22"/>
        <v>667.60000000001503</v>
      </c>
      <c r="AH16" s="7">
        <v>67</v>
      </c>
      <c r="AI16" s="7">
        <v>7.4626865671999996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IFERROR(1550/F16,0)</f>
        <v>3.137651821862348E-2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65</v>
      </c>
      <c r="C17" s="7"/>
      <c r="D17" s="7">
        <v>7</v>
      </c>
      <c r="E17" s="7">
        <v>51536</v>
      </c>
      <c r="F17" s="7">
        <v>47329</v>
      </c>
      <c r="G17" s="7">
        <v>146</v>
      </c>
      <c r="H17" s="9">
        <f t="shared" si="12"/>
        <v>3.0847894525555157E-3</v>
      </c>
      <c r="I17" s="9">
        <f>IFERROR((51536-F17)/51536,0)</f>
        <v>8.1632257063023905E-2</v>
      </c>
      <c r="J17" s="7">
        <v>283700</v>
      </c>
      <c r="K17" s="11">
        <f t="shared" si="13"/>
        <v>85.631581965753398</v>
      </c>
      <c r="L17" s="11">
        <f>K17-83.8035</f>
        <v>1.8280819657533982</v>
      </c>
      <c r="M17" s="11">
        <v>89.95</v>
      </c>
      <c r="N17" s="11">
        <f t="shared" si="14"/>
        <v>-4.318418034246605</v>
      </c>
      <c r="O17" s="11">
        <f>IFERROR(14241502/51536,0)</f>
        <v>276.34084911518164</v>
      </c>
      <c r="P17" s="11">
        <v>286</v>
      </c>
      <c r="Q17" s="11">
        <f t="shared" si="15"/>
        <v>-9.6591508848183594</v>
      </c>
      <c r="R17" s="7">
        <v>40220</v>
      </c>
      <c r="S17" s="11">
        <f t="shared" si="16"/>
        <v>121.39944401348613</v>
      </c>
      <c r="T17" s="13">
        <f t="shared" si="17"/>
        <v>7.0537046245648929</v>
      </c>
      <c r="U17" s="7">
        <v>66443</v>
      </c>
      <c r="V17" s="11">
        <f t="shared" si="18"/>
        <v>200.55055342088662</v>
      </c>
      <c r="W17" s="11">
        <f t="shared" si="19"/>
        <v>1.6519890601690703</v>
      </c>
      <c r="X17" s="11">
        <v>285.43857142860003</v>
      </c>
      <c r="Y17" s="11">
        <f t="shared" si="20"/>
        <v>141.76947479732112</v>
      </c>
      <c r="Z17" s="11">
        <f t="shared" si="21"/>
        <v>40.466476358330254</v>
      </c>
      <c r="AA17" s="7">
        <v>1698</v>
      </c>
      <c r="AB17" s="15">
        <f>IFERROR(AA17/1725,0)</f>
        <v>0.98434782608695648</v>
      </c>
      <c r="AC17" s="11">
        <v>0</v>
      </c>
      <c r="AD17" s="15">
        <f>IFERROR(AC17/63.4,0)</f>
        <v>0</v>
      </c>
      <c r="AE17" s="11">
        <v>23</v>
      </c>
      <c r="AF17" s="11">
        <v>26</v>
      </c>
      <c r="AG17" s="7">
        <f t="shared" si="22"/>
        <v>-14307.04850000003</v>
      </c>
      <c r="AH17" s="7">
        <v>19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IFERROR(150/F17,0)</f>
        <v>3.1693042320775845E-3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113</v>
      </c>
      <c r="C18" s="7">
        <v>43</v>
      </c>
      <c r="D18" s="7">
        <v>7</v>
      </c>
      <c r="E18" s="7">
        <v>51311</v>
      </c>
      <c r="F18" s="7">
        <v>38036</v>
      </c>
      <c r="G18" s="7">
        <v>157</v>
      </c>
      <c r="H18" s="9">
        <f t="shared" si="12"/>
        <v>4.1276685245556837E-3</v>
      </c>
      <c r="I18" s="9">
        <f>IFERROR((51311-F18)/51311,0)</f>
        <v>0.25871645456140008</v>
      </c>
      <c r="J18" s="7">
        <v>208740</v>
      </c>
      <c r="K18" s="11">
        <f t="shared" si="13"/>
        <v>78.399411084235979</v>
      </c>
      <c r="L18" s="11">
        <f>K18-75.8778</f>
        <v>2.5216110842359853</v>
      </c>
      <c r="M18" s="11">
        <v>69</v>
      </c>
      <c r="N18" s="11">
        <f t="shared" si="14"/>
        <v>9.3994110842359788</v>
      </c>
      <c r="O18" s="11">
        <f>IFERROR(24871449/51311,0)</f>
        <v>484.71963126814916</v>
      </c>
      <c r="P18" s="11">
        <v>0</v>
      </c>
      <c r="Q18" s="11">
        <f t="shared" si="15"/>
        <v>484.71963126814916</v>
      </c>
      <c r="R18" s="7">
        <v>31720</v>
      </c>
      <c r="S18" s="11">
        <f t="shared" si="16"/>
        <v>119.13525532202574</v>
      </c>
      <c r="T18" s="13">
        <f t="shared" si="17"/>
        <v>6.5807061790668344</v>
      </c>
      <c r="U18" s="7">
        <v>45910</v>
      </c>
      <c r="V18" s="11">
        <f t="shared" si="18"/>
        <v>172.43062962907322</v>
      </c>
      <c r="W18" s="11">
        <f t="shared" si="19"/>
        <v>1.4473518284993696</v>
      </c>
      <c r="X18" s="11">
        <v>287.79000000000002</v>
      </c>
      <c r="Y18" s="11">
        <f t="shared" si="20"/>
        <v>151.95937529941554</v>
      </c>
      <c r="Z18" s="11">
        <f t="shared" si="21"/>
        <v>43.732388617418799</v>
      </c>
      <c r="AA18" s="7">
        <v>1708</v>
      </c>
      <c r="AB18" s="15">
        <f>IFERROR(AA18/0,0)</f>
        <v>0</v>
      </c>
      <c r="AC18" s="11">
        <v>0</v>
      </c>
      <c r="AD18" s="15">
        <f>IFERROR(AC18/0,0)</f>
        <v>0</v>
      </c>
      <c r="AE18" s="11">
        <v>21</v>
      </c>
      <c r="AF18" s="11">
        <v>25</v>
      </c>
      <c r="AG18" s="7">
        <f t="shared" si="22"/>
        <v>25026.119999999977</v>
      </c>
      <c r="AH18" s="7">
        <v>25</v>
      </c>
      <c r="AI18" s="7">
        <v>24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IFERROR(200/F18,0)</f>
        <v>5.258176464402145E-3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44</v>
      </c>
      <c r="C19" s="7"/>
      <c r="D19" s="7">
        <v>7</v>
      </c>
      <c r="E19" s="7">
        <v>52424</v>
      </c>
      <c r="F19" s="7">
        <v>48996</v>
      </c>
      <c r="G19" s="7">
        <v>697</v>
      </c>
      <c r="H19" s="9">
        <f t="shared" si="12"/>
        <v>1.4225651073557026E-2</v>
      </c>
      <c r="I19" s="9">
        <f>IFERROR((52424-F19)/52424,0)</f>
        <v>6.5389897756752635E-2</v>
      </c>
      <c r="J19" s="7">
        <v>294300</v>
      </c>
      <c r="K19" s="11">
        <f t="shared" si="13"/>
        <v>85.808754067387426</v>
      </c>
      <c r="L19" s="11">
        <f>K19-86.6405</f>
        <v>-0.83174593261257712</v>
      </c>
      <c r="M19" s="11">
        <v>95.15</v>
      </c>
      <c r="N19" s="11">
        <f t="shared" si="14"/>
        <v>-9.3412459326125798</v>
      </c>
      <c r="O19" s="11">
        <f>IFERROR(7739480/52424,0)</f>
        <v>147.6323821150618</v>
      </c>
      <c r="P19" s="11">
        <v>157</v>
      </c>
      <c r="Q19" s="11">
        <f t="shared" si="15"/>
        <v>-9.3676178849381984</v>
      </c>
      <c r="R19" s="7">
        <v>36312</v>
      </c>
      <c r="S19" s="11">
        <f t="shared" si="16"/>
        <v>105.87453203176936</v>
      </c>
      <c r="T19" s="13">
        <f t="shared" si="17"/>
        <v>8.1047587574355582</v>
      </c>
      <c r="U19" s="7">
        <v>53298</v>
      </c>
      <c r="V19" s="11">
        <f t="shared" si="18"/>
        <v>155.40044085231446</v>
      </c>
      <c r="W19" s="11">
        <f t="shared" si="19"/>
        <v>1.4677792465300725</v>
      </c>
      <c r="X19" s="11">
        <v>301.02714285709999</v>
      </c>
      <c r="Y19" s="11">
        <f t="shared" si="20"/>
        <v>123.38430173292558</v>
      </c>
      <c r="Z19" s="11">
        <f t="shared" si="21"/>
        <v>37.142023824080923</v>
      </c>
      <c r="AA19" s="7">
        <v>1687</v>
      </c>
      <c r="AB19" s="15">
        <f>IFERROR(AA19/1715,0)</f>
        <v>0.98367346938775513</v>
      </c>
      <c r="AC19" s="11">
        <v>61.93</v>
      </c>
      <c r="AD19" s="15">
        <f>IFERROR(AC19/62.25,0)</f>
        <v>0.99485943775100405</v>
      </c>
      <c r="AE19" s="11">
        <v>22</v>
      </c>
      <c r="AF19" s="11">
        <v>27</v>
      </c>
      <c r="AG19" s="7">
        <f t="shared" si="22"/>
        <v>-32037.858000000015</v>
      </c>
      <c r="AH19" s="7">
        <v>28</v>
      </c>
      <c r="AI19" s="7">
        <v>23.571428571399998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IFERROR(1350/F19,0)</f>
        <v>2.7553269654665688E-2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34</v>
      </c>
      <c r="C20" s="7"/>
      <c r="D20" s="7">
        <v>7</v>
      </c>
      <c r="E20" s="7">
        <v>50525</v>
      </c>
      <c r="F20" s="7">
        <v>49209</v>
      </c>
      <c r="G20" s="7">
        <v>102</v>
      </c>
      <c r="H20" s="9">
        <f t="shared" si="12"/>
        <v>2.0727915625190513E-3</v>
      </c>
      <c r="I20" s="9">
        <f>IFERROR((50525-F20)/50525,0)</f>
        <v>2.6046511627906978E-2</v>
      </c>
      <c r="J20" s="7">
        <v>320220</v>
      </c>
      <c r="K20" s="11">
        <f t="shared" si="13"/>
        <v>92.962088816505684</v>
      </c>
      <c r="L20" s="11">
        <f>K20-91.9789</f>
        <v>0.98318881650568812</v>
      </c>
      <c r="M20" s="11">
        <v>95</v>
      </c>
      <c r="N20" s="11">
        <f t="shared" si="14"/>
        <v>-2.037911183494316</v>
      </c>
      <c r="O20" s="11">
        <f>IFERROR(4274190/50525,0)</f>
        <v>84.595546759030185</v>
      </c>
      <c r="P20" s="11">
        <v>94</v>
      </c>
      <c r="Q20" s="11">
        <f t="shared" si="15"/>
        <v>-9.4044532409698149</v>
      </c>
      <c r="R20" s="7">
        <v>39344</v>
      </c>
      <c r="S20" s="11">
        <f t="shared" si="16"/>
        <v>114.2183630752795</v>
      </c>
      <c r="T20" s="13">
        <f t="shared" si="17"/>
        <v>8.138979259861733</v>
      </c>
      <c r="U20" s="7">
        <v>70244</v>
      </c>
      <c r="V20" s="11">
        <f t="shared" si="18"/>
        <v>203.92320800782667</v>
      </c>
      <c r="W20" s="11">
        <f t="shared" si="19"/>
        <v>1.7853802358682391</v>
      </c>
      <c r="X20" s="11">
        <v>287.33714285709999</v>
      </c>
      <c r="Y20" s="11">
        <f t="shared" si="20"/>
        <v>122.86552994816067</v>
      </c>
      <c r="Z20" s="11">
        <f t="shared" si="21"/>
        <v>35.303830330927937</v>
      </c>
      <c r="AA20" s="7">
        <v>1644</v>
      </c>
      <c r="AB20" s="15">
        <f>IFERROR(AA20/1550,0)</f>
        <v>1.0606451612903225</v>
      </c>
      <c r="AC20" s="11">
        <v>60.41</v>
      </c>
      <c r="AD20" s="15">
        <f>IFERROR(AC20/59.3,0)</f>
        <v>1.0187183811129847</v>
      </c>
      <c r="AE20" s="11">
        <v>20</v>
      </c>
      <c r="AF20" s="11">
        <v>26</v>
      </c>
      <c r="AG20" s="7">
        <f t="shared" si="22"/>
        <v>-7019.8500000000258</v>
      </c>
      <c r="AH20" s="7">
        <v>28</v>
      </c>
      <c r="AI20" s="7">
        <v>23.571428571399998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IFERROR(420/F20,0)</f>
        <v>8.5350240809607993E-3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53</v>
      </c>
      <c r="C21" s="7"/>
      <c r="D21" s="7">
        <v>7</v>
      </c>
      <c r="E21" s="7">
        <v>50845</v>
      </c>
      <c r="F21" s="7">
        <v>48661</v>
      </c>
      <c r="G21" s="7">
        <v>214</v>
      </c>
      <c r="H21" s="9">
        <f t="shared" si="12"/>
        <v>4.3977723433550478E-3</v>
      </c>
      <c r="I21" s="9">
        <f>IFERROR((50845-F21)/50845,0)</f>
        <v>4.2954076113678831E-2</v>
      </c>
      <c r="J21" s="7">
        <v>315320</v>
      </c>
      <c r="K21" s="11">
        <f t="shared" si="13"/>
        <v>92.570465641302647</v>
      </c>
      <c r="L21" s="11">
        <f>K21-92.8959</f>
        <v>-0.32543435869735049</v>
      </c>
      <c r="M21" s="11">
        <v>93.2</v>
      </c>
      <c r="N21" s="11">
        <f t="shared" si="14"/>
        <v>-0.62953435869735586</v>
      </c>
      <c r="O21" s="11">
        <f>IFERROR(10647020/50845,0)</f>
        <v>209.40151440652966</v>
      </c>
      <c r="P21" s="11">
        <v>214</v>
      </c>
      <c r="Q21" s="11">
        <f t="shared" si="15"/>
        <v>-4.5984855934703432</v>
      </c>
      <c r="R21" s="7">
        <v>38841</v>
      </c>
      <c r="S21" s="11">
        <f t="shared" si="16"/>
        <v>114.02795433127731</v>
      </c>
      <c r="T21" s="13">
        <f t="shared" si="17"/>
        <v>8.1182255863649235</v>
      </c>
      <c r="U21" s="7">
        <v>64600</v>
      </c>
      <c r="V21" s="11">
        <f t="shared" si="18"/>
        <v>189.65026260396269</v>
      </c>
      <c r="W21" s="11">
        <f t="shared" si="19"/>
        <v>1.6631909580082902</v>
      </c>
      <c r="X21" s="11">
        <v>286.2</v>
      </c>
      <c r="Y21" s="11">
        <f t="shared" si="20"/>
        <v>123.17962704554104</v>
      </c>
      <c r="Z21" s="11">
        <f t="shared" si="21"/>
        <v>35.25400926043384</v>
      </c>
      <c r="AA21" s="7">
        <v>1753</v>
      </c>
      <c r="AB21" s="15">
        <f>IFERROR(AA21/1675,0)</f>
        <v>1.0465671641791046</v>
      </c>
      <c r="AC21" s="11">
        <v>62.51</v>
      </c>
      <c r="AD21" s="15">
        <f>IFERROR(AC21/62.85,0)</f>
        <v>0.99459029435163082</v>
      </c>
      <c r="AE21" s="11">
        <v>19</v>
      </c>
      <c r="AF21" s="11">
        <v>25</v>
      </c>
      <c r="AG21" s="7">
        <f t="shared" si="22"/>
        <v>-2144.3640000000423</v>
      </c>
      <c r="AH21" s="7">
        <v>32</v>
      </c>
      <c r="AI21" s="7">
        <v>23.125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IFERROR(1270/F21,0)</f>
        <v>2.6098929327387436E-2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20</v>
      </c>
      <c r="C22" s="7"/>
      <c r="D22" s="7">
        <v>7</v>
      </c>
      <c r="E22" s="7">
        <v>21024</v>
      </c>
      <c r="F22" s="7">
        <v>20992</v>
      </c>
      <c r="G22" s="7">
        <v>18</v>
      </c>
      <c r="H22" s="9">
        <f t="shared" si="12"/>
        <v>8.5746951219512195E-4</v>
      </c>
      <c r="I22" s="9">
        <f>IFERROR((21024-F22)/21024,0)</f>
        <v>1.5220700152207001E-3</v>
      </c>
      <c r="J22" s="7">
        <v>15090</v>
      </c>
      <c r="K22" s="11">
        <f t="shared" si="13"/>
        <v>10.269218205574914</v>
      </c>
      <c r="L22" s="11">
        <f>K22-0.6324</f>
        <v>9.6368182055749134</v>
      </c>
      <c r="M22" s="11">
        <v>58.5</v>
      </c>
      <c r="N22" s="11">
        <f t="shared" si="14"/>
        <v>-48.230781794425084</v>
      </c>
      <c r="O22" s="11">
        <f>IFERROR(16020/21024,0)</f>
        <v>0.76198630136986301</v>
      </c>
      <c r="P22" s="11">
        <v>7</v>
      </c>
      <c r="Q22" s="11">
        <f t="shared" si="15"/>
        <v>-6.2380136986301373</v>
      </c>
      <c r="R22" s="7">
        <v>13510</v>
      </c>
      <c r="S22" s="11">
        <f t="shared" si="16"/>
        <v>91.939786585365852</v>
      </c>
      <c r="T22" s="13">
        <f t="shared" si="17"/>
        <v>1.1169504071058476</v>
      </c>
      <c r="U22" s="7">
        <v>17240</v>
      </c>
      <c r="V22" s="11">
        <f t="shared" si="18"/>
        <v>117.323606271777</v>
      </c>
      <c r="W22" s="11">
        <f t="shared" si="19"/>
        <v>1.2760917838638046</v>
      </c>
      <c r="X22" s="11">
        <v>284.9085714286</v>
      </c>
      <c r="Y22" s="11">
        <f t="shared" si="20"/>
        <v>895.2948972829688</v>
      </c>
      <c r="Z22" s="11">
        <f t="shared" si="21"/>
        <v>255.07719019220579</v>
      </c>
      <c r="AA22" s="7">
        <v>1730</v>
      </c>
      <c r="AB22" s="15">
        <f>IFERROR(AA22/1680,0)</f>
        <v>1.0297619047619047</v>
      </c>
      <c r="AC22" s="11">
        <v>0</v>
      </c>
      <c r="AD22" s="15">
        <f>IFERROR(AC22/51.2,0)</f>
        <v>0</v>
      </c>
      <c r="AE22" s="11">
        <v>22</v>
      </c>
      <c r="AF22" s="11">
        <v>25</v>
      </c>
      <c r="AG22" s="7">
        <f t="shared" si="22"/>
        <v>-70872.239999999991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44</v>
      </c>
      <c r="C23" s="7"/>
      <c r="D23" s="7">
        <v>7</v>
      </c>
      <c r="E23" s="7">
        <v>21875</v>
      </c>
      <c r="F23" s="7">
        <v>21039</v>
      </c>
      <c r="G23" s="7">
        <v>30</v>
      </c>
      <c r="H23" s="9">
        <f t="shared" si="12"/>
        <v>1.4259232853272494E-3</v>
      </c>
      <c r="I23" s="9">
        <f>IFERROR((21875-F23)/21875,0)</f>
        <v>3.8217142857142859E-2</v>
      </c>
      <c r="J23" s="7">
        <v>133020</v>
      </c>
      <c r="K23" s="11">
        <f t="shared" si="13"/>
        <v>90.32205495915747</v>
      </c>
      <c r="L23" s="11">
        <f>K23-86.8982</f>
        <v>3.4238549591574667</v>
      </c>
      <c r="M23" s="11">
        <v>91</v>
      </c>
      <c r="N23" s="11">
        <f t="shared" si="14"/>
        <v>-0.67794504084253049</v>
      </c>
      <c r="O23" s="11">
        <f>IFERROR(3510150/21875,0)</f>
        <v>160.464</v>
      </c>
      <c r="P23" s="11">
        <v>162</v>
      </c>
      <c r="Q23" s="11">
        <f t="shared" si="15"/>
        <v>-1.5360000000000014</v>
      </c>
      <c r="R23" s="7">
        <v>17840</v>
      </c>
      <c r="S23" s="11">
        <f t="shared" si="16"/>
        <v>121.1355781439911</v>
      </c>
      <c r="T23" s="13">
        <f t="shared" si="17"/>
        <v>7.4562780269058297</v>
      </c>
      <c r="U23" s="7">
        <v>26648</v>
      </c>
      <c r="V23" s="11">
        <f t="shared" si="18"/>
        <v>180.94287479714544</v>
      </c>
      <c r="W23" s="11">
        <f t="shared" si="19"/>
        <v>1.4937219730941704</v>
      </c>
      <c r="X23" s="11">
        <v>288.07142857140002</v>
      </c>
      <c r="Y23" s="11">
        <f t="shared" si="20"/>
        <v>134.11517065102993</v>
      </c>
      <c r="Z23" s="11">
        <f t="shared" si="21"/>
        <v>38.634748802539292</v>
      </c>
      <c r="AA23" s="7">
        <v>2062</v>
      </c>
      <c r="AB23" s="15">
        <f>IFERROR(AA23/1940,0)</f>
        <v>1.0628865979381443</v>
      </c>
      <c r="AC23" s="11">
        <v>62.91</v>
      </c>
      <c r="AD23" s="15">
        <f>IFERROR(AC23/62.9,0)</f>
        <v>1.0001589825119237</v>
      </c>
      <c r="AE23" s="11">
        <v>22</v>
      </c>
      <c r="AF23" s="11">
        <v>27</v>
      </c>
      <c r="AG23" s="7">
        <f t="shared" si="22"/>
        <v>-998.43000000001996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IFERROR(595/F23,0)</f>
        <v>2.8280811825657112E-2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103</v>
      </c>
      <c r="C24" s="7">
        <v>36</v>
      </c>
      <c r="D24" s="7">
        <v>7</v>
      </c>
      <c r="E24" s="7">
        <v>51833</v>
      </c>
      <c r="F24" s="7">
        <v>40009</v>
      </c>
      <c r="G24" s="7">
        <v>154</v>
      </c>
      <c r="H24" s="9">
        <f t="shared" si="12"/>
        <v>3.849133944862406E-3</v>
      </c>
      <c r="I24" s="9">
        <f>IFERROR((51833-F24)/51833,0)</f>
        <v>0.22811722261879497</v>
      </c>
      <c r="J24" s="7">
        <v>167600</v>
      </c>
      <c r="K24" s="11">
        <f t="shared" si="13"/>
        <v>59.843678029586201</v>
      </c>
      <c r="L24" s="11">
        <f>K24-58.6325</f>
        <v>1.2111780295862005</v>
      </c>
      <c r="M24" s="11">
        <v>71</v>
      </c>
      <c r="N24" s="11">
        <f t="shared" si="14"/>
        <v>-11.156321970413799</v>
      </c>
      <c r="O24" s="11">
        <f>IFERROR(20797468/51833,0)</f>
        <v>401.23990507977544</v>
      </c>
      <c r="P24" s="11">
        <v>0</v>
      </c>
      <c r="Q24" s="11">
        <f t="shared" si="15"/>
        <v>401.23990507977544</v>
      </c>
      <c r="R24" s="7">
        <v>34717</v>
      </c>
      <c r="S24" s="11">
        <f t="shared" si="16"/>
        <v>123.96139440054559</v>
      </c>
      <c r="T24" s="13">
        <f t="shared" si="17"/>
        <v>4.8276060719532214</v>
      </c>
      <c r="U24" s="7">
        <v>47411</v>
      </c>
      <c r="V24" s="11">
        <f t="shared" si="18"/>
        <v>169.28691044514986</v>
      </c>
      <c r="W24" s="11">
        <f t="shared" si="19"/>
        <v>1.3656421925857651</v>
      </c>
      <c r="X24" s="11">
        <v>278.26857142860001</v>
      </c>
      <c r="Y24" s="11">
        <f t="shared" si="20"/>
        <v>207.14200477326966</v>
      </c>
      <c r="Z24" s="11">
        <f t="shared" si="21"/>
        <v>57.641109751113994</v>
      </c>
      <c r="AA24" s="7">
        <v>1725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21</v>
      </c>
      <c r="AF24" s="11">
        <v>26</v>
      </c>
      <c r="AG24" s="7">
        <f t="shared" si="22"/>
        <v>-31244.73</v>
      </c>
      <c r="AH24" s="7">
        <v>34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IFERROR(1320/F24,0)</f>
        <v>3.2992576670249192E-2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101</v>
      </c>
      <c r="C25" s="7">
        <v>35</v>
      </c>
      <c r="D25" s="7">
        <v>7</v>
      </c>
      <c r="E25" s="7">
        <v>21623</v>
      </c>
      <c r="F25" s="7">
        <v>17888</v>
      </c>
      <c r="G25" s="7">
        <v>30</v>
      </c>
      <c r="H25" s="9">
        <f t="shared" si="12"/>
        <v>1.6771019677996421E-3</v>
      </c>
      <c r="I25" s="9">
        <f>IFERROR((21623-F25)/21623,0)</f>
        <v>0.17273273828793415</v>
      </c>
      <c r="J25" s="7">
        <v>92520</v>
      </c>
      <c r="K25" s="11">
        <f t="shared" si="13"/>
        <v>73.888320981344236</v>
      </c>
      <c r="L25" s="11">
        <f>K25-68.5982</f>
        <v>5.2901209813442307</v>
      </c>
      <c r="M25" s="11">
        <v>70</v>
      </c>
      <c r="N25" s="11">
        <f t="shared" si="14"/>
        <v>3.8883209813442363</v>
      </c>
      <c r="O25" s="11">
        <f>IFERROR(8794205/21623,0)</f>
        <v>406.70605373907415</v>
      </c>
      <c r="P25" s="11">
        <v>0</v>
      </c>
      <c r="Q25" s="11">
        <f t="shared" si="15"/>
        <v>406.70605373907415</v>
      </c>
      <c r="R25" s="7">
        <v>13638</v>
      </c>
      <c r="S25" s="11">
        <f t="shared" si="16"/>
        <v>108.91579350881676</v>
      </c>
      <c r="T25" s="13">
        <f t="shared" si="17"/>
        <v>6.7839859216893972</v>
      </c>
      <c r="U25" s="7">
        <v>23707</v>
      </c>
      <c r="V25" s="11">
        <f t="shared" si="18"/>
        <v>189.32883976488628</v>
      </c>
      <c r="W25" s="11">
        <f t="shared" si="19"/>
        <v>1.7383047367649216</v>
      </c>
      <c r="X25" s="11">
        <v>286.69857142860002</v>
      </c>
      <c r="Y25" s="11">
        <f t="shared" si="20"/>
        <v>147.40596627756162</v>
      </c>
      <c r="Z25" s="11">
        <f t="shared" si="21"/>
        <v>42.261079951829309</v>
      </c>
      <c r="AA25" s="7">
        <v>2101</v>
      </c>
      <c r="AB25" s="15">
        <f>IFERROR(AA25/0,0)</f>
        <v>0</v>
      </c>
      <c r="AC25" s="11">
        <v>65.599999999999994</v>
      </c>
      <c r="AD25" s="15">
        <f>IFERROR(AC25/0,0)</f>
        <v>0</v>
      </c>
      <c r="AE25" s="11">
        <v>21</v>
      </c>
      <c r="AF25" s="11">
        <v>26</v>
      </c>
      <c r="AG25" s="7">
        <f t="shared" si="22"/>
        <v>4868.7999999999993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IFERROR(560/F25,0)</f>
        <v>3.1305903398926652E-2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68</v>
      </c>
      <c r="B26" s="5">
        <v>34</v>
      </c>
      <c r="C26" s="7"/>
      <c r="D26" s="7">
        <v>7</v>
      </c>
      <c r="E26" s="7">
        <v>21339</v>
      </c>
      <c r="F26" s="7">
        <v>20913</v>
      </c>
      <c r="G26" s="7">
        <v>23</v>
      </c>
      <c r="H26" s="9">
        <f t="shared" si="12"/>
        <v>1.0997943862669152E-3</v>
      </c>
      <c r="I26" s="9">
        <f>IFERROR((21339-F26)/21339,0)</f>
        <v>1.996344720933502E-2</v>
      </c>
      <c r="J26" s="7">
        <v>133560</v>
      </c>
      <c r="K26" s="11">
        <f t="shared" si="13"/>
        <v>91.23511691292498</v>
      </c>
      <c r="L26" s="11">
        <f>K26-89.661</f>
        <v>1.5741169129249784</v>
      </c>
      <c r="M26" s="11">
        <v>94.5</v>
      </c>
      <c r="N26" s="11">
        <f t="shared" si="14"/>
        <v>-3.2648830870750203</v>
      </c>
      <c r="O26" s="11">
        <f>IFERROR(1956270/21339,0)</f>
        <v>91.675804864332918</v>
      </c>
      <c r="P26" s="11">
        <v>98</v>
      </c>
      <c r="Q26" s="11">
        <f t="shared" si="15"/>
        <v>-6.3241951356670825</v>
      </c>
      <c r="R26" s="7">
        <v>18160</v>
      </c>
      <c r="S26" s="11">
        <f t="shared" si="16"/>
        <v>124.05134195408188</v>
      </c>
      <c r="T26" s="13">
        <f t="shared" si="17"/>
        <v>7.3546255506607929</v>
      </c>
      <c r="U26" s="7">
        <v>35122</v>
      </c>
      <c r="V26" s="11">
        <f t="shared" si="18"/>
        <v>239.91912071097269</v>
      </c>
      <c r="W26" s="11">
        <f t="shared" si="19"/>
        <v>1.9340308370044055</v>
      </c>
      <c r="X26" s="11">
        <v>275.36714285710002</v>
      </c>
      <c r="Y26" s="11">
        <f t="shared" si="20"/>
        <v>135.96885294998501</v>
      </c>
      <c r="Z26" s="11">
        <f t="shared" si="21"/>
        <v>37.441354554394543</v>
      </c>
      <c r="AA26" s="7">
        <v>1874</v>
      </c>
      <c r="AB26" s="15">
        <f>IFERROR(AA26/1910,0)</f>
        <v>0.98115183246073301</v>
      </c>
      <c r="AC26" s="11">
        <v>61.7</v>
      </c>
      <c r="AD26" s="15">
        <f>IFERROR(AC26/61.7,0)</f>
        <v>1</v>
      </c>
      <c r="AE26" s="11">
        <v>20</v>
      </c>
      <c r="AF26" s="11">
        <v>26</v>
      </c>
      <c r="AG26" s="7">
        <f t="shared" si="22"/>
        <v>-4779.4949999999935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IFERROR(490/F26,0)</f>
        <v>2.3430402142208196E-2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69</v>
      </c>
      <c r="B27" s="5">
        <v>21</v>
      </c>
      <c r="C27" s="7"/>
      <c r="D27" s="7">
        <v>7</v>
      </c>
      <c r="E27" s="7">
        <v>64976</v>
      </c>
      <c r="F27" s="7">
        <v>64720</v>
      </c>
      <c r="G27" s="7">
        <v>99</v>
      </c>
      <c r="H27" s="9">
        <f t="shared" si="12"/>
        <v>1.5296662546353524E-3</v>
      </c>
      <c r="I27" s="9">
        <f>IFERROR((64976-F27)/64976,0)</f>
        <v>3.9399162767791186E-3</v>
      </c>
      <c r="J27" s="7">
        <v>325800</v>
      </c>
      <c r="K27" s="11">
        <f t="shared" si="13"/>
        <v>71.91417976337631</v>
      </c>
      <c r="L27" s="11">
        <f>K27-52.0835</f>
        <v>19.83067976337631</v>
      </c>
      <c r="M27" s="11">
        <v>63.5</v>
      </c>
      <c r="N27" s="11">
        <f t="shared" si="14"/>
        <v>8.4141797633763105</v>
      </c>
      <c r="O27" s="11">
        <f>IFERROR(663280/64976,0)</f>
        <v>10.208076828367398</v>
      </c>
      <c r="P27" s="11">
        <v>9</v>
      </c>
      <c r="Q27" s="11">
        <f t="shared" si="15"/>
        <v>1.2080768283673979</v>
      </c>
      <c r="R27" s="7">
        <v>43270</v>
      </c>
      <c r="S27" s="11">
        <f t="shared" si="16"/>
        <v>95.510330213667672</v>
      </c>
      <c r="T27" s="13">
        <f t="shared" si="17"/>
        <v>7.5294661428241279</v>
      </c>
      <c r="U27" s="7">
        <v>92310</v>
      </c>
      <c r="V27" s="11">
        <f t="shared" si="18"/>
        <v>203.75684266289952</v>
      </c>
      <c r="W27" s="11">
        <f t="shared" si="19"/>
        <v>2.1333487404668361</v>
      </c>
      <c r="X27" s="11">
        <v>283.27714285709999</v>
      </c>
      <c r="Y27" s="11">
        <f t="shared" si="20"/>
        <v>132.81154082259056</v>
      </c>
      <c r="Z27" s="11">
        <f t="shared" si="21"/>
        <v>37.622473822672553</v>
      </c>
      <c r="AA27" s="7">
        <v>1436</v>
      </c>
      <c r="AB27" s="15">
        <f>IFERROR(AA27/1425,0)</f>
        <v>1.007719298245614</v>
      </c>
      <c r="AC27" s="11">
        <v>0</v>
      </c>
      <c r="AD27" s="15">
        <f>IFERROR(AC27/48,0)</f>
        <v>0</v>
      </c>
      <c r="AE27" s="11">
        <v>21</v>
      </c>
      <c r="AF27" s="11">
        <v>26</v>
      </c>
      <c r="AG27" s="7">
        <f t="shared" si="22"/>
        <v>38119.600000000035</v>
      </c>
      <c r="AH27" s="7">
        <v>17</v>
      </c>
      <c r="AI27" s="7">
        <v>17.6470588235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92</v>
      </c>
      <c r="C28" s="7">
        <v>20</v>
      </c>
      <c r="D28" s="7">
        <v>7</v>
      </c>
      <c r="E28" s="7">
        <v>47224</v>
      </c>
      <c r="F28" s="7">
        <v>37029</v>
      </c>
      <c r="G28" s="7">
        <v>88</v>
      </c>
      <c r="H28" s="9">
        <f t="shared" si="12"/>
        <v>2.3765157039077481E-3</v>
      </c>
      <c r="I28" s="9">
        <f>IFERROR((47224-F28)/47224,0)</f>
        <v>0.21588599017448754</v>
      </c>
      <c r="J28" s="7">
        <v>164240</v>
      </c>
      <c r="K28" s="11">
        <f t="shared" si="13"/>
        <v>63.363464157436447</v>
      </c>
      <c r="L28" s="11">
        <f>K28-69.5715</f>
        <v>-6.2080358425635538</v>
      </c>
      <c r="M28" s="11">
        <v>77</v>
      </c>
      <c r="N28" s="11">
        <f t="shared" si="14"/>
        <v>-13.636535842563553</v>
      </c>
      <c r="O28" s="11">
        <f>IFERROR(16423620/47224,0)</f>
        <v>347.78121294257159</v>
      </c>
      <c r="P28" s="11">
        <v>0</v>
      </c>
      <c r="Q28" s="11">
        <f t="shared" si="15"/>
        <v>347.78121294257159</v>
      </c>
      <c r="R28" s="7">
        <v>31270</v>
      </c>
      <c r="S28" s="11">
        <f t="shared" si="16"/>
        <v>120.63903581362869</v>
      </c>
      <c r="T28" s="13">
        <f t="shared" si="17"/>
        <v>5.2523185161496642</v>
      </c>
      <c r="U28" s="7">
        <v>49700</v>
      </c>
      <c r="V28" s="11">
        <f t="shared" si="18"/>
        <v>191.74160792892059</v>
      </c>
      <c r="W28" s="11">
        <f t="shared" si="19"/>
        <v>1.589382795011193</v>
      </c>
      <c r="X28" s="11">
        <v>287.30571428569999</v>
      </c>
      <c r="Y28" s="11">
        <f t="shared" si="20"/>
        <v>190.39210910862155</v>
      </c>
      <c r="Z28" s="11">
        <f t="shared" si="21"/>
        <v>54.70074090181344</v>
      </c>
      <c r="AA28" s="7">
        <v>1668</v>
      </c>
      <c r="AB28" s="15">
        <f>IFERROR(AA28/1580,0)</f>
        <v>1.0556962025316456</v>
      </c>
      <c r="AC28" s="11">
        <v>0</v>
      </c>
      <c r="AD28" s="15">
        <f>IFERROR(AC28/63.7,0)</f>
        <v>0</v>
      </c>
      <c r="AE28" s="11">
        <v>16</v>
      </c>
      <c r="AF28" s="11">
        <v>26</v>
      </c>
      <c r="AG28" s="7">
        <f t="shared" si="22"/>
        <v>-35346.310000000012</v>
      </c>
      <c r="AH28" s="7">
        <v>29</v>
      </c>
      <c r="AI28" s="7">
        <v>20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122</v>
      </c>
      <c r="C29" s="7">
        <v>24</v>
      </c>
      <c r="D29" s="7">
        <v>4</v>
      </c>
      <c r="E29" s="7">
        <v>33376</v>
      </c>
      <c r="F29" s="7">
        <v>0</v>
      </c>
      <c r="G29" s="7">
        <v>38</v>
      </c>
      <c r="H29" s="9">
        <f t="shared" si="12"/>
        <v>0</v>
      </c>
      <c r="I29" s="9">
        <f>IFERROR((33376-F29)/33376,0)</f>
        <v>1</v>
      </c>
      <c r="J29" s="7">
        <v>51640</v>
      </c>
      <c r="K29" s="11">
        <f t="shared" si="13"/>
        <v>0</v>
      </c>
      <c r="L29" s="11">
        <f>K29-59.5462</f>
        <v>-59.546199999999999</v>
      </c>
      <c r="M29" s="11">
        <v>75</v>
      </c>
      <c r="N29" s="11">
        <f t="shared" si="14"/>
        <v>-75</v>
      </c>
      <c r="O29" s="11">
        <f>IFERROR(15738973/33376,0)</f>
        <v>471.56558604985617</v>
      </c>
      <c r="P29" s="11">
        <v>0</v>
      </c>
      <c r="Q29" s="11">
        <f t="shared" si="15"/>
        <v>471.56558604985617</v>
      </c>
      <c r="R29" s="7">
        <v>5590</v>
      </c>
      <c r="S29" s="11">
        <f t="shared" si="16"/>
        <v>0</v>
      </c>
      <c r="T29" s="13">
        <f t="shared" si="17"/>
        <v>9.2379248658318431</v>
      </c>
      <c r="U29" s="7">
        <v>9570</v>
      </c>
      <c r="V29" s="11">
        <f t="shared" si="18"/>
        <v>0</v>
      </c>
      <c r="W29" s="11">
        <f t="shared" si="19"/>
        <v>0</v>
      </c>
      <c r="X29" s="11">
        <v>279.68</v>
      </c>
      <c r="Y29" s="11">
        <f t="shared" si="20"/>
        <v>0</v>
      </c>
      <c r="Z29" s="11">
        <f t="shared" si="21"/>
        <v>0</v>
      </c>
      <c r="AA29" s="7">
        <v>0</v>
      </c>
      <c r="AB29" s="15">
        <f>IFERROR(AA29/0,0)</f>
        <v>0</v>
      </c>
      <c r="AC29" s="11">
        <v>0</v>
      </c>
      <c r="AD29" s="15">
        <f>IFERROR(AC29/0,0)</f>
        <v>0</v>
      </c>
      <c r="AE29" s="11">
        <v>0</v>
      </c>
      <c r="AF29" s="11">
        <v>25</v>
      </c>
      <c r="AG29" s="7">
        <f t="shared" si="22"/>
        <v>0</v>
      </c>
      <c r="AH29" s="7">
        <v>20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IFERROR(0/F29,0)</f>
        <v>0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122</v>
      </c>
      <c r="C30" s="7">
        <v>24</v>
      </c>
      <c r="D30" s="7">
        <v>4</v>
      </c>
      <c r="E30" s="7">
        <v>12390</v>
      </c>
      <c r="F30" s="7">
        <v>0</v>
      </c>
      <c r="G30" s="7">
        <v>11</v>
      </c>
      <c r="H30" s="9">
        <f t="shared" si="12"/>
        <v>0</v>
      </c>
      <c r="I30" s="9">
        <f>IFERROR((12390-F30)/12390,0)</f>
        <v>1</v>
      </c>
      <c r="J30" s="7">
        <v>14660</v>
      </c>
      <c r="K30" s="11">
        <f t="shared" si="13"/>
        <v>0</v>
      </c>
      <c r="L30" s="11">
        <f>K30-70.934</f>
        <v>-70.933999999999997</v>
      </c>
      <c r="M30" s="11">
        <v>75</v>
      </c>
      <c r="N30" s="11">
        <f t="shared" si="14"/>
        <v>-75</v>
      </c>
      <c r="O30" s="11">
        <f>IFERROR(6384708/12390,0)</f>
        <v>515.31138014527846</v>
      </c>
      <c r="P30" s="11">
        <v>0</v>
      </c>
      <c r="Q30" s="11">
        <f t="shared" si="15"/>
        <v>515.31138014527846</v>
      </c>
      <c r="R30" s="7">
        <v>730</v>
      </c>
      <c r="S30" s="11">
        <f t="shared" si="16"/>
        <v>0</v>
      </c>
      <c r="T30" s="13">
        <f t="shared" si="17"/>
        <v>20.082191780821919</v>
      </c>
      <c r="U30" s="7">
        <v>4730</v>
      </c>
      <c r="V30" s="11">
        <f t="shared" si="18"/>
        <v>0</v>
      </c>
      <c r="W30" s="11">
        <f t="shared" si="19"/>
        <v>0</v>
      </c>
      <c r="X30" s="11">
        <v>279.48</v>
      </c>
      <c r="Y30" s="11">
        <f t="shared" si="20"/>
        <v>0</v>
      </c>
      <c r="Z30" s="11">
        <f t="shared" si="21"/>
        <v>0</v>
      </c>
      <c r="AA30" s="7">
        <v>0</v>
      </c>
      <c r="AB30" s="15">
        <f>IFERROR(AA30/0,0)</f>
        <v>0</v>
      </c>
      <c r="AC30" s="11">
        <v>0</v>
      </c>
      <c r="AD30" s="15">
        <f>IFERROR(AC30/0,0)</f>
        <v>0</v>
      </c>
      <c r="AE30" s="11">
        <v>0</v>
      </c>
      <c r="AF30" s="11">
        <v>25</v>
      </c>
      <c r="AG30" s="7">
        <f t="shared" si="22"/>
        <v>0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IFERROR(0/F30,0)</f>
        <v>0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6.6470588235294121</v>
      </c>
      <c r="E31" s="17">
        <f>SUM(E14:E30)</f>
        <v>639964</v>
      </c>
      <c r="F31" s="17">
        <f>SUM(F14:F30)</f>
        <v>529690</v>
      </c>
      <c r="G31" s="17">
        <f>SUM(G14:G30)</f>
        <v>2077</v>
      </c>
      <c r="H31" s="18">
        <f t="shared" si="12"/>
        <v>3.9211614340463287E-3</v>
      </c>
      <c r="I31" s="18"/>
      <c r="J31" s="17">
        <f>SUM(J14:J30)</f>
        <v>2949350</v>
      </c>
      <c r="K31" s="19">
        <f t="shared" si="13"/>
        <v>83.767396425058777</v>
      </c>
      <c r="L31" s="19"/>
      <c r="M31" s="19">
        <f>IFERROR(SUMPRODUCT($F14:$F30,M14:M30)/$F31, 0)</f>
        <v>81.995255054843412</v>
      </c>
      <c r="N31" s="19">
        <f t="shared" si="14"/>
        <v>1.7721413702153654</v>
      </c>
      <c r="O31" s="19">
        <f>IFERROR(SUMPRODUCT($E14:$E30,O14:O30)/$E31, 0)</f>
        <v>251.40807295410366</v>
      </c>
      <c r="P31" s="19">
        <f>IFERROR(SUMPRODUCT($E14:$E30,P14:P30)/$E31, 0)</f>
        <v>101.38100424398873</v>
      </c>
      <c r="Q31" s="19">
        <f>IFERROR(SUMPRODUCT($E14:$E30,Q14:Q30)/$E31, 0)</f>
        <v>150.02706871011495</v>
      </c>
      <c r="R31" s="17">
        <f>SUM(R14:R30)</f>
        <v>424842</v>
      </c>
      <c r="S31" s="19">
        <f>IFERROR(R31/D31/$F31*1000,0)</f>
        <v>120.6635639446482</v>
      </c>
      <c r="T31" s="20">
        <f t="shared" si="17"/>
        <v>6.9422279341496367</v>
      </c>
      <c r="U31" s="17">
        <f>SUM(U14:U30)</f>
        <v>700753</v>
      </c>
      <c r="V31" s="19">
        <f>IFERROR(U31/D31/$F31*1000,0)</f>
        <v>199.02776661653994</v>
      </c>
      <c r="W31" s="19">
        <f t="shared" si="19"/>
        <v>1.6494437932219508</v>
      </c>
      <c r="X31" s="19">
        <f>IFERROR(SUMPRODUCT(R14:R30,X14:X30)/R31,0)</f>
        <v>287.08050814857012</v>
      </c>
      <c r="Y31" s="19">
        <f>IFERROR(($F31*S31)/($F31*K31)*100,0)</f>
        <v>144.04597623205109</v>
      </c>
      <c r="Z31" s="19">
        <f t="shared" si="21"/>
        <v>41.352792053454081</v>
      </c>
      <c r="AA31" s="17"/>
      <c r="AB31" s="21">
        <f>IFERROR(SUMPRODUCT($F14:$F30,AB14:AB30)/$F31,0)</f>
        <v>0.8459037836131037</v>
      </c>
      <c r="AC31" s="19"/>
      <c r="AD31" s="21">
        <f>AVERAGE(AD14:AD30)</f>
        <v>0.29460747621926719</v>
      </c>
      <c r="AE31" s="19"/>
      <c r="AF31" s="19"/>
      <c r="AG31" s="17">
        <f>SUM(AG14:AG30)</f>
        <v>-157194.66550000012</v>
      </c>
      <c r="AH31" s="17">
        <f>SUM(AH14:AH30)</f>
        <v>299</v>
      </c>
      <c r="AI31" s="17">
        <f>IFERROR(SUMPRODUCT(AH14:AH30,AI14:AI30)/AH31, 0)</f>
        <v>18.394648829432441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6.6709118002744221</v>
      </c>
      <c r="E33" s="23">
        <f>E12+E31</f>
        <v>686169</v>
      </c>
      <c r="F33" s="23">
        <f>F12+F31</f>
        <v>568083</v>
      </c>
      <c r="G33" s="23">
        <f>G12+G31</f>
        <v>2157</v>
      </c>
      <c r="H33" s="24">
        <f>IFERROR(G33/F33,0)</f>
        <v>3.7969803708260939E-3</v>
      </c>
      <c r="I33" s="23"/>
      <c r="J33" s="23">
        <f>J12+J31</f>
        <v>3162550</v>
      </c>
      <c r="K33" s="25">
        <f>IFERROR(J33/D33/F33*100,0)</f>
        <v>83.452703155049818</v>
      </c>
      <c r="L33" s="23"/>
      <c r="M33" s="25">
        <f>IFERROR($F$12/$F33*M$12,0)+IFERROR($F$31/$F33*M$31,0)</f>
        <v>82.219629261921256</v>
      </c>
      <c r="N33" s="25">
        <f>K33-M33</f>
        <v>1.2330738931285623</v>
      </c>
      <c r="O33" s="23">
        <f>IFERROR($E$12/$E33*O$12,0)+IFERROR($E$31/$E33*O$31,0)</f>
        <v>252.91171999900897</v>
      </c>
      <c r="P33" s="23">
        <f>IFERROR($E$12/$E33*P$12,0)+IFERROR($E$31/$E33*P$31,0)</f>
        <v>96.798314992370678</v>
      </c>
      <c r="Q33" s="23">
        <f>IFERROR($E$12/$E33*Q$12,0)+IFERROR($E$31/$E33*Q$31,0)</f>
        <v>156.11340500663829</v>
      </c>
      <c r="R33" s="23">
        <f>R12+R31</f>
        <v>461203</v>
      </c>
      <c r="S33" s="25">
        <f>IFERROR(R33/D33/$F33*1000,0)</f>
        <v>121.7012760374332</v>
      </c>
      <c r="T33" s="26">
        <f>IFERROR(J33/R33,0)</f>
        <v>6.8571756905310677</v>
      </c>
      <c r="U33" s="23">
        <f>U12+U31</f>
        <v>715873</v>
      </c>
      <c r="V33" s="25">
        <f>IFERROR(U33/D33/$F33*1000,0)</f>
        <v>188.90305913176067</v>
      </c>
      <c r="W33" s="25">
        <f>IFERROR(V33/S33,0)</f>
        <v>1.5521863474435336</v>
      </c>
      <c r="X33" s="25">
        <f>IFERROR($F$12/$F33*X$12,0)+IFERROR($F$31/$F33*X$31,0)</f>
        <v>292.5215357728822</v>
      </c>
      <c r="Y33" s="25">
        <f>IFERROR(($F33*S33)/($F33*K33)*100,0)</f>
        <v>145.83263505715325</v>
      </c>
      <c r="Z33" s="25">
        <f>IFERROR(Y33*X33/1000,0)</f>
        <v>42.659186372724733</v>
      </c>
      <c r="AA33" s="23"/>
      <c r="AB33" s="27"/>
      <c r="AC33" s="23"/>
      <c r="AD33" s="27"/>
      <c r="AE33" s="23"/>
      <c r="AF33" s="23"/>
      <c r="AG33" s="23">
        <f>AG12+AG31</f>
        <v>-173280.15550000011</v>
      </c>
      <c r="AH33" s="23">
        <f>AH12+AH31</f>
        <v>299</v>
      </c>
      <c r="AI33" s="23">
        <f>IFERROR(AH$12/AH33*AI$12,0)+IFERROR(AH$31/AH33*AI$31,0)</f>
        <v>18.394648829432441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69</v>
      </c>
      <c r="T36" s="32" t="s">
        <v>61</v>
      </c>
      <c r="U36" s="32" t="s">
        <v>70</v>
      </c>
      <c r="V36" s="32" t="s">
        <v>71</v>
      </c>
      <c r="W36" s="32" t="s">
        <v>72</v>
      </c>
      <c r="X36" s="32" t="s">
        <v>62</v>
      </c>
      <c r="Y36" s="32" t="s">
        <v>66</v>
      </c>
      <c r="Z36" s="32" t="s">
        <v>67</v>
      </c>
      <c r="AA36" s="32" t="s">
        <v>81</v>
      </c>
      <c r="AB36" s="32" t="s">
        <v>63</v>
      </c>
      <c r="AC36" s="32" t="s">
        <v>68</v>
      </c>
      <c r="AD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/>
      <c r="T37" s="8">
        <v>2.5000000000000001E-3</v>
      </c>
      <c r="U37" s="8">
        <v>5.3E-3</v>
      </c>
      <c r="V37" s="8">
        <v>6.3E-3</v>
      </c>
      <c r="W37" s="8">
        <v>2.7000000000000001E-3</v>
      </c>
      <c r="X37" s="8">
        <v>1.5E-3</v>
      </c>
      <c r="Y37" s="8">
        <v>1.4E-3</v>
      </c>
      <c r="Z37" s="8">
        <v>2.8E-3</v>
      </c>
      <c r="AA37" s="8">
        <v>1.6999999999999999E-3</v>
      </c>
      <c r="AB37" s="8"/>
      <c r="AC37" s="8"/>
      <c r="AD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/>
      <c r="T38" s="9">
        <v>2.5000000000000001E-3</v>
      </c>
      <c r="U38" s="9">
        <v>5.7999999999999996E-3</v>
      </c>
      <c r="V38" s="9">
        <v>3.5999999999999999E-3</v>
      </c>
      <c r="W38" s="9">
        <v>2.3E-3</v>
      </c>
      <c r="X38" s="9">
        <v>1.5E-3</v>
      </c>
      <c r="Y38" s="9">
        <v>1E-3</v>
      </c>
      <c r="Z38" s="9">
        <v>3.0000000000000001E-3</v>
      </c>
      <c r="AA38" s="9">
        <v>1.8E-3</v>
      </c>
      <c r="AB38" s="9"/>
      <c r="AC38" s="9"/>
      <c r="AD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/>
      <c r="T39" s="9">
        <v>2.5000000000000001E-3</v>
      </c>
      <c r="U39" s="9">
        <v>5.4999999999999997E-3</v>
      </c>
      <c r="V39" s="9">
        <v>3.5000000000000001E-3</v>
      </c>
      <c r="W39" s="9">
        <v>2.5000000000000001E-3</v>
      </c>
      <c r="X39" s="9">
        <v>1.6999999999999999E-3</v>
      </c>
      <c r="Y39" s="9">
        <v>6.9999999999999999E-4</v>
      </c>
      <c r="Z39" s="9">
        <v>2.8E-3</v>
      </c>
      <c r="AA39" s="9">
        <v>1.4E-3</v>
      </c>
      <c r="AB39" s="9"/>
      <c r="AC39" s="9"/>
      <c r="AD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/>
      <c r="T40" s="9">
        <v>2.5999999999999999E-3</v>
      </c>
      <c r="U40" s="9">
        <v>3.2000000000000002E-3</v>
      </c>
      <c r="V40" s="9">
        <v>3.7000000000000002E-3</v>
      </c>
      <c r="W40" s="9">
        <v>2.5000000000000001E-3</v>
      </c>
      <c r="X40" s="9">
        <v>1.6000000000000001E-3</v>
      </c>
      <c r="Y40" s="9">
        <v>8.9999999999999998E-4</v>
      </c>
      <c r="Z40" s="9">
        <v>3.5000000000000001E-3</v>
      </c>
      <c r="AA40" s="9">
        <v>1.6000000000000001E-3</v>
      </c>
      <c r="AB40" s="9"/>
      <c r="AC40" s="9"/>
      <c r="AD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/>
      <c r="T41" s="9">
        <v>2.3E-3</v>
      </c>
      <c r="U41" s="9">
        <v>2.2000000000000001E-3</v>
      </c>
      <c r="V41" s="9">
        <v>4.4000000000000003E-3</v>
      </c>
      <c r="W41" s="9">
        <v>2.3E-3</v>
      </c>
      <c r="X41" s="9">
        <v>1.6000000000000001E-3</v>
      </c>
      <c r="Y41" s="9">
        <v>8.9999999999999998E-4</v>
      </c>
      <c r="Z41" s="9">
        <v>3.0999999999999999E-3</v>
      </c>
      <c r="AA41" s="9">
        <v>1.5E-3</v>
      </c>
      <c r="AB41" s="9"/>
      <c r="AC41" s="9"/>
      <c r="AD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/>
      <c r="T42" s="9">
        <v>1.6999999999999999E-3</v>
      </c>
      <c r="U42" s="9">
        <v>3.0000000000000001E-3</v>
      </c>
      <c r="V42" s="9">
        <v>3.5999999999999999E-3</v>
      </c>
      <c r="W42" s="9">
        <v>1.8E-3</v>
      </c>
      <c r="X42" s="9">
        <v>8.9999999999999998E-4</v>
      </c>
      <c r="Y42" s="9">
        <v>5.9999999999999995E-4</v>
      </c>
      <c r="Z42" s="9">
        <v>1.6999999999999999E-3</v>
      </c>
      <c r="AA42" s="9">
        <v>1E-3</v>
      </c>
      <c r="AB42" s="9">
        <v>0</v>
      </c>
      <c r="AC42" s="9">
        <v>0</v>
      </c>
      <c r="AD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/>
      <c r="T43" s="9">
        <v>1.9E-3</v>
      </c>
      <c r="U43" s="9">
        <v>4.3E-3</v>
      </c>
      <c r="V43" s="9">
        <v>4.1999999999999997E-3</v>
      </c>
      <c r="W43" s="9">
        <v>4.4000000000000003E-3</v>
      </c>
      <c r="X43" s="9">
        <v>1.1000000000000001E-3</v>
      </c>
      <c r="Y43" s="9">
        <v>5.0000000000000001E-4</v>
      </c>
      <c r="Z43" s="9">
        <v>2.0999999999999999E-3</v>
      </c>
      <c r="AA43" s="9">
        <v>1.1999999999999999E-3</v>
      </c>
      <c r="AB43" s="9">
        <v>8.9999999999999998E-4</v>
      </c>
      <c r="AC43" s="9">
        <v>8.0000000000000004E-4</v>
      </c>
      <c r="AD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/>
      <c r="T44" s="9">
        <v>1.9E-3</v>
      </c>
      <c r="U44" s="9">
        <v>3.0999999999999999E-3</v>
      </c>
      <c r="V44" s="9">
        <v>3.2000000000000002E-3</v>
      </c>
      <c r="W44" s="9">
        <v>2.3E-3</v>
      </c>
      <c r="X44" s="9">
        <v>1.1000000000000001E-3</v>
      </c>
      <c r="Y44" s="9">
        <v>5.0000000000000001E-4</v>
      </c>
      <c r="Z44" s="9">
        <v>2.8E-3</v>
      </c>
      <c r="AA44" s="9">
        <v>1.2999999999999999E-3</v>
      </c>
      <c r="AB44" s="9">
        <v>1.1999999999999999E-3</v>
      </c>
      <c r="AC44" s="9">
        <v>6.9999999999999999E-4</v>
      </c>
      <c r="AD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/>
      <c r="T45" s="9">
        <v>2.5000000000000001E-3</v>
      </c>
      <c r="U45" s="9">
        <v>3.0999999999999999E-3</v>
      </c>
      <c r="V45" s="9">
        <v>4.5999999999999999E-3</v>
      </c>
      <c r="W45" s="9">
        <v>2.8E-3</v>
      </c>
      <c r="X45" s="9">
        <v>1.6999999999999999E-3</v>
      </c>
      <c r="Y45" s="9">
        <v>1E-3</v>
      </c>
      <c r="Z45" s="9">
        <v>3.5999999999999999E-3</v>
      </c>
      <c r="AA45" s="9">
        <v>1.6000000000000001E-3</v>
      </c>
      <c r="AB45" s="9">
        <v>2.3E-3</v>
      </c>
      <c r="AC45" s="9">
        <v>1.1999999999999999E-3</v>
      </c>
      <c r="AD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/>
      <c r="T46" s="9">
        <v>2.5000000000000001E-3</v>
      </c>
      <c r="U46" s="9">
        <v>2.5999999999999999E-3</v>
      </c>
      <c r="V46" s="9">
        <v>3.3999999999999998E-3</v>
      </c>
      <c r="W46" s="9">
        <v>2.5000000000000001E-3</v>
      </c>
      <c r="X46" s="9">
        <v>2E-3</v>
      </c>
      <c r="Y46" s="9">
        <v>1E-3</v>
      </c>
      <c r="Z46" s="9">
        <v>3.5000000000000001E-3</v>
      </c>
      <c r="AA46" s="9">
        <v>1.6999999999999999E-3</v>
      </c>
      <c r="AB46" s="9">
        <v>1.6999999999999999E-3</v>
      </c>
      <c r="AC46" s="9">
        <v>1.6000000000000001E-3</v>
      </c>
      <c r="AD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/>
      <c r="T47" s="9">
        <v>3.0000000000000001E-3</v>
      </c>
      <c r="U47" s="9">
        <v>2.3E-3</v>
      </c>
      <c r="V47" s="9">
        <v>3.0999999999999999E-3</v>
      </c>
      <c r="W47" s="9">
        <v>2.8E-3</v>
      </c>
      <c r="X47" s="9">
        <v>1.9E-3</v>
      </c>
      <c r="Y47" s="9">
        <v>8.9999999999999998E-4</v>
      </c>
      <c r="Z47" s="9">
        <v>3.5000000000000001E-3</v>
      </c>
      <c r="AA47" s="9">
        <v>1.5E-3</v>
      </c>
      <c r="AB47" s="9">
        <v>1.1000000000000001E-3</v>
      </c>
      <c r="AC47" s="9">
        <v>1.1999999999999999E-3</v>
      </c>
      <c r="AD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/>
      <c r="T48" s="9">
        <v>3.3999999999999998E-3</v>
      </c>
      <c r="U48" s="9">
        <v>2.5000000000000001E-3</v>
      </c>
      <c r="V48" s="9">
        <v>3.0999999999999999E-3</v>
      </c>
      <c r="W48" s="9">
        <v>3.2000000000000002E-3</v>
      </c>
      <c r="X48" s="9">
        <v>1.5E-3</v>
      </c>
      <c r="Y48" s="9">
        <v>8.0000000000000004E-4</v>
      </c>
      <c r="Z48" s="9">
        <v>3.8999999999999998E-3</v>
      </c>
      <c r="AA48" s="9">
        <v>3.5999999999999999E-3</v>
      </c>
      <c r="AB48" s="9">
        <v>1.1000000000000001E-3</v>
      </c>
      <c r="AC48" s="9">
        <v>1E-3</v>
      </c>
      <c r="AD48" s="9">
        <v>8.9999999999999998E-4</v>
      </c>
    </row>
    <row r="49" spans="2:30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>
        <v>5.3E-3</v>
      </c>
      <c r="P49" s="9">
        <v>2.5000000000000001E-3</v>
      </c>
      <c r="Q49" s="9">
        <v>3.8E-3</v>
      </c>
      <c r="R49" s="9">
        <v>3.0000000000000001E-3</v>
      </c>
      <c r="S49" s="9"/>
      <c r="T49" s="9">
        <v>3.5999999999999999E-3</v>
      </c>
      <c r="U49" s="9">
        <v>2.5000000000000001E-3</v>
      </c>
      <c r="V49" s="9">
        <v>3.5000000000000001E-3</v>
      </c>
      <c r="W49" s="9">
        <v>3.0999999999999999E-3</v>
      </c>
      <c r="X49" s="9">
        <v>2E-3</v>
      </c>
      <c r="Y49" s="9">
        <v>1.1000000000000001E-3</v>
      </c>
      <c r="Z49" s="9">
        <v>3.7000000000000002E-3</v>
      </c>
      <c r="AA49" s="9">
        <v>1.8E-3</v>
      </c>
      <c r="AB49" s="9">
        <v>1.6999999999999999E-3</v>
      </c>
      <c r="AC49" s="9">
        <v>8.9999999999999998E-4</v>
      </c>
      <c r="AD49" s="9">
        <v>1E-3</v>
      </c>
    </row>
    <row r="50" spans="2:30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>
        <v>3.8999999999999998E-3</v>
      </c>
      <c r="P50" s="9">
        <v>2.5000000000000001E-3</v>
      </c>
      <c r="Q50" s="9">
        <v>-1</v>
      </c>
      <c r="R50" s="9">
        <v>2.8E-3</v>
      </c>
      <c r="S50" s="9"/>
      <c r="T50" s="9">
        <v>3.5999999999999999E-3</v>
      </c>
      <c r="U50" s="9">
        <v>2.0999999999999999E-3</v>
      </c>
      <c r="V50" s="9">
        <v>3.2000000000000002E-3</v>
      </c>
      <c r="W50" s="9">
        <v>3.2000000000000002E-3</v>
      </c>
      <c r="X50" s="9">
        <v>2.3999999999999998E-3</v>
      </c>
      <c r="Y50" s="9">
        <v>1.1999999999999999E-3</v>
      </c>
      <c r="Z50" s="9">
        <v>4.7999999999999996E-3</v>
      </c>
      <c r="AA50" s="9">
        <v>1.6999999999999999E-3</v>
      </c>
      <c r="AB50" s="9">
        <v>1.6999999999999999E-3</v>
      </c>
      <c r="AC50" s="9">
        <v>1.1000000000000001E-3</v>
      </c>
      <c r="AD50" s="9">
        <v>1.1000000000000001E-3</v>
      </c>
    </row>
    <row r="51" spans="2:30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>
        <v>5.3E-3</v>
      </c>
      <c r="P51" s="9">
        <v>2.5000000000000001E-3</v>
      </c>
      <c r="Q51" s="9"/>
      <c r="R51" s="9">
        <v>2.5000000000000001E-3</v>
      </c>
      <c r="S51" s="9"/>
      <c r="T51" s="9">
        <v>3.7000000000000002E-3</v>
      </c>
      <c r="U51" s="9">
        <v>2.5999999999999999E-3</v>
      </c>
      <c r="V51" s="9">
        <v>2.8999999999999998E-3</v>
      </c>
      <c r="W51" s="9">
        <v>3.5999999999999999E-3</v>
      </c>
      <c r="X51" s="9">
        <v>2.5999999999999999E-3</v>
      </c>
      <c r="Y51" s="9">
        <v>8.0000000000000004E-4</v>
      </c>
      <c r="Z51" s="9">
        <v>3.7000000000000002E-3</v>
      </c>
      <c r="AA51" s="9">
        <v>1.9E-3</v>
      </c>
      <c r="AB51" s="9">
        <v>1.4E-3</v>
      </c>
      <c r="AC51" s="9">
        <v>8.9999999999999998E-4</v>
      </c>
      <c r="AD51" s="9">
        <v>1.4E-3</v>
      </c>
    </row>
    <row r="52" spans="2:30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>
        <v>5.0000000000000001E-3</v>
      </c>
      <c r="P52" s="9">
        <v>2.5000000000000001E-3</v>
      </c>
      <c r="Q52" s="9"/>
      <c r="R52" s="9">
        <v>2.8E-3</v>
      </c>
      <c r="S52" s="9"/>
      <c r="T52" s="9">
        <v>4.0000000000000001E-3</v>
      </c>
      <c r="U52" s="9">
        <v>2.3E-3</v>
      </c>
      <c r="V52" s="9">
        <v>3.0999999999999999E-3</v>
      </c>
      <c r="W52" s="9">
        <v>3.5999999999999999E-3</v>
      </c>
      <c r="X52" s="9">
        <v>3.3999999999999998E-3</v>
      </c>
      <c r="Y52" s="9">
        <v>1.1999999999999999E-3</v>
      </c>
      <c r="Z52" s="9">
        <v>4.3E-3</v>
      </c>
      <c r="AA52" s="9">
        <v>2.2000000000000001E-3</v>
      </c>
      <c r="AB52" s="9">
        <v>1.6000000000000001E-3</v>
      </c>
      <c r="AC52" s="9">
        <v>1.2999999999999999E-3</v>
      </c>
      <c r="AD52" s="9">
        <v>1.2999999999999999E-3</v>
      </c>
    </row>
    <row r="53" spans="2:30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>
        <v>8.2000000000000007E-3</v>
      </c>
      <c r="P53" s="9">
        <v>3.0999999999999999E-3</v>
      </c>
      <c r="Q53" s="9"/>
      <c r="R53" s="9">
        <v>2.8E-3</v>
      </c>
      <c r="S53" s="9"/>
      <c r="T53" s="9">
        <v>3.8999999999999998E-3</v>
      </c>
      <c r="U53" s="9">
        <v>2.8999999999999998E-3</v>
      </c>
      <c r="V53" s="9">
        <v>3.5999999999999999E-3</v>
      </c>
      <c r="W53" s="9">
        <v>2.7000000000000001E-3</v>
      </c>
      <c r="X53" s="9">
        <v>3.3E-3</v>
      </c>
      <c r="Y53" s="9">
        <v>8.9999999999999998E-4</v>
      </c>
      <c r="Z53" s="9">
        <v>4.1999999999999997E-3</v>
      </c>
      <c r="AA53" s="9">
        <v>2E-3</v>
      </c>
      <c r="AB53" s="9">
        <v>2.2000000000000001E-3</v>
      </c>
      <c r="AC53" s="9">
        <v>8.9999999999999998E-4</v>
      </c>
      <c r="AD53" s="9">
        <v>1.2999999999999999E-3</v>
      </c>
    </row>
    <row r="54" spans="2:30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>
        <v>4.8999999999999998E-3</v>
      </c>
      <c r="P54" s="9">
        <v>4.1999999999999997E-3</v>
      </c>
      <c r="Q54" s="9"/>
      <c r="R54" s="9">
        <v>3.0000000000000001E-3</v>
      </c>
      <c r="S54" s="9"/>
      <c r="T54" s="9">
        <v>4.1999999999999997E-3</v>
      </c>
      <c r="U54" s="9">
        <v>2.0999999999999999E-3</v>
      </c>
      <c r="V54" s="9">
        <v>3.3E-3</v>
      </c>
      <c r="W54" s="9">
        <v>3.7000000000000002E-3</v>
      </c>
      <c r="X54" s="9">
        <v>4.1999999999999997E-3</v>
      </c>
      <c r="Y54" s="9">
        <v>9.1999999999999998E-3</v>
      </c>
      <c r="Z54" s="9">
        <v>9.4000000000000004E-3</v>
      </c>
      <c r="AA54" s="9">
        <v>1.9E-3</v>
      </c>
      <c r="AB54" s="9">
        <v>1.8E-3</v>
      </c>
      <c r="AC54" s="9">
        <v>1.6000000000000001E-3</v>
      </c>
      <c r="AD54" s="9">
        <v>1.8E-3</v>
      </c>
    </row>
    <row r="55" spans="2:30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>
        <v>5.1999999999999998E-3</v>
      </c>
      <c r="P55" s="9">
        <v>3.2000000000000002E-3</v>
      </c>
      <c r="Q55" s="9"/>
      <c r="R55" s="9">
        <v>2.5999999999999999E-3</v>
      </c>
      <c r="S55" s="9">
        <v>1.1999999999999999E-3</v>
      </c>
      <c r="T55" s="9">
        <v>3.8999999999999998E-3</v>
      </c>
      <c r="U55" s="9">
        <v>3.3999999999999998E-3</v>
      </c>
      <c r="V55" s="9">
        <v>4.1000000000000003E-3</v>
      </c>
      <c r="W55" s="9">
        <v>3.5000000000000001E-3</v>
      </c>
      <c r="X55" s="9">
        <v>4.4999999999999997E-3</v>
      </c>
      <c r="Y55" s="9">
        <v>2E-3</v>
      </c>
      <c r="Z55" s="9">
        <v>4.8999999999999998E-3</v>
      </c>
      <c r="AA55" s="9">
        <v>3.0000000000000001E-3</v>
      </c>
      <c r="AB55" s="9">
        <v>1.9E-3</v>
      </c>
      <c r="AC55" s="9">
        <v>1E-3</v>
      </c>
      <c r="AD55" s="9">
        <v>2E-3</v>
      </c>
    </row>
    <row r="56" spans="2:30" x14ac:dyDescent="0.3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>
        <v>4.4000000000000003E-3</v>
      </c>
      <c r="P56" s="9">
        <v>3.5999999999999999E-3</v>
      </c>
      <c r="Q56" s="9"/>
      <c r="R56" s="9">
        <v>2.7000000000000001E-3</v>
      </c>
      <c r="S56" s="9">
        <v>1.1999999999999999E-3</v>
      </c>
      <c r="T56" s="9">
        <v>3.8E-3</v>
      </c>
      <c r="U56" s="9">
        <v>2.8E-3</v>
      </c>
      <c r="V56" s="9">
        <v>4.0000000000000001E-3</v>
      </c>
      <c r="W56" s="9">
        <v>2.3E-3</v>
      </c>
      <c r="X56" s="9">
        <v>4.3E-3</v>
      </c>
      <c r="Y56" s="9">
        <v>1.1999999999999999E-3</v>
      </c>
      <c r="Z56" s="9">
        <v>4.0000000000000001E-3</v>
      </c>
      <c r="AA56" s="9">
        <v>2.5000000000000001E-3</v>
      </c>
      <c r="AB56" s="9">
        <v>1.9E-3</v>
      </c>
      <c r="AC56" s="9">
        <v>1.4E-3</v>
      </c>
      <c r="AD56" s="9">
        <v>1.8E-3</v>
      </c>
    </row>
    <row r="57" spans="2:30" ht="15" thickBot="1" x14ac:dyDescent="0.35">
      <c r="B57" s="5">
        <v>202521</v>
      </c>
      <c r="C57" s="5"/>
      <c r="D57" s="9">
        <v>3.8E-3</v>
      </c>
      <c r="E57" s="9">
        <v>2.0999999999999999E-3</v>
      </c>
      <c r="F57" s="9">
        <v>3.8999999999999998E-3</v>
      </c>
      <c r="G57" s="9">
        <v>2.8999999999999998E-3</v>
      </c>
      <c r="H57" s="9">
        <v>1.9E-3</v>
      </c>
      <c r="I57" s="9">
        <v>2.8999999999999998E-3</v>
      </c>
      <c r="J57" s="9">
        <v>2.0000000000000001E-4</v>
      </c>
      <c r="K57" s="9">
        <v>2.7000000000000001E-3</v>
      </c>
      <c r="L57" s="9">
        <v>1.5E-3</v>
      </c>
      <c r="M57" s="9">
        <v>2E-3</v>
      </c>
      <c r="N57" s="9">
        <v>8.9999999999999998E-4</v>
      </c>
      <c r="O57" s="9">
        <v>5.7000000000000002E-3</v>
      </c>
      <c r="P57" s="9">
        <v>3.7000000000000002E-3</v>
      </c>
      <c r="Q57" s="9"/>
      <c r="R57" s="9">
        <v>3.0999999999999999E-3</v>
      </c>
      <c r="S57" s="9">
        <v>1.5E-3</v>
      </c>
      <c r="T57" s="9">
        <v>4.1000000000000003E-3</v>
      </c>
      <c r="U57" s="9">
        <v>2.3999999999999998E-3</v>
      </c>
      <c r="V57" s="9">
        <v>0</v>
      </c>
      <c r="W57" s="9">
        <v>0</v>
      </c>
      <c r="X57" s="9">
        <v>1.4200000000000001E-2</v>
      </c>
      <c r="Y57" s="9">
        <v>1.4E-3</v>
      </c>
      <c r="Z57" s="9">
        <v>3.8E-3</v>
      </c>
      <c r="AA57" s="9">
        <v>1.6999999999999999E-3</v>
      </c>
      <c r="AB57" s="9">
        <v>2.0999999999999999E-3</v>
      </c>
      <c r="AC57" s="9">
        <v>1.1000000000000001E-3</v>
      </c>
      <c r="AD57" s="9">
        <v>4.4000000000000003E-3</v>
      </c>
    </row>
    <row r="58" spans="2:30" ht="15" thickBot="1" x14ac:dyDescent="0.35">
      <c r="B58" s="22" t="s">
        <v>82</v>
      </c>
      <c r="C58" s="22"/>
      <c r="D58" s="24">
        <f t="shared" ref="D58:AD58" si="23">AVERAGE(D37:D57)</f>
        <v>2.7047619047619051E-3</v>
      </c>
      <c r="E58" s="24">
        <f t="shared" si="23"/>
        <v>4.0809523809523813E-3</v>
      </c>
      <c r="F58" s="24">
        <f t="shared" si="23"/>
        <v>2.5714285714285709E-3</v>
      </c>
      <c r="G58" s="24">
        <f t="shared" si="23"/>
        <v>5.7571428571428582E-3</v>
      </c>
      <c r="H58" s="24">
        <f t="shared" si="23"/>
        <v>3.8714285714285712E-3</v>
      </c>
      <c r="I58" s="24">
        <f t="shared" si="23"/>
        <v>4.5476190476190469E-3</v>
      </c>
      <c r="J58" s="24">
        <f t="shared" si="23"/>
        <v>2.6999999999999993E-3</v>
      </c>
      <c r="K58" s="24">
        <f t="shared" si="23"/>
        <v>3.5714285714285704E-3</v>
      </c>
      <c r="L58" s="24">
        <f t="shared" si="23"/>
        <v>2.0714285714285717E-3</v>
      </c>
      <c r="M58" s="24">
        <f t="shared" si="23"/>
        <v>2.5476190476190477E-3</v>
      </c>
      <c r="N58" s="24">
        <f t="shared" si="23"/>
        <v>2.61875E-3</v>
      </c>
      <c r="O58" s="24">
        <f t="shared" si="23"/>
        <v>5.7523809523809524E-3</v>
      </c>
      <c r="P58" s="24">
        <f t="shared" si="23"/>
        <v>2.8619047619047621E-3</v>
      </c>
      <c r="Q58" s="24">
        <f t="shared" si="23"/>
        <v>-6.7871428571428569E-2</v>
      </c>
      <c r="R58" s="24">
        <f t="shared" si="23"/>
        <v>2.2523809523809523E-3</v>
      </c>
      <c r="S58" s="24">
        <f t="shared" si="23"/>
        <v>1.2999999999999999E-3</v>
      </c>
      <c r="T58" s="24">
        <f t="shared" si="23"/>
        <v>3.0523809523809527E-3</v>
      </c>
      <c r="U58" s="24">
        <f t="shared" si="23"/>
        <v>3.1428571428571426E-3</v>
      </c>
      <c r="V58" s="24">
        <f t="shared" si="23"/>
        <v>3.5428571428571432E-3</v>
      </c>
      <c r="W58" s="24">
        <f t="shared" si="23"/>
        <v>2.7523809523809528E-3</v>
      </c>
      <c r="X58" s="24">
        <f t="shared" si="23"/>
        <v>2.8095238095238095E-3</v>
      </c>
      <c r="Y58" s="24">
        <f t="shared" si="23"/>
        <v>1.3904761904761902E-3</v>
      </c>
      <c r="Z58" s="24">
        <f t="shared" si="23"/>
        <v>3.7666666666666669E-3</v>
      </c>
      <c r="AA58" s="24">
        <f t="shared" si="23"/>
        <v>1.8380952380952383E-3</v>
      </c>
      <c r="AB58" s="24">
        <f t="shared" si="23"/>
        <v>1.5375E-3</v>
      </c>
      <c r="AC58" s="24">
        <f t="shared" si="23"/>
        <v>1.0437499999999998E-3</v>
      </c>
      <c r="AD58" s="24">
        <f t="shared" si="23"/>
        <v>1.323809523809524E-3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T57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45802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45808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124</v>
      </c>
      <c r="C6" s="7">
        <v>14</v>
      </c>
      <c r="D6" s="7">
        <v>7</v>
      </c>
      <c r="E6" s="7">
        <v>1197</v>
      </c>
      <c r="F6" s="7">
        <v>1026</v>
      </c>
      <c r="G6" s="7">
        <v>4</v>
      </c>
      <c r="H6" s="9">
        <f t="shared" ref="H6:H12" si="0">IFERROR(G6/F6,0)</f>
        <v>3.8986354775828458E-3</v>
      </c>
      <c r="I6" s="9">
        <f>IFERROR((1197-F6)/1197,0)</f>
        <v>0.14285714285714285</v>
      </c>
      <c r="J6" s="7">
        <v>4110</v>
      </c>
      <c r="K6" s="11">
        <f t="shared" ref="K6:K12" si="1">IFERROR(J6/D6/F6*100,0)</f>
        <v>57.226399331662492</v>
      </c>
      <c r="L6" s="11">
        <f>K6-59.0846</f>
        <v>-1.8582006683375099</v>
      </c>
      <c r="M6" s="11">
        <v>85</v>
      </c>
      <c r="N6" s="11">
        <f t="shared" ref="N6:N12" si="2">K6-M6</f>
        <v>-27.773600668337508</v>
      </c>
      <c r="O6" s="11">
        <f>IFERROR(145940/1197,0)</f>
        <v>121.92147034252298</v>
      </c>
      <c r="P6" s="11">
        <v>0</v>
      </c>
      <c r="Q6" s="11">
        <f t="shared" ref="Q6:Q11" si="3">IFERROR(O6-P6,0)</f>
        <v>121.92147034252298</v>
      </c>
      <c r="R6" s="7">
        <v>919</v>
      </c>
      <c r="S6" s="11">
        <f t="shared" ref="S6:S11" si="4">IFERROR(R6/D6/F6*1000,0)</f>
        <v>127.95878585352268</v>
      </c>
      <c r="T6" s="13">
        <f t="shared" ref="T6:T12" si="5">IFERROR(J6/R6,0)</f>
        <v>4.4722524483133839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223.60097323600968</v>
      </c>
      <c r="Z6" s="11">
        <f t="shared" ref="Z6:Z12" si="9">IFERROR(Y6*X6/1000,0)</f>
        <v>66.382656934306553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25</v>
      </c>
      <c r="AG6" s="7">
        <f t="shared" ref="AG6:AG11" si="10">IF(M6=0,0,IFERROR(N6/100*7*F6,0))</f>
        <v>-1994.6999999999996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84</v>
      </c>
      <c r="C7" s="7">
        <v>14</v>
      </c>
      <c r="D7" s="7">
        <v>7</v>
      </c>
      <c r="E7" s="7">
        <v>14440</v>
      </c>
      <c r="F7" s="7">
        <v>11249</v>
      </c>
      <c r="G7" s="7">
        <v>27</v>
      </c>
      <c r="H7" s="9">
        <f t="shared" si="0"/>
        <v>2.400213352297982E-3</v>
      </c>
      <c r="I7" s="9">
        <f>IFERROR((14440-F7)/14440,0)</f>
        <v>0.22098337950138505</v>
      </c>
      <c r="J7" s="7">
        <v>60420</v>
      </c>
      <c r="K7" s="11">
        <f t="shared" si="1"/>
        <v>76.730630024256115</v>
      </c>
      <c r="L7" s="11">
        <f>K7-75.9008</f>
        <v>0.82983002425611119</v>
      </c>
      <c r="M7" s="11">
        <v>85</v>
      </c>
      <c r="N7" s="11">
        <f t="shared" si="2"/>
        <v>-8.269369975743885</v>
      </c>
      <c r="O7" s="11">
        <f>IFERROR(4655800/14440,0)</f>
        <v>322.42382271468142</v>
      </c>
      <c r="P7" s="11">
        <v>0</v>
      </c>
      <c r="Q7" s="11">
        <f t="shared" si="3"/>
        <v>322.42382271468142</v>
      </c>
      <c r="R7" s="7">
        <v>10070</v>
      </c>
      <c r="S7" s="11">
        <f t="shared" si="4"/>
        <v>127.8843833737602</v>
      </c>
      <c r="T7" s="13">
        <f t="shared" si="5"/>
        <v>6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166.66666666666669</v>
      </c>
      <c r="Z7" s="11">
        <f t="shared" si="9"/>
        <v>62.19166666666667</v>
      </c>
      <c r="AA7" s="7">
        <v>2066</v>
      </c>
      <c r="AB7" s="15">
        <f>IFERROR(AA7/1970,0)</f>
        <v>1.0487309644670051</v>
      </c>
      <c r="AC7" s="11">
        <v>0</v>
      </c>
      <c r="AD7" s="15">
        <f>IFERROR(AC7/64.9,0)</f>
        <v>0</v>
      </c>
      <c r="AE7" s="11">
        <v>8</v>
      </c>
      <c r="AF7" s="11">
        <v>25</v>
      </c>
      <c r="AG7" s="7">
        <f t="shared" si="10"/>
        <v>-6511.5500000000075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84</v>
      </c>
      <c r="C8" s="7">
        <v>14</v>
      </c>
      <c r="D8" s="7">
        <v>7</v>
      </c>
      <c r="E8" s="7">
        <v>16063</v>
      </c>
      <c r="F8" s="7">
        <v>13176</v>
      </c>
      <c r="G8" s="7">
        <v>27</v>
      </c>
      <c r="H8" s="9">
        <f t="shared" si="0"/>
        <v>2.0491803278688526E-3</v>
      </c>
      <c r="I8" s="9">
        <f>IFERROR((16063-F8)/16063,0)</f>
        <v>0.17972981385793438</v>
      </c>
      <c r="J8" s="7">
        <v>63120</v>
      </c>
      <c r="K8" s="11">
        <f t="shared" si="1"/>
        <v>68.436117616445486</v>
      </c>
      <c r="L8" s="11">
        <f>K8-68.1663</f>
        <v>0.2698176164454793</v>
      </c>
      <c r="M8" s="11">
        <v>80</v>
      </c>
      <c r="N8" s="11">
        <f t="shared" si="2"/>
        <v>-11.563882383554514</v>
      </c>
      <c r="O8" s="11">
        <f>IFERROR(4847760/16063,0)</f>
        <v>301.79667558986489</v>
      </c>
      <c r="P8" s="11">
        <v>0</v>
      </c>
      <c r="Q8" s="11">
        <f t="shared" si="3"/>
        <v>301.79667558986489</v>
      </c>
      <c r="R8" s="7">
        <v>10560</v>
      </c>
      <c r="S8" s="11">
        <f t="shared" si="4"/>
        <v>114.49388498568827</v>
      </c>
      <c r="T8" s="13">
        <f t="shared" si="5"/>
        <v>5.9772727272727275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167.3003802281369</v>
      </c>
      <c r="Z8" s="11">
        <f t="shared" si="9"/>
        <v>61.901140684410656</v>
      </c>
      <c r="AA8" s="7">
        <v>1737</v>
      </c>
      <c r="AB8" s="15">
        <f>IFERROR(AA8/1580,0)</f>
        <v>1.099367088607595</v>
      </c>
      <c r="AC8" s="11">
        <v>0</v>
      </c>
      <c r="AD8" s="15">
        <f>IFERROR(AC8/63.6,0)</f>
        <v>0</v>
      </c>
      <c r="AE8" s="11">
        <v>8</v>
      </c>
      <c r="AF8" s="11">
        <v>25</v>
      </c>
      <c r="AG8" s="7">
        <f t="shared" si="10"/>
        <v>-10665.599999999999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45</v>
      </c>
      <c r="C9" s="7"/>
      <c r="D9" s="7">
        <v>7</v>
      </c>
      <c r="E9" s="7">
        <v>4686</v>
      </c>
      <c r="F9" s="7">
        <v>4191</v>
      </c>
      <c r="G9" s="7">
        <v>3</v>
      </c>
      <c r="H9" s="9">
        <f t="shared" si="0"/>
        <v>7.158196134574087E-4</v>
      </c>
      <c r="I9" s="9">
        <f>IFERROR((4686-F9)/4686,0)</f>
        <v>0.10563380281690141</v>
      </c>
      <c r="J9" s="7">
        <v>29700</v>
      </c>
      <c r="K9" s="11">
        <f t="shared" si="1"/>
        <v>101.23734533183352</v>
      </c>
      <c r="L9" s="11">
        <f>K9-101.2671</f>
        <v>-2.975466816647554E-2</v>
      </c>
      <c r="M9" s="11">
        <v>90</v>
      </c>
      <c r="N9" s="11">
        <f t="shared" si="2"/>
        <v>11.237345331833524</v>
      </c>
      <c r="O9" s="11">
        <f>IFERROR(730500/4686,0)</f>
        <v>155.8898847631242</v>
      </c>
      <c r="P9" s="11">
        <v>168</v>
      </c>
      <c r="Q9" s="11">
        <f t="shared" si="3"/>
        <v>-12.110115236875799</v>
      </c>
      <c r="R9" s="7">
        <v>5125</v>
      </c>
      <c r="S9" s="11">
        <f t="shared" si="4"/>
        <v>174.6940723318676</v>
      </c>
      <c r="T9" s="13">
        <f t="shared" si="5"/>
        <v>5.795121951219512</v>
      </c>
      <c r="U9" s="7">
        <v>5040</v>
      </c>
      <c r="V9" s="11">
        <f t="shared" si="6"/>
        <v>171.79670722977809</v>
      </c>
      <c r="W9" s="11">
        <f t="shared" si="7"/>
        <v>0.98341463414634145</v>
      </c>
      <c r="X9" s="11">
        <v>362.76</v>
      </c>
      <c r="Y9" s="11">
        <f t="shared" si="8"/>
        <v>172.55892255892255</v>
      </c>
      <c r="Z9" s="11">
        <f t="shared" si="9"/>
        <v>62.597474747474742</v>
      </c>
      <c r="AA9" s="7">
        <v>1940</v>
      </c>
      <c r="AB9" s="15">
        <f>IFERROR(AA9/1950,0)</f>
        <v>0.99487179487179489</v>
      </c>
      <c r="AC9" s="11">
        <v>0</v>
      </c>
      <c r="AD9" s="15">
        <f>IFERROR(AC9/62.9,0)</f>
        <v>0</v>
      </c>
      <c r="AE9" s="11">
        <v>13</v>
      </c>
      <c r="AF9" s="11">
        <v>24</v>
      </c>
      <c r="AG9" s="7">
        <f t="shared" si="10"/>
        <v>3296.7000000000007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84</v>
      </c>
      <c r="C10" s="7">
        <v>15</v>
      </c>
      <c r="D10" s="7">
        <v>7</v>
      </c>
      <c r="E10" s="7">
        <v>5000</v>
      </c>
      <c r="F10" s="7">
        <v>4101</v>
      </c>
      <c r="G10" s="7">
        <v>15</v>
      </c>
      <c r="H10" s="9">
        <f t="shared" si="0"/>
        <v>3.6576444769568397E-3</v>
      </c>
      <c r="I10" s="9">
        <f>IFERROR((5000-F10)/5000,0)</f>
        <v>0.17979999999999999</v>
      </c>
      <c r="J10" s="7">
        <v>25800</v>
      </c>
      <c r="K10" s="11">
        <f t="shared" si="1"/>
        <v>89.873550005225212</v>
      </c>
      <c r="L10" s="11">
        <f>K10-88.4007</f>
        <v>1.4728500052252116</v>
      </c>
      <c r="M10" s="11">
        <v>85</v>
      </c>
      <c r="N10" s="11">
        <f t="shared" si="2"/>
        <v>4.8735500052252121</v>
      </c>
      <c r="O10" s="11">
        <f>IFERROR(1710710/5000,0)</f>
        <v>342.142</v>
      </c>
      <c r="P10" s="11">
        <v>0</v>
      </c>
      <c r="Q10" s="11">
        <f t="shared" si="3"/>
        <v>342.142</v>
      </c>
      <c r="R10" s="7">
        <v>4591</v>
      </c>
      <c r="S10" s="11">
        <f t="shared" si="4"/>
        <v>159.92615041627479</v>
      </c>
      <c r="T10" s="13">
        <f t="shared" si="5"/>
        <v>5.6196906991940754</v>
      </c>
      <c r="U10" s="7">
        <v>5040</v>
      </c>
      <c r="V10" s="11">
        <f t="shared" si="6"/>
        <v>175.56693489392831</v>
      </c>
      <c r="W10" s="11">
        <f t="shared" si="7"/>
        <v>1.0978000435634936</v>
      </c>
      <c r="X10" s="11">
        <v>374.81</v>
      </c>
      <c r="Y10" s="11">
        <f t="shared" si="8"/>
        <v>177.94573643410857</v>
      </c>
      <c r="Z10" s="11">
        <f t="shared" si="9"/>
        <v>66.695841472868224</v>
      </c>
      <c r="AA10" s="7">
        <v>1985</v>
      </c>
      <c r="AB10" s="15">
        <f>IFERROR(AA10/1970,0)</f>
        <v>1.0076142131979695</v>
      </c>
      <c r="AC10" s="11">
        <v>0</v>
      </c>
      <c r="AD10" s="15">
        <f>IFERROR(AC10/64.9,0)</f>
        <v>0</v>
      </c>
      <c r="AE10" s="11">
        <v>14</v>
      </c>
      <c r="AF10" s="11">
        <v>22</v>
      </c>
      <c r="AG10" s="7">
        <f t="shared" si="10"/>
        <v>1399.0500000000015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45</v>
      </c>
      <c r="C11" s="7"/>
      <c r="D11" s="7">
        <v>7</v>
      </c>
      <c r="E11" s="7">
        <v>4819</v>
      </c>
      <c r="F11" s="7">
        <v>4564</v>
      </c>
      <c r="G11" s="7">
        <v>10</v>
      </c>
      <c r="H11" s="9">
        <f t="shared" si="0"/>
        <v>2.1910604732690623E-3</v>
      </c>
      <c r="I11" s="9">
        <f>IFERROR((4819-F11)/4819,0)</f>
        <v>5.2915542643702011E-2</v>
      </c>
      <c r="J11" s="7">
        <v>30390</v>
      </c>
      <c r="K11" s="11">
        <f t="shared" si="1"/>
        <v>95.123325403781138</v>
      </c>
      <c r="L11" s="11">
        <f>K11-96.2896</f>
        <v>-1.1662745962188552</v>
      </c>
      <c r="M11" s="11">
        <v>90</v>
      </c>
      <c r="N11" s="11">
        <f t="shared" si="2"/>
        <v>5.1233254037811378</v>
      </c>
      <c r="O11" s="11">
        <f>IFERROR(770896/4819,0)</f>
        <v>159.97011828180121</v>
      </c>
      <c r="P11" s="11">
        <v>168</v>
      </c>
      <c r="Q11" s="11">
        <f t="shared" si="3"/>
        <v>-8.0298817181987943</v>
      </c>
      <c r="R11" s="7">
        <v>5054</v>
      </c>
      <c r="S11" s="11">
        <f t="shared" si="4"/>
        <v>158.19456617002629</v>
      </c>
      <c r="T11" s="13">
        <f t="shared" si="5"/>
        <v>6.0130589631974676</v>
      </c>
      <c r="U11" s="7">
        <v>5040</v>
      </c>
      <c r="V11" s="11">
        <f t="shared" si="6"/>
        <v>157.75635407537249</v>
      </c>
      <c r="W11" s="11">
        <f t="shared" si="7"/>
        <v>0.99722991689750695</v>
      </c>
      <c r="X11" s="11">
        <v>362.76</v>
      </c>
      <c r="Y11" s="11">
        <f t="shared" si="8"/>
        <v>166.30470549522872</v>
      </c>
      <c r="Z11" s="11">
        <f t="shared" si="9"/>
        <v>60.328694965449166</v>
      </c>
      <c r="AA11" s="7">
        <v>1938</v>
      </c>
      <c r="AB11" s="15">
        <f>IFERROR(AA11/1950,0)</f>
        <v>0.99384615384615382</v>
      </c>
      <c r="AC11" s="11">
        <v>0</v>
      </c>
      <c r="AD11" s="15">
        <f>IFERROR(AC11/62.9,0)</f>
        <v>0</v>
      </c>
      <c r="AE11" s="11">
        <v>14</v>
      </c>
      <c r="AF11" s="11">
        <v>25</v>
      </c>
      <c r="AG11" s="7">
        <f t="shared" si="10"/>
        <v>1636.7999999999979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38307</v>
      </c>
      <c r="G12" s="17">
        <f>SUM(G6:G11)</f>
        <v>86</v>
      </c>
      <c r="H12" s="18">
        <f t="shared" si="0"/>
        <v>2.2450204923382148E-3</v>
      </c>
      <c r="I12" s="18"/>
      <c r="J12" s="17">
        <f>SUM(J6:J11)</f>
        <v>213540</v>
      </c>
      <c r="K12" s="19">
        <f t="shared" si="1"/>
        <v>79.634829889352559</v>
      </c>
      <c r="L12" s="19"/>
      <c r="M12" s="19">
        <f>IFERROR(SUMPRODUCT($F6:$F11,M6:M11)/$F12, 0)</f>
        <v>84.422951418800736</v>
      </c>
      <c r="N12" s="19">
        <f t="shared" si="2"/>
        <v>-4.7881215294481763</v>
      </c>
      <c r="O12" s="19">
        <f>IFERROR(SUMPRODUCT($E6:$E11,O6:O11)/$E12, 0)</f>
        <v>278.35961476030735</v>
      </c>
      <c r="P12" s="19">
        <f>IFERROR(SUMPRODUCT($E6:$E11,P6:P11)/$E12, 0)</f>
        <v>34.559896115139054</v>
      </c>
      <c r="Q12" s="19">
        <f>IFERROR(SUMPRODUCT($E6:$E11,Q6:Q11)/$E12, 0)</f>
        <v>243.79971864516827</v>
      </c>
      <c r="R12" s="17">
        <f>SUM(R6:R11)</f>
        <v>36319</v>
      </c>
      <c r="S12" s="19">
        <f>IFERROR(R12/D12/$F12*1000,0)</f>
        <v>135.44335425453761</v>
      </c>
      <c r="T12" s="20">
        <f t="shared" si="5"/>
        <v>5.8795671686995785</v>
      </c>
      <c r="U12" s="17">
        <f>SUM(U6:U11)</f>
        <v>15120</v>
      </c>
      <c r="V12" s="19">
        <f>IFERROR(U12/D12/$F12*1000,0)</f>
        <v>56.386561202913306</v>
      </c>
      <c r="W12" s="19">
        <f t="shared" si="7"/>
        <v>0.41631102177923396</v>
      </c>
      <c r="X12" s="19">
        <f>IFERROR(SUMPRODUCT(R6:R11,X6:X11)/R12,0)</f>
        <v>367.60208072909495</v>
      </c>
      <c r="Y12" s="19">
        <f>IFERROR(($F12*S12)/($F12*K12)*100,0)</f>
        <v>170.0805469701227</v>
      </c>
      <c r="Z12" s="19">
        <f t="shared" si="9"/>
        <v>62.521962957759669</v>
      </c>
      <c r="AA12" s="17"/>
      <c r="AB12" s="21">
        <f>IFERROR(SUMPRODUCT($F6:$F11,AB6:AB11)/$F12,0)</f>
        <v>1.0212254367496651</v>
      </c>
      <c r="AC12" s="19"/>
      <c r="AD12" s="21">
        <f>AVERAGE(AD6:AD11)</f>
        <v>0</v>
      </c>
      <c r="AE12" s="19"/>
      <c r="AF12" s="19"/>
      <c r="AG12" s="17">
        <f>SUM(AG6:AG11)</f>
        <v>-12839.300000000007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84</v>
      </c>
      <c r="C14" s="6">
        <v>20</v>
      </c>
      <c r="D14" s="6">
        <v>7</v>
      </c>
      <c r="E14" s="6">
        <v>21388</v>
      </c>
      <c r="F14" s="6">
        <v>16548</v>
      </c>
      <c r="G14" s="6">
        <v>41</v>
      </c>
      <c r="H14" s="8">
        <f t="shared" ref="H14:H29" si="12">IFERROR(G14/F14,0)</f>
        <v>2.4776408025138988E-3</v>
      </c>
      <c r="I14" s="8">
        <f>IFERROR((21388-F14)/21388,0)</f>
        <v>0.22629511875818215</v>
      </c>
      <c r="J14" s="6">
        <v>76310</v>
      </c>
      <c r="K14" s="10">
        <f t="shared" ref="K14:K29" si="13">IFERROR(J14/D14/F14*100,0)</f>
        <v>65.877620083566413</v>
      </c>
      <c r="L14" s="10">
        <f>K14-61.6243</f>
        <v>4.2533200835664147</v>
      </c>
      <c r="M14" s="10">
        <v>81</v>
      </c>
      <c r="N14" s="10">
        <f t="shared" ref="N14:N29" si="14">K14-M14</f>
        <v>-15.122379916433587</v>
      </c>
      <c r="O14" s="10">
        <f>IFERROR(5489000/21388,0)</f>
        <v>256.63923695530201</v>
      </c>
      <c r="P14" s="10">
        <v>0</v>
      </c>
      <c r="Q14" s="10">
        <f t="shared" ref="Q14:Q28" si="15">IFERROR(O14-P14,0)</f>
        <v>256.63923695530201</v>
      </c>
      <c r="R14" s="6">
        <v>10950</v>
      </c>
      <c r="S14" s="10">
        <f t="shared" ref="S14:S28" si="16">IFERROR(R14/D14/F14*1000,0)</f>
        <v>94.530197865948409</v>
      </c>
      <c r="T14" s="12">
        <f t="shared" ref="T14:T29" si="17">IFERROR(J14/R14,0)</f>
        <v>6.9689497716894975</v>
      </c>
      <c r="U14" s="6">
        <v>21460</v>
      </c>
      <c r="V14" s="10">
        <f t="shared" ref="V14:V28" si="18">IFERROR(U14/D14/F14*1000,0)</f>
        <v>185.26192202769434</v>
      </c>
      <c r="W14" s="10">
        <f t="shared" ref="W14:W29" si="19">IFERROR(V14/S14,0)</f>
        <v>1.9598173515981736</v>
      </c>
      <c r="X14" s="10">
        <v>297</v>
      </c>
      <c r="Y14" s="10">
        <f t="shared" ref="Y14:Y28" si="20">IFERROR((F14*S14)/(F14*K14)*100,0)</f>
        <v>143.49364434543313</v>
      </c>
      <c r="Z14" s="10">
        <f t="shared" ref="Z14:Z29" si="21">IFERROR(Y14*X14/1000,0)</f>
        <v>42.61761237059364</v>
      </c>
      <c r="AA14" s="6">
        <v>2040</v>
      </c>
      <c r="AB14" s="14">
        <f>IFERROR(AA14/1580,0)</f>
        <v>1.2911392405063291</v>
      </c>
      <c r="AC14" s="10">
        <v>64.900000000000006</v>
      </c>
      <c r="AD14" s="14">
        <f>IFERROR(AC14/63.6,0)</f>
        <v>1.0204402515723272</v>
      </c>
      <c r="AE14" s="10">
        <v>22</v>
      </c>
      <c r="AF14" s="10">
        <v>26</v>
      </c>
      <c r="AG14" s="6">
        <f t="shared" ref="AG14:AG28" si="22">IF(M14=0,0,IFERROR(N14/100*7*F14,0))</f>
        <v>-17517.160000000011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44</v>
      </c>
      <c r="C15" s="7"/>
      <c r="D15" s="7">
        <v>7</v>
      </c>
      <c r="E15" s="7">
        <v>10225</v>
      </c>
      <c r="F15" s="7">
        <v>8806</v>
      </c>
      <c r="G15" s="7">
        <v>74</v>
      </c>
      <c r="H15" s="9">
        <f t="shared" si="12"/>
        <v>8.4033613445378148E-3</v>
      </c>
      <c r="I15" s="9">
        <f>IFERROR((10225-F15)/10225,0)</f>
        <v>0.13877750611246945</v>
      </c>
      <c r="J15" s="7">
        <v>51000</v>
      </c>
      <c r="K15" s="11">
        <f t="shared" si="13"/>
        <v>82.735797021511303</v>
      </c>
      <c r="L15" s="11">
        <f>K15-85.4247</f>
        <v>-2.6889029784886986</v>
      </c>
      <c r="M15" s="11">
        <v>91</v>
      </c>
      <c r="N15" s="11">
        <f t="shared" si="14"/>
        <v>-8.2642029784886972</v>
      </c>
      <c r="O15" s="11">
        <f>IFERROR(1392710/10225,0)</f>
        <v>136.20635696821515</v>
      </c>
      <c r="P15" s="11">
        <v>162</v>
      </c>
      <c r="Q15" s="11">
        <f t="shared" si="15"/>
        <v>-25.793643031784853</v>
      </c>
      <c r="R15" s="7">
        <v>8740</v>
      </c>
      <c r="S15" s="11">
        <f t="shared" si="16"/>
        <v>141.78644430745271</v>
      </c>
      <c r="T15" s="13">
        <f t="shared" si="17"/>
        <v>5.835240274599542</v>
      </c>
      <c r="U15" s="7">
        <v>12720</v>
      </c>
      <c r="V15" s="11">
        <f t="shared" si="18"/>
        <v>206.35281139482819</v>
      </c>
      <c r="W15" s="11">
        <f t="shared" si="19"/>
        <v>1.4553775743707094</v>
      </c>
      <c r="X15" s="11">
        <v>297.93857142860003</v>
      </c>
      <c r="Y15" s="11">
        <f t="shared" si="20"/>
        <v>171.37254901960785</v>
      </c>
      <c r="Z15" s="11">
        <f t="shared" si="21"/>
        <v>51.058492436979691</v>
      </c>
      <c r="AA15" s="7">
        <v>2030</v>
      </c>
      <c r="AB15" s="15">
        <f>IFERROR(AA15/1940,0)</f>
        <v>1.0463917525773196</v>
      </c>
      <c r="AC15" s="11">
        <v>62.9</v>
      </c>
      <c r="AD15" s="15">
        <f>IFERROR(AC15/62.9,0)</f>
        <v>1</v>
      </c>
      <c r="AE15" s="11">
        <v>22</v>
      </c>
      <c r="AF15" s="11">
        <v>30</v>
      </c>
      <c r="AG15" s="7">
        <f t="shared" si="22"/>
        <v>-5094.2200000000021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73</v>
      </c>
      <c r="C16" s="7"/>
      <c r="D16" s="7">
        <v>7</v>
      </c>
      <c r="E16" s="7">
        <v>56050</v>
      </c>
      <c r="F16" s="7">
        <v>49235</v>
      </c>
      <c r="G16" s="7">
        <v>165</v>
      </c>
      <c r="H16" s="9">
        <f t="shared" si="12"/>
        <v>3.3512744998476693E-3</v>
      </c>
      <c r="I16" s="9">
        <f>IFERROR((56050-F16)/56050,0)</f>
        <v>0.1215878679750223</v>
      </c>
      <c r="J16" s="7">
        <v>298940</v>
      </c>
      <c r="K16" s="11">
        <f t="shared" si="13"/>
        <v>86.738528050602795</v>
      </c>
      <c r="L16" s="11">
        <f>K16-87.9931</f>
        <v>-1.254571949397203</v>
      </c>
      <c r="M16" s="11">
        <v>87.45</v>
      </c>
      <c r="N16" s="11">
        <f t="shared" si="14"/>
        <v>-0.71147194939720748</v>
      </c>
      <c r="O16" s="11">
        <f>IFERROR(18378321/56050,0)</f>
        <v>327.89154326494202</v>
      </c>
      <c r="P16" s="11">
        <v>333</v>
      </c>
      <c r="Q16" s="11">
        <f t="shared" si="15"/>
        <v>-5.1084567350579846</v>
      </c>
      <c r="R16" s="7">
        <v>39700</v>
      </c>
      <c r="S16" s="11">
        <f t="shared" si="16"/>
        <v>115.19099363112768</v>
      </c>
      <c r="T16" s="13">
        <f t="shared" si="17"/>
        <v>7.5299748110831235</v>
      </c>
      <c r="U16" s="7">
        <v>62500</v>
      </c>
      <c r="V16" s="11">
        <f t="shared" si="18"/>
        <v>181.34602271902975</v>
      </c>
      <c r="W16" s="11">
        <f t="shared" si="19"/>
        <v>1.5743073047858944</v>
      </c>
      <c r="X16" s="11">
        <v>303.98714285710003</v>
      </c>
      <c r="Y16" s="11">
        <f t="shared" si="20"/>
        <v>132.80256907740687</v>
      </c>
      <c r="Z16" s="11">
        <f t="shared" si="21"/>
        <v>40.370273537923573</v>
      </c>
      <c r="AA16" s="7">
        <v>1780</v>
      </c>
      <c r="AB16" s="15">
        <f>IFERROR(AA16/1725,0)</f>
        <v>1.0318840579710145</v>
      </c>
      <c r="AC16" s="11">
        <v>0</v>
      </c>
      <c r="AD16" s="15">
        <f>IFERROR(AC16/63.8,0)</f>
        <v>0</v>
      </c>
      <c r="AE16" s="11">
        <v>21</v>
      </c>
      <c r="AF16" s="11">
        <v>26</v>
      </c>
      <c r="AG16" s="7">
        <f t="shared" si="22"/>
        <v>-2452.0525000000052</v>
      </c>
      <c r="AH16" s="7">
        <v>55</v>
      </c>
      <c r="AI16" s="7">
        <v>3.6363636364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IFERROR(1510/F16,0)</f>
        <v>3.0669239362242307E-2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66</v>
      </c>
      <c r="C17" s="7"/>
      <c r="D17" s="7">
        <v>7</v>
      </c>
      <c r="E17" s="7">
        <v>51536</v>
      </c>
      <c r="F17" s="7">
        <v>47187</v>
      </c>
      <c r="G17" s="7">
        <v>142</v>
      </c>
      <c r="H17" s="9">
        <f t="shared" si="12"/>
        <v>3.0093034098374553E-3</v>
      </c>
      <c r="I17" s="9">
        <f>IFERROR((51536-F17)/51536,0)</f>
        <v>8.4387612542688603E-2</v>
      </c>
      <c r="J17" s="7">
        <v>281160</v>
      </c>
      <c r="K17" s="11">
        <f t="shared" si="13"/>
        <v>85.120296449688013</v>
      </c>
      <c r="L17" s="11">
        <f>K17-85.6316</f>
        <v>-0.51130355031199315</v>
      </c>
      <c r="M17" s="11">
        <v>89.65</v>
      </c>
      <c r="N17" s="11">
        <f t="shared" si="14"/>
        <v>-4.5297035503119929</v>
      </c>
      <c r="O17" s="11">
        <f>IFERROR(14522662/51536,0)</f>
        <v>281.79645296491771</v>
      </c>
      <c r="P17" s="11">
        <v>292</v>
      </c>
      <c r="Q17" s="11">
        <f t="shared" si="15"/>
        <v>-10.203547035082295</v>
      </c>
      <c r="R17" s="7">
        <v>40880</v>
      </c>
      <c r="S17" s="11">
        <f t="shared" si="16"/>
        <v>123.76290079894886</v>
      </c>
      <c r="T17" s="13">
        <f t="shared" si="17"/>
        <v>6.8776908023483365</v>
      </c>
      <c r="U17" s="7">
        <v>67480</v>
      </c>
      <c r="V17" s="11">
        <f t="shared" si="18"/>
        <v>204.29355542840187</v>
      </c>
      <c r="W17" s="11">
        <f t="shared" si="19"/>
        <v>1.6506849315068493</v>
      </c>
      <c r="X17" s="11">
        <v>287.61</v>
      </c>
      <c r="Y17" s="11">
        <f t="shared" si="20"/>
        <v>145.39763835538483</v>
      </c>
      <c r="Z17" s="11">
        <f t="shared" si="21"/>
        <v>41.817814767392235</v>
      </c>
      <c r="AA17" s="7">
        <v>1691</v>
      </c>
      <c r="AB17" s="15">
        <f>IFERROR(AA17/1725,0)</f>
        <v>0.9802898550724638</v>
      </c>
      <c r="AC17" s="11">
        <v>0</v>
      </c>
      <c r="AD17" s="15">
        <f>IFERROR(AC17/63.5,0)</f>
        <v>0</v>
      </c>
      <c r="AE17" s="11">
        <v>22</v>
      </c>
      <c r="AF17" s="11">
        <v>25</v>
      </c>
      <c r="AG17" s="7">
        <f t="shared" si="22"/>
        <v>-14962.01850000004</v>
      </c>
      <c r="AH17" s="7">
        <v>25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IFERROR(1250/F17,0)</f>
        <v>2.6490346917583233E-2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114</v>
      </c>
      <c r="C18" s="7">
        <v>44</v>
      </c>
      <c r="D18" s="7">
        <v>4</v>
      </c>
      <c r="E18" s="7">
        <v>51311</v>
      </c>
      <c r="F18" s="7">
        <v>38026</v>
      </c>
      <c r="G18" s="7">
        <v>10</v>
      </c>
      <c r="H18" s="9">
        <f t="shared" si="12"/>
        <v>2.6297796244674699E-4</v>
      </c>
      <c r="I18" s="9">
        <f>IFERROR((51311-F18)/51311,0)</f>
        <v>0.25891134454600379</v>
      </c>
      <c r="J18" s="7">
        <v>70340</v>
      </c>
      <c r="K18" s="11">
        <f t="shared" si="13"/>
        <v>46.244674696260454</v>
      </c>
      <c r="L18" s="11">
        <f>K18-78.3994</f>
        <v>-32.154725303739546</v>
      </c>
      <c r="M18" s="11">
        <v>68</v>
      </c>
      <c r="N18" s="11">
        <f t="shared" si="14"/>
        <v>-21.755325303739546</v>
      </c>
      <c r="O18" s="11">
        <f>IFERROR(24941789/51311,0)</f>
        <v>486.09048741985151</v>
      </c>
      <c r="P18" s="11">
        <v>0</v>
      </c>
      <c r="Q18" s="11">
        <f t="shared" si="15"/>
        <v>486.09048741985151</v>
      </c>
      <c r="R18" s="7">
        <v>3100</v>
      </c>
      <c r="S18" s="11">
        <f t="shared" si="16"/>
        <v>20.38079208962289</v>
      </c>
      <c r="T18" s="13">
        <f t="shared" si="17"/>
        <v>22.690322580645162</v>
      </c>
      <c r="U18" s="7">
        <v>6440</v>
      </c>
      <c r="V18" s="11">
        <f t="shared" si="18"/>
        <v>42.339451953926257</v>
      </c>
      <c r="W18" s="11">
        <f t="shared" si="19"/>
        <v>2.0774193548387094</v>
      </c>
      <c r="X18" s="11">
        <v>290.88</v>
      </c>
      <c r="Y18" s="11">
        <f t="shared" si="20"/>
        <v>44.071651976116009</v>
      </c>
      <c r="Z18" s="11">
        <f t="shared" si="21"/>
        <v>12.819562126812626</v>
      </c>
      <c r="AA18" s="7">
        <v>0</v>
      </c>
      <c r="AB18" s="15">
        <f>IFERROR(AA18/0,0)</f>
        <v>0</v>
      </c>
      <c r="AC18" s="11">
        <v>0</v>
      </c>
      <c r="AD18" s="15">
        <f>IFERROR(AC18/0,0)</f>
        <v>0</v>
      </c>
      <c r="AE18" s="11">
        <v>0</v>
      </c>
      <c r="AF18" s="11">
        <v>25</v>
      </c>
      <c r="AG18" s="7">
        <f t="shared" si="22"/>
        <v>-57908.76</v>
      </c>
      <c r="AH18" s="7">
        <v>24</v>
      </c>
      <c r="AI18" s="7">
        <v>15.833333333300001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IFERROR(0/F18,0)</f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45</v>
      </c>
      <c r="C19" s="7"/>
      <c r="D19" s="7">
        <v>7</v>
      </c>
      <c r="E19" s="7">
        <v>52424</v>
      </c>
      <c r="F19" s="7">
        <v>48713</v>
      </c>
      <c r="G19" s="7">
        <v>283</v>
      </c>
      <c r="H19" s="9">
        <f t="shared" si="12"/>
        <v>5.8095374951245048E-3</v>
      </c>
      <c r="I19" s="9">
        <f>IFERROR((52424-F19)/52424,0)</f>
        <v>7.078818861590111E-2</v>
      </c>
      <c r="J19" s="7">
        <v>289960</v>
      </c>
      <c r="K19" s="11">
        <f t="shared" si="13"/>
        <v>85.034502376895588</v>
      </c>
      <c r="L19" s="11">
        <f>K19-85.8088</f>
        <v>-0.77429762310441674</v>
      </c>
      <c r="M19" s="11">
        <v>95.05</v>
      </c>
      <c r="N19" s="11">
        <f t="shared" si="14"/>
        <v>-10.015497623104409</v>
      </c>
      <c r="O19" s="11">
        <f>IFERROR(8029440/52424,0)</f>
        <v>153.16343659392643</v>
      </c>
      <c r="P19" s="11">
        <v>163</v>
      </c>
      <c r="Q19" s="11">
        <f t="shared" si="15"/>
        <v>-9.8365634060735658</v>
      </c>
      <c r="R19" s="7">
        <v>35334</v>
      </c>
      <c r="S19" s="11">
        <f t="shared" si="16"/>
        <v>103.6215032068295</v>
      </c>
      <c r="T19" s="13">
        <f t="shared" si="17"/>
        <v>8.2062602592403913</v>
      </c>
      <c r="U19" s="7">
        <v>57932</v>
      </c>
      <c r="V19" s="11">
        <f t="shared" si="18"/>
        <v>169.89304703056678</v>
      </c>
      <c r="W19" s="11">
        <f t="shared" si="19"/>
        <v>1.6395539706797984</v>
      </c>
      <c r="X19" s="11">
        <v>312.5771428571</v>
      </c>
      <c r="Y19" s="11">
        <f t="shared" si="20"/>
        <v>121.85818733618427</v>
      </c>
      <c r="Z19" s="11">
        <f t="shared" si="21"/>
        <v>38.090084031289727</v>
      </c>
      <c r="AA19" s="7">
        <v>1684</v>
      </c>
      <c r="AB19" s="15">
        <f>IFERROR(AA19/1715,0)</f>
        <v>0.98192419825072885</v>
      </c>
      <c r="AC19" s="11">
        <v>62.01</v>
      </c>
      <c r="AD19" s="15">
        <f>IFERROR(AC19/62.3,0)</f>
        <v>0.99534510433386836</v>
      </c>
      <c r="AE19" s="11">
        <v>0</v>
      </c>
      <c r="AF19" s="11">
        <v>26</v>
      </c>
      <c r="AG19" s="7">
        <f t="shared" si="22"/>
        <v>-34151.945499999958</v>
      </c>
      <c r="AH19" s="7">
        <v>39</v>
      </c>
      <c r="AI19" s="7">
        <v>17.435897435899999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IFERROR(1450/F19,0)</f>
        <v>2.9766181512122021E-2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35</v>
      </c>
      <c r="C20" s="7"/>
      <c r="D20" s="7">
        <v>7</v>
      </c>
      <c r="E20" s="7">
        <v>50525</v>
      </c>
      <c r="F20" s="7">
        <v>49118</v>
      </c>
      <c r="G20" s="7">
        <v>91</v>
      </c>
      <c r="H20" s="9">
        <f t="shared" si="12"/>
        <v>1.8526812980984568E-3</v>
      </c>
      <c r="I20" s="9">
        <f>IFERROR((50525-F20)/50525,0)</f>
        <v>2.7847600197921821E-2</v>
      </c>
      <c r="J20" s="7">
        <v>322000</v>
      </c>
      <c r="K20" s="11">
        <f t="shared" si="13"/>
        <v>93.652021662119793</v>
      </c>
      <c r="L20" s="11">
        <f>K20-92.9621</f>
        <v>0.68992166211978656</v>
      </c>
      <c r="M20" s="11">
        <v>94.5</v>
      </c>
      <c r="N20" s="11">
        <f t="shared" si="14"/>
        <v>-0.84797833788020682</v>
      </c>
      <c r="O20" s="11">
        <f>IFERROR(4596190/50525,0)</f>
        <v>90.968629391390394</v>
      </c>
      <c r="P20" s="11">
        <v>100</v>
      </c>
      <c r="Q20" s="11">
        <f t="shared" si="15"/>
        <v>-9.0313706086096062</v>
      </c>
      <c r="R20" s="7">
        <v>39130</v>
      </c>
      <c r="S20" s="11">
        <f t="shared" si="16"/>
        <v>113.80756545461949</v>
      </c>
      <c r="T20" s="13">
        <f t="shared" si="17"/>
        <v>8.2289803220035775</v>
      </c>
      <c r="U20" s="7">
        <v>69503</v>
      </c>
      <c r="V20" s="11">
        <f t="shared" si="18"/>
        <v>202.1458528441712</v>
      </c>
      <c r="W20" s="11">
        <f t="shared" si="19"/>
        <v>1.7762075134168158</v>
      </c>
      <c r="X20" s="11">
        <v>287.44571428569998</v>
      </c>
      <c r="Y20" s="11">
        <f t="shared" si="20"/>
        <v>121.52173913043478</v>
      </c>
      <c r="Z20" s="11">
        <f t="shared" si="21"/>
        <v>34.930903105588321</v>
      </c>
      <c r="AA20" s="7">
        <v>1661</v>
      </c>
      <c r="AB20" s="15">
        <f>IFERROR(AA20/1560,0)</f>
        <v>1.0647435897435897</v>
      </c>
      <c r="AC20" s="11">
        <v>60.61</v>
      </c>
      <c r="AD20" s="15">
        <f>IFERROR(AC20/59.7,0)</f>
        <v>1.0152428810720266</v>
      </c>
      <c r="AE20" s="11">
        <v>19</v>
      </c>
      <c r="AF20" s="11">
        <v>25</v>
      </c>
      <c r="AG20" s="7">
        <f t="shared" si="22"/>
        <v>-2915.57</v>
      </c>
      <c r="AH20" s="7">
        <v>37</v>
      </c>
      <c r="AI20" s="7">
        <v>17.297297297299998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IFERROR(980/F20,0)</f>
        <v>1.9951952441060305E-2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54</v>
      </c>
      <c r="C21" s="7"/>
      <c r="D21" s="7">
        <v>7</v>
      </c>
      <c r="E21" s="7">
        <v>50845</v>
      </c>
      <c r="F21" s="7">
        <v>48549</v>
      </c>
      <c r="G21" s="7">
        <v>112</v>
      </c>
      <c r="H21" s="9">
        <f t="shared" si="12"/>
        <v>2.3069476199303798E-3</v>
      </c>
      <c r="I21" s="9">
        <f>IFERROR((50845-F21)/50845,0)</f>
        <v>4.515684924771364E-2</v>
      </c>
      <c r="J21" s="7">
        <v>312080</v>
      </c>
      <c r="K21" s="11">
        <f t="shared" si="13"/>
        <v>91.830639442330735</v>
      </c>
      <c r="L21" s="11">
        <f>K21-92.5705</f>
        <v>-0.73986055766926029</v>
      </c>
      <c r="M21" s="11">
        <v>93</v>
      </c>
      <c r="N21" s="11">
        <f t="shared" si="14"/>
        <v>-1.1693605576692647</v>
      </c>
      <c r="O21" s="11">
        <f>IFERROR(10959100/50845,0)</f>
        <v>215.5393844035795</v>
      </c>
      <c r="P21" s="11">
        <v>220</v>
      </c>
      <c r="Q21" s="11">
        <f t="shared" si="15"/>
        <v>-4.4606155964204959</v>
      </c>
      <c r="R21" s="7">
        <v>39124</v>
      </c>
      <c r="S21" s="11">
        <f t="shared" si="16"/>
        <v>115.12374831907675</v>
      </c>
      <c r="T21" s="13">
        <f t="shared" si="17"/>
        <v>7.9766895000511191</v>
      </c>
      <c r="U21" s="7">
        <v>66850</v>
      </c>
      <c r="V21" s="11">
        <f t="shared" si="18"/>
        <v>196.70848009227791</v>
      </c>
      <c r="W21" s="11">
        <f t="shared" si="19"/>
        <v>1.7086698701564258</v>
      </c>
      <c r="X21" s="11">
        <v>287.22428571429998</v>
      </c>
      <c r="Y21" s="11">
        <f t="shared" si="20"/>
        <v>125.36529095103819</v>
      </c>
      <c r="Z21" s="11">
        <f t="shared" si="21"/>
        <v>36.007956146777339</v>
      </c>
      <c r="AA21" s="7">
        <v>1728</v>
      </c>
      <c r="AB21" s="15">
        <f>IFERROR(AA21/1725,0)</f>
        <v>1.0017391304347827</v>
      </c>
      <c r="AC21" s="11">
        <v>62.51</v>
      </c>
      <c r="AD21" s="15">
        <f>IFERROR(AC21/62.9,0)</f>
        <v>0.99379968203497615</v>
      </c>
      <c r="AE21" s="11">
        <v>18</v>
      </c>
      <c r="AF21" s="11">
        <v>25</v>
      </c>
      <c r="AG21" s="7">
        <f t="shared" si="22"/>
        <v>-3973.9899999999593</v>
      </c>
      <c r="AH21" s="7">
        <v>31</v>
      </c>
      <c r="AI21" s="7">
        <v>23.870967741899999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IFERROR(1430/F21,0)</f>
        <v>2.9454777647325382E-2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21</v>
      </c>
      <c r="C22" s="7"/>
      <c r="D22" s="7">
        <v>7</v>
      </c>
      <c r="E22" s="7">
        <v>21024</v>
      </c>
      <c r="F22" s="7">
        <v>20946</v>
      </c>
      <c r="G22" s="7">
        <v>46</v>
      </c>
      <c r="H22" s="9">
        <f t="shared" si="12"/>
        <v>2.1961233648429297E-3</v>
      </c>
      <c r="I22" s="9">
        <f>IFERROR((21024-F22)/21024,0)</f>
        <v>3.7100456621004564E-3</v>
      </c>
      <c r="J22" s="7">
        <v>44760</v>
      </c>
      <c r="K22" s="11">
        <f t="shared" si="13"/>
        <v>30.527478823096128</v>
      </c>
      <c r="L22" s="11">
        <f>K22-10.2692</f>
        <v>20.258278823096127</v>
      </c>
      <c r="M22" s="11">
        <v>80.5</v>
      </c>
      <c r="N22" s="11">
        <f t="shared" si="14"/>
        <v>-49.972521176903868</v>
      </c>
      <c r="O22" s="11">
        <f>IFERROR(60780/21024,0)</f>
        <v>2.8909817351598175</v>
      </c>
      <c r="P22" s="11">
        <v>13</v>
      </c>
      <c r="Q22" s="11">
        <f t="shared" si="15"/>
        <v>-10.109018264840183</v>
      </c>
      <c r="R22" s="7">
        <v>15950</v>
      </c>
      <c r="S22" s="11">
        <f t="shared" si="16"/>
        <v>108.7831294075923</v>
      </c>
      <c r="T22" s="13">
        <f t="shared" si="17"/>
        <v>2.8062695924764891</v>
      </c>
      <c r="U22" s="7">
        <v>17440</v>
      </c>
      <c r="V22" s="11">
        <f t="shared" si="18"/>
        <v>118.94531516416363</v>
      </c>
      <c r="W22" s="11">
        <f t="shared" si="19"/>
        <v>1.0934169278996866</v>
      </c>
      <c r="X22" s="11">
        <v>297</v>
      </c>
      <c r="Y22" s="11">
        <f t="shared" si="20"/>
        <v>356.34495084897225</v>
      </c>
      <c r="Z22" s="11">
        <f t="shared" si="21"/>
        <v>105.83445040214475</v>
      </c>
      <c r="AA22" s="7">
        <v>1800</v>
      </c>
      <c r="AB22" s="15">
        <f>IFERROR(AA22/1720,0)</f>
        <v>1.0465116279069768</v>
      </c>
      <c r="AC22" s="11">
        <v>52.5</v>
      </c>
      <c r="AD22" s="15">
        <f>IFERROR(AC22/52.55,0)</f>
        <v>0.99904852521408183</v>
      </c>
      <c r="AE22" s="11">
        <v>22</v>
      </c>
      <c r="AF22" s="11">
        <v>26</v>
      </c>
      <c r="AG22" s="7">
        <f t="shared" si="22"/>
        <v>-73270.709999999992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45</v>
      </c>
      <c r="C23" s="7"/>
      <c r="D23" s="7">
        <v>7</v>
      </c>
      <c r="E23" s="7">
        <v>21875</v>
      </c>
      <c r="F23" s="7">
        <v>21011</v>
      </c>
      <c r="G23" s="7">
        <v>28</v>
      </c>
      <c r="H23" s="9">
        <f t="shared" si="12"/>
        <v>1.332635286278616E-3</v>
      </c>
      <c r="I23" s="9">
        <f>IFERROR((21875-F23)/21875,0)</f>
        <v>3.9497142857142856E-2</v>
      </c>
      <c r="J23" s="7">
        <v>131760</v>
      </c>
      <c r="K23" s="11">
        <f t="shared" si="13"/>
        <v>89.585727204117561</v>
      </c>
      <c r="L23" s="11">
        <f>K23-90.3221</f>
        <v>-0.73637279588244553</v>
      </c>
      <c r="M23" s="11">
        <v>90</v>
      </c>
      <c r="N23" s="11">
        <f t="shared" si="14"/>
        <v>-0.41427279588243948</v>
      </c>
      <c r="O23" s="11">
        <f>IFERROR(3641910/21875,0)</f>
        <v>166.48731428571429</v>
      </c>
      <c r="P23" s="11">
        <v>168</v>
      </c>
      <c r="Q23" s="11">
        <f t="shared" si="15"/>
        <v>-1.5126857142857091</v>
      </c>
      <c r="R23" s="7">
        <v>19460</v>
      </c>
      <c r="S23" s="11">
        <f t="shared" si="16"/>
        <v>132.31164628051971</v>
      </c>
      <c r="T23" s="13">
        <f t="shared" si="17"/>
        <v>6.7708119218910587</v>
      </c>
      <c r="U23" s="7">
        <v>28966</v>
      </c>
      <c r="V23" s="11">
        <f t="shared" si="18"/>
        <v>196.94445766503262</v>
      </c>
      <c r="W23" s="11">
        <f t="shared" si="19"/>
        <v>1.4884892086330939</v>
      </c>
      <c r="X23" s="11">
        <v>301.1514285714</v>
      </c>
      <c r="Y23" s="11">
        <f t="shared" si="20"/>
        <v>147.69277474195505</v>
      </c>
      <c r="Z23" s="11">
        <f t="shared" si="21"/>
        <v>44.477890103213745</v>
      </c>
      <c r="AA23" s="7">
        <v>2033</v>
      </c>
      <c r="AB23" s="15">
        <f>IFERROR(AA23/1950,0)</f>
        <v>1.0425641025641026</v>
      </c>
      <c r="AC23" s="11">
        <v>0</v>
      </c>
      <c r="AD23" s="15">
        <f>IFERROR(AC23/62.9,0)</f>
        <v>0</v>
      </c>
      <c r="AE23" s="11">
        <v>0</v>
      </c>
      <c r="AF23" s="11">
        <v>26</v>
      </c>
      <c r="AG23" s="7">
        <f t="shared" si="22"/>
        <v>-609.30000000001553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IFERROR(595/F23,0)</f>
        <v>2.831849983342059E-2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104</v>
      </c>
      <c r="C24" s="7">
        <v>37</v>
      </c>
      <c r="D24" s="7">
        <v>7</v>
      </c>
      <c r="E24" s="7">
        <v>51833</v>
      </c>
      <c r="F24" s="7">
        <v>39844</v>
      </c>
      <c r="G24" s="7">
        <v>165</v>
      </c>
      <c r="H24" s="9">
        <f t="shared" si="12"/>
        <v>4.1411504868989054E-3</v>
      </c>
      <c r="I24" s="9">
        <f>IFERROR((51833-F24)/51833,0)</f>
        <v>0.23130052283294425</v>
      </c>
      <c r="J24" s="7">
        <v>167380</v>
      </c>
      <c r="K24" s="11">
        <f t="shared" si="13"/>
        <v>60.012620649102935</v>
      </c>
      <c r="L24" s="11">
        <f>K24-59.8437</f>
        <v>0.16892064910293669</v>
      </c>
      <c r="M24" s="11">
        <v>71</v>
      </c>
      <c r="N24" s="11">
        <f t="shared" si="14"/>
        <v>-10.987379350897065</v>
      </c>
      <c r="O24" s="11">
        <f>IFERROR(20964848/51833,0)</f>
        <v>404.46912198792273</v>
      </c>
      <c r="P24" s="11">
        <v>0</v>
      </c>
      <c r="Q24" s="11">
        <f t="shared" si="15"/>
        <v>404.46912198792273</v>
      </c>
      <c r="R24" s="7">
        <v>34789</v>
      </c>
      <c r="S24" s="11">
        <f t="shared" si="16"/>
        <v>124.73288683006584</v>
      </c>
      <c r="T24" s="13">
        <f t="shared" si="17"/>
        <v>4.8112909252924778</v>
      </c>
      <c r="U24" s="7">
        <v>49204</v>
      </c>
      <c r="V24" s="11">
        <f t="shared" si="18"/>
        <v>176.41659615357037</v>
      </c>
      <c r="W24" s="11">
        <f t="shared" si="19"/>
        <v>1.4143551122481244</v>
      </c>
      <c r="X24" s="11">
        <v>280.16571428570001</v>
      </c>
      <c r="Y24" s="11">
        <f t="shared" si="20"/>
        <v>207.84442585733066</v>
      </c>
      <c r="Z24" s="11">
        <f t="shared" si="21"/>
        <v>58.230882030620265</v>
      </c>
      <c r="AA24" s="7">
        <v>1799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19</v>
      </c>
      <c r="AF24" s="11">
        <v>25</v>
      </c>
      <c r="AG24" s="7">
        <f t="shared" si="22"/>
        <v>-30644.679999999989</v>
      </c>
      <c r="AH24" s="7">
        <v>38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IFERROR(1400/F24,0)</f>
        <v>3.5137034434293744E-2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102</v>
      </c>
      <c r="C25" s="7">
        <v>36</v>
      </c>
      <c r="D25" s="7">
        <v>7</v>
      </c>
      <c r="E25" s="7">
        <v>21623</v>
      </c>
      <c r="F25" s="7">
        <v>17844</v>
      </c>
      <c r="G25" s="7">
        <v>44</v>
      </c>
      <c r="H25" s="9">
        <f t="shared" si="12"/>
        <v>2.4658148397220356E-3</v>
      </c>
      <c r="I25" s="9">
        <f>IFERROR((21623-F25)/21623,0)</f>
        <v>0.17476760856495399</v>
      </c>
      <c r="J25" s="7">
        <v>85320</v>
      </c>
      <c r="K25" s="11">
        <f t="shared" si="13"/>
        <v>68.30627341723509</v>
      </c>
      <c r="L25" s="11">
        <f>K25-73.8883</f>
        <v>-5.5820265827649109</v>
      </c>
      <c r="M25" s="11">
        <v>70</v>
      </c>
      <c r="N25" s="11">
        <f t="shared" si="14"/>
        <v>-1.6937265827649099</v>
      </c>
      <c r="O25" s="11">
        <f>IFERROR(8879525/21623,0)</f>
        <v>410.65185219442259</v>
      </c>
      <c r="P25" s="11">
        <v>0</v>
      </c>
      <c r="Q25" s="11">
        <f t="shared" si="15"/>
        <v>410.65185219442259</v>
      </c>
      <c r="R25" s="7">
        <v>14674</v>
      </c>
      <c r="S25" s="11">
        <f t="shared" si="16"/>
        <v>117.47846414961411</v>
      </c>
      <c r="T25" s="13">
        <f t="shared" si="17"/>
        <v>5.8143655445004772</v>
      </c>
      <c r="U25" s="7">
        <v>24602</v>
      </c>
      <c r="V25" s="11">
        <f t="shared" si="18"/>
        <v>196.96096326896594</v>
      </c>
      <c r="W25" s="11">
        <f t="shared" si="19"/>
        <v>1.6765708055063377</v>
      </c>
      <c r="X25" s="11">
        <v>287.64999999999998</v>
      </c>
      <c r="Y25" s="11">
        <f t="shared" si="20"/>
        <v>171.98781059540551</v>
      </c>
      <c r="Z25" s="11">
        <f t="shared" si="21"/>
        <v>49.472293717768395</v>
      </c>
      <c r="AA25" s="7">
        <v>2101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20</v>
      </c>
      <c r="AF25" s="11">
        <v>25</v>
      </c>
      <c r="AG25" s="7">
        <f t="shared" si="22"/>
        <v>-2115.5999999999935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IFERROR(560/F25,0)</f>
        <v>3.1383097960098631E-2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68</v>
      </c>
      <c r="B26" s="5">
        <v>35</v>
      </c>
      <c r="C26" s="7"/>
      <c r="D26" s="7">
        <v>7</v>
      </c>
      <c r="E26" s="7">
        <v>21339</v>
      </c>
      <c r="F26" s="7">
        <v>20887</v>
      </c>
      <c r="G26" s="7">
        <v>26</v>
      </c>
      <c r="H26" s="9">
        <f t="shared" si="12"/>
        <v>1.2447934121702494E-3</v>
      </c>
      <c r="I26" s="9">
        <f>IFERROR((21339-F26)/21339,0)</f>
        <v>2.1181873564834339E-2</v>
      </c>
      <c r="J26" s="7">
        <v>134820</v>
      </c>
      <c r="K26" s="11">
        <f t="shared" si="13"/>
        <v>92.210465839996175</v>
      </c>
      <c r="L26" s="11">
        <f>K26-91.2351</f>
        <v>0.97536583999617221</v>
      </c>
      <c r="M26" s="11">
        <v>94.5</v>
      </c>
      <c r="N26" s="11">
        <f t="shared" si="14"/>
        <v>-2.289534160003825</v>
      </c>
      <c r="O26" s="11">
        <f>IFERROR(2091090/21339,0)</f>
        <v>97.993814143118229</v>
      </c>
      <c r="P26" s="11">
        <v>104</v>
      </c>
      <c r="Q26" s="11">
        <f t="shared" si="15"/>
        <v>-6.0061858568817712</v>
      </c>
      <c r="R26" s="7">
        <v>17100</v>
      </c>
      <c r="S26" s="11">
        <f t="shared" si="16"/>
        <v>116.95586455006189</v>
      </c>
      <c r="T26" s="13">
        <f t="shared" si="17"/>
        <v>7.8842105263157896</v>
      </c>
      <c r="U26" s="7">
        <v>34751</v>
      </c>
      <c r="V26" s="11">
        <f t="shared" si="18"/>
        <v>237.68030695784802</v>
      </c>
      <c r="W26" s="11">
        <f t="shared" si="19"/>
        <v>2.0322222222222224</v>
      </c>
      <c r="X26" s="11">
        <v>276.9542857143</v>
      </c>
      <c r="Y26" s="11">
        <f t="shared" si="20"/>
        <v>126.8357810413885</v>
      </c>
      <c r="Z26" s="11">
        <f t="shared" si="21"/>
        <v>35.127713141333111</v>
      </c>
      <c r="AA26" s="7">
        <v>1831</v>
      </c>
      <c r="AB26" s="15">
        <f>IFERROR(AA26/1910,0)</f>
        <v>0.95863874345549738</v>
      </c>
      <c r="AC26" s="11">
        <v>0</v>
      </c>
      <c r="AD26" s="15">
        <f>IFERROR(AC26/61.8,0)</f>
        <v>0</v>
      </c>
      <c r="AE26" s="11">
        <v>19</v>
      </c>
      <c r="AF26" s="11">
        <v>25</v>
      </c>
      <c r="AG26" s="7">
        <f t="shared" si="22"/>
        <v>-3347.5049999999928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IFERROR(490/F26,0)</f>
        <v>2.3459568152439315E-2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69</v>
      </c>
      <c r="B27" s="5">
        <v>22</v>
      </c>
      <c r="C27" s="7"/>
      <c r="D27" s="7">
        <v>7</v>
      </c>
      <c r="E27" s="7">
        <v>64976</v>
      </c>
      <c r="F27" s="7">
        <v>64610</v>
      </c>
      <c r="G27" s="7">
        <v>110</v>
      </c>
      <c r="H27" s="9">
        <f t="shared" si="12"/>
        <v>1.7025228292833928E-3</v>
      </c>
      <c r="I27" s="9">
        <f>IFERROR((64976-F27)/64976,0)</f>
        <v>5.6328490519576462E-3</v>
      </c>
      <c r="J27" s="7">
        <v>384800</v>
      </c>
      <c r="K27" s="11">
        <f t="shared" si="13"/>
        <v>85.08192009198045</v>
      </c>
      <c r="L27" s="11">
        <f>K27-71.9142</f>
        <v>13.167720091980456</v>
      </c>
      <c r="M27" s="11">
        <v>82</v>
      </c>
      <c r="N27" s="11">
        <f t="shared" si="14"/>
        <v>3.0819200919804501</v>
      </c>
      <c r="O27" s="11">
        <f>IFERROR(1048080/64976,0)</f>
        <v>16.130263481901011</v>
      </c>
      <c r="P27" s="11">
        <v>15</v>
      </c>
      <c r="Q27" s="11">
        <f t="shared" si="15"/>
        <v>1.1302634819010109</v>
      </c>
      <c r="R27" s="7">
        <v>43760</v>
      </c>
      <c r="S27" s="11">
        <f t="shared" si="16"/>
        <v>96.75636234992372</v>
      </c>
      <c r="T27" s="13">
        <f t="shared" si="17"/>
        <v>8.7934186471663622</v>
      </c>
      <c r="U27" s="7">
        <v>99320</v>
      </c>
      <c r="V27" s="11">
        <f t="shared" si="18"/>
        <v>219.60333429146309</v>
      </c>
      <c r="W27" s="11">
        <f t="shared" si="19"/>
        <v>2.2696526508226693</v>
      </c>
      <c r="X27" s="11">
        <v>285.08714285709999</v>
      </c>
      <c r="Y27" s="11">
        <f t="shared" si="20"/>
        <v>113.72141372141374</v>
      </c>
      <c r="Z27" s="11">
        <f t="shared" si="21"/>
        <v>32.420512919508049</v>
      </c>
      <c r="AA27" s="7">
        <v>1460</v>
      </c>
      <c r="AB27" s="15">
        <f>IFERROR(AA27/1450,0)</f>
        <v>1.0068965517241379</v>
      </c>
      <c r="AC27" s="11">
        <v>0</v>
      </c>
      <c r="AD27" s="15">
        <f>IFERROR(AC27/49.8,0)</f>
        <v>0</v>
      </c>
      <c r="AE27" s="11">
        <v>19</v>
      </c>
      <c r="AF27" s="11">
        <v>25</v>
      </c>
      <c r="AG27" s="7">
        <f t="shared" si="22"/>
        <v>13938.599999999982</v>
      </c>
      <c r="AH27" s="7">
        <v>15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70</v>
      </c>
      <c r="B28" s="5">
        <v>93</v>
      </c>
      <c r="C28" s="7">
        <v>21</v>
      </c>
      <c r="D28" s="7">
        <v>7</v>
      </c>
      <c r="E28" s="7">
        <v>47224</v>
      </c>
      <c r="F28" s="7">
        <v>36912</v>
      </c>
      <c r="G28" s="7">
        <v>117</v>
      </c>
      <c r="H28" s="9">
        <f t="shared" si="12"/>
        <v>3.1697009102730819E-3</v>
      </c>
      <c r="I28" s="9">
        <f>IFERROR((47224-F28)/47224,0)</f>
        <v>0.21836354396069796</v>
      </c>
      <c r="J28" s="7">
        <v>171600</v>
      </c>
      <c r="K28" s="11">
        <f t="shared" si="13"/>
        <v>66.412780977150291</v>
      </c>
      <c r="L28" s="11">
        <f>K28-63.3635</f>
        <v>3.0492809771502891</v>
      </c>
      <c r="M28" s="11">
        <v>77</v>
      </c>
      <c r="N28" s="11">
        <f t="shared" si="14"/>
        <v>-10.587219022849709</v>
      </c>
      <c r="O28" s="11">
        <f>IFERROR(16595220/47224,0)</f>
        <v>351.41495849568014</v>
      </c>
      <c r="P28" s="11">
        <v>0</v>
      </c>
      <c r="Q28" s="11">
        <f t="shared" si="15"/>
        <v>351.41495849568014</v>
      </c>
      <c r="R28" s="7">
        <v>30670</v>
      </c>
      <c r="S28" s="11">
        <f t="shared" si="16"/>
        <v>118.69930026627036</v>
      </c>
      <c r="T28" s="13">
        <f t="shared" si="17"/>
        <v>5.5950440169546791</v>
      </c>
      <c r="U28" s="7">
        <v>46950</v>
      </c>
      <c r="V28" s="11">
        <f t="shared" si="18"/>
        <v>181.70629760356678</v>
      </c>
      <c r="W28" s="11">
        <f t="shared" si="19"/>
        <v>1.5308118682751874</v>
      </c>
      <c r="X28" s="11">
        <v>287.28428571429998</v>
      </c>
      <c r="Y28" s="11">
        <f t="shared" si="20"/>
        <v>178.72960372960375</v>
      </c>
      <c r="Z28" s="11">
        <f t="shared" si="21"/>
        <v>51.346206543459097</v>
      </c>
      <c r="AA28" s="7">
        <v>1559</v>
      </c>
      <c r="AB28" s="15">
        <f>IFERROR(AA28/1580,0)</f>
        <v>0.98670886075949371</v>
      </c>
      <c r="AC28" s="11">
        <v>0</v>
      </c>
      <c r="AD28" s="15">
        <f>IFERROR(AC28/63.7,0)</f>
        <v>0</v>
      </c>
      <c r="AE28" s="11">
        <v>14</v>
      </c>
      <c r="AF28" s="11">
        <v>26</v>
      </c>
      <c r="AG28" s="7">
        <f t="shared" si="22"/>
        <v>-27355.679999999989</v>
      </c>
      <c r="AH28" s="7">
        <v>28</v>
      </c>
      <c r="AI28" s="7">
        <v>20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IFERROR(720/F28,0)</f>
        <v>1.950585175552666E-2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6.8</v>
      </c>
      <c r="E29" s="17">
        <f>SUM(E14:E28)</f>
        <v>594198</v>
      </c>
      <c r="F29" s="17">
        <f>SUM(F14:F28)</f>
        <v>528236</v>
      </c>
      <c r="G29" s="17">
        <f>SUM(G14:G28)</f>
        <v>1454</v>
      </c>
      <c r="H29" s="18">
        <f t="shared" si="12"/>
        <v>2.7525575689653866E-3</v>
      </c>
      <c r="I29" s="18"/>
      <c r="J29" s="17">
        <f>SUM(J14:J28)</f>
        <v>2822230</v>
      </c>
      <c r="K29" s="19">
        <f t="shared" si="13"/>
        <v>78.569772512553442</v>
      </c>
      <c r="L29" s="19"/>
      <c r="M29" s="19">
        <f>IFERROR(SUMPRODUCT($F14:$F28,M14:M28)/$F29, 0)</f>
        <v>84.847508405333983</v>
      </c>
      <c r="N29" s="19">
        <f t="shared" si="14"/>
        <v>-6.2777358927805409</v>
      </c>
      <c r="O29" s="19">
        <f>IFERROR(SUMPRODUCT($E14:$E28,O14:O28)/$E29, 0)</f>
        <v>238.28869333117916</v>
      </c>
      <c r="P29" s="19">
        <f>IFERROR(SUMPRODUCT($E14:$E28,P14:P28)/$E29, 0)</f>
        <v>113.25405336268382</v>
      </c>
      <c r="Q29" s="19">
        <f>IFERROR(SUMPRODUCT($E14:$E28,Q14:Q28)/$E29, 0)</f>
        <v>125.03463996849536</v>
      </c>
      <c r="R29" s="17">
        <f>SUM(R14:R28)</f>
        <v>393361</v>
      </c>
      <c r="S29" s="19">
        <f>IFERROR(R29/D29/$F29*1000,0)</f>
        <v>109.51015432941516</v>
      </c>
      <c r="T29" s="20">
        <f t="shared" si="17"/>
        <v>7.1746563589171268</v>
      </c>
      <c r="U29" s="17">
        <f>SUM(U14:U28)</f>
        <v>666118</v>
      </c>
      <c r="V29" s="19">
        <f>IFERROR(U29/D29/$F29*1000,0)</f>
        <v>185.44462969537238</v>
      </c>
      <c r="W29" s="19">
        <f t="shared" si="19"/>
        <v>1.6934012268628564</v>
      </c>
      <c r="X29" s="19">
        <f>IFERROR(SUMPRODUCT(R14:R28,X14:X28)/R29,0)</f>
        <v>291.59199981694883</v>
      </c>
      <c r="Y29" s="19">
        <f>IFERROR(($F29*S29)/($F29*K29)*100,0)</f>
        <v>139.37949777303766</v>
      </c>
      <c r="Z29" s="19">
        <f t="shared" si="21"/>
        <v>40.641946489122013</v>
      </c>
      <c r="AA29" s="17"/>
      <c r="AB29" s="21">
        <f>IFERROR(SUMPRODUCT($F14:$F28,AB14:AB28)/$F29,0)</f>
        <v>0.83623919439684802</v>
      </c>
      <c r="AC29" s="19"/>
      <c r="AD29" s="21">
        <f>AVERAGE(AD14:AD28)</f>
        <v>0.40159176294848536</v>
      </c>
      <c r="AE29" s="19"/>
      <c r="AF29" s="19"/>
      <c r="AG29" s="17">
        <f>SUM(AG14:AG28)</f>
        <v>-262380.59150000004</v>
      </c>
      <c r="AH29" s="17">
        <f>SUM(AH14:AH28)</f>
        <v>292</v>
      </c>
      <c r="AI29" s="17">
        <f>IFERROR(SUMPRODUCT(AH14:AH28,AI14:AI28)/AH29, 0)</f>
        <v>16.301369863014727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6.8135230688579682</v>
      </c>
      <c r="E31" s="23">
        <f>E12+E29</f>
        <v>640403</v>
      </c>
      <c r="F31" s="23">
        <f>F12+F29</f>
        <v>566543</v>
      </c>
      <c r="G31" s="23">
        <f>G12+G29</f>
        <v>1540</v>
      </c>
      <c r="H31" s="24">
        <f>IFERROR(G31/F31,0)</f>
        <v>2.7182402747893803E-3</v>
      </c>
      <c r="I31" s="23"/>
      <c r="J31" s="23">
        <f>J12+J29</f>
        <v>3035770</v>
      </c>
      <c r="K31" s="25">
        <f>IFERROR(J31/D31/F31*100,0)</f>
        <v>78.643757665821497</v>
      </c>
      <c r="L31" s="23"/>
      <c r="M31" s="25">
        <f>IFERROR($F$12/$F31*M$12,0)+IFERROR($F$29/$F31*M$29,0)</f>
        <v>84.81880183851888</v>
      </c>
      <c r="N31" s="25">
        <f>K31-M31</f>
        <v>-6.1750441726973833</v>
      </c>
      <c r="O31" s="23">
        <f>IFERROR($E$12/$E31*O$12,0)+IFERROR($E$29/$E31*O$29,0)</f>
        <v>241.17980552870611</v>
      </c>
      <c r="P31" s="23">
        <f>IFERROR($E$12/$E31*P$12,0)+IFERROR($E$29/$E31*P$29,0)</f>
        <v>107.57627931162095</v>
      </c>
      <c r="Q31" s="23">
        <f>IFERROR($E$12/$E31*Q$12,0)+IFERROR($E$29/$E31*Q$29,0)</f>
        <v>133.60352621708518</v>
      </c>
      <c r="R31" s="23">
        <f>R12+R29</f>
        <v>429680</v>
      </c>
      <c r="S31" s="25">
        <f>IFERROR(R31/D31/$F31*1000,0)</f>
        <v>111.31162701341071</v>
      </c>
      <c r="T31" s="26">
        <f>IFERROR(J31/R31,0)</f>
        <v>7.065188046918637</v>
      </c>
      <c r="U31" s="23">
        <f>U12+U29</f>
        <v>681238</v>
      </c>
      <c r="V31" s="25">
        <f>IFERROR(U31/D31/$F31*1000,0)</f>
        <v>176.47949674958545</v>
      </c>
      <c r="W31" s="25">
        <f>IFERROR(V31/S31,0)</f>
        <v>1.5854542915658161</v>
      </c>
      <c r="X31" s="25">
        <f>IFERROR($F$12/$F31*X$12,0)+IFERROR($F$29/$F31*X$29,0)</f>
        <v>296.73144760732231</v>
      </c>
      <c r="Y31" s="25">
        <f>IFERROR(($F31*S31)/($F31*K31)*100,0)</f>
        <v>141.53904940097573</v>
      </c>
      <c r="Z31" s="25">
        <f>IFERROR(Y31*X31/1000,0)</f>
        <v>41.99908702171583</v>
      </c>
      <c r="AA31" s="23"/>
      <c r="AB31" s="27"/>
      <c r="AC31" s="23"/>
      <c r="AD31" s="27"/>
      <c r="AE31" s="23"/>
      <c r="AF31" s="23"/>
      <c r="AG31" s="23">
        <f>AG12+AG29</f>
        <v>-275219.89150000003</v>
      </c>
      <c r="AH31" s="23">
        <f>AH12+AH29</f>
        <v>292</v>
      </c>
      <c r="AI31" s="23">
        <f>IFERROR(AH$12/AH31*AI$12,0)+IFERROR(AH$29/AH31*AI$29,0)</f>
        <v>16.301369863014727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30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69</v>
      </c>
      <c r="T34" s="32" t="s">
        <v>61</v>
      </c>
      <c r="U34" s="32" t="s">
        <v>70</v>
      </c>
      <c r="V34" s="32" t="s">
        <v>71</v>
      </c>
      <c r="W34" s="32" t="s">
        <v>72</v>
      </c>
      <c r="X34" s="32" t="s">
        <v>62</v>
      </c>
      <c r="Y34" s="32" t="s">
        <v>66</v>
      </c>
      <c r="Z34" s="32" t="s">
        <v>67</v>
      </c>
      <c r="AA34" s="32" t="s">
        <v>81</v>
      </c>
      <c r="AB34" s="32" t="s">
        <v>63</v>
      </c>
      <c r="AC34" s="32" t="s">
        <v>68</v>
      </c>
      <c r="AD34" s="32" t="s">
        <v>64</v>
      </c>
    </row>
    <row r="35" spans="1:30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/>
      <c r="T35" s="8">
        <v>2.5000000000000001E-3</v>
      </c>
      <c r="U35" s="8">
        <v>5.3E-3</v>
      </c>
      <c r="V35" s="8">
        <v>6.3E-3</v>
      </c>
      <c r="W35" s="8">
        <v>2.7000000000000001E-3</v>
      </c>
      <c r="X35" s="8">
        <v>1.5E-3</v>
      </c>
      <c r="Y35" s="8">
        <v>1.4E-3</v>
      </c>
      <c r="Z35" s="8">
        <v>2.8E-3</v>
      </c>
      <c r="AA35" s="8">
        <v>1.6999999999999999E-3</v>
      </c>
      <c r="AB35" s="8"/>
      <c r="AC35" s="8"/>
      <c r="AD35" s="8">
        <v>6.9999999999999999E-4</v>
      </c>
    </row>
    <row r="36" spans="1:30" x14ac:dyDescent="0.3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>
        <v>1.32E-2</v>
      </c>
      <c r="P36" s="9">
        <v>2.3999999999999998E-3</v>
      </c>
      <c r="Q36" s="9">
        <v>4.1999999999999997E-3</v>
      </c>
      <c r="R36" s="9">
        <v>1.6999999999999999E-3</v>
      </c>
      <c r="S36" s="9"/>
      <c r="T36" s="9">
        <v>2.5000000000000001E-3</v>
      </c>
      <c r="U36" s="9">
        <v>5.7999999999999996E-3</v>
      </c>
      <c r="V36" s="9">
        <v>3.5999999999999999E-3</v>
      </c>
      <c r="W36" s="9">
        <v>2.3E-3</v>
      </c>
      <c r="X36" s="9">
        <v>1.5E-3</v>
      </c>
      <c r="Y36" s="9">
        <v>1E-3</v>
      </c>
      <c r="Z36" s="9">
        <v>3.0000000000000001E-3</v>
      </c>
      <c r="AA36" s="9">
        <v>1.8E-3</v>
      </c>
      <c r="AB36" s="9"/>
      <c r="AC36" s="9"/>
      <c r="AD36" s="9">
        <v>1E-3</v>
      </c>
    </row>
    <row r="37" spans="1:30" x14ac:dyDescent="0.3">
      <c r="B37" s="5">
        <v>202503</v>
      </c>
      <c r="C37" s="5"/>
      <c r="D37" s="9">
        <v>2.8E-3</v>
      </c>
      <c r="E37" s="9">
        <v>4.8999999999999998E-3</v>
      </c>
      <c r="F37" s="9">
        <v>2.5999999999999999E-3</v>
      </c>
      <c r="G37" s="9">
        <v>5.8999999999999999E-3</v>
      </c>
      <c r="H37" s="9">
        <v>5.8999999999999999E-3</v>
      </c>
      <c r="I37" s="9">
        <v>3.5999999999999999E-3</v>
      </c>
      <c r="J37" s="9">
        <v>3.3999999999999998E-3</v>
      </c>
      <c r="K37" s="9">
        <v>3.2000000000000002E-3</v>
      </c>
      <c r="L37" s="9">
        <v>3.0000000000000001E-3</v>
      </c>
      <c r="M37" s="9">
        <v>2.2000000000000001E-3</v>
      </c>
      <c r="N37" s="9">
        <v>1.6000000000000001E-3</v>
      </c>
      <c r="O37" s="9">
        <v>9.7999999999999997E-3</v>
      </c>
      <c r="P37" s="9">
        <v>2.5000000000000001E-3</v>
      </c>
      <c r="Q37" s="9">
        <v>3.3E-3</v>
      </c>
      <c r="R37" s="9">
        <v>1.8E-3</v>
      </c>
      <c r="S37" s="9"/>
      <c r="T37" s="9">
        <v>2.5000000000000001E-3</v>
      </c>
      <c r="U37" s="9">
        <v>5.4999999999999997E-3</v>
      </c>
      <c r="V37" s="9">
        <v>3.5000000000000001E-3</v>
      </c>
      <c r="W37" s="9">
        <v>2.5000000000000001E-3</v>
      </c>
      <c r="X37" s="9">
        <v>1.6999999999999999E-3</v>
      </c>
      <c r="Y37" s="9">
        <v>6.9999999999999999E-4</v>
      </c>
      <c r="Z37" s="9">
        <v>2.8E-3</v>
      </c>
      <c r="AA37" s="9">
        <v>1.4E-3</v>
      </c>
      <c r="AB37" s="9"/>
      <c r="AC37" s="9"/>
      <c r="AD37" s="9">
        <v>1.6000000000000001E-3</v>
      </c>
    </row>
    <row r="38" spans="1:30" x14ac:dyDescent="0.3">
      <c r="B38" s="5">
        <v>202504</v>
      </c>
      <c r="C38" s="5"/>
      <c r="D38" s="9">
        <v>2.5999999999999999E-3</v>
      </c>
      <c r="E38" s="9">
        <v>5.1000000000000004E-3</v>
      </c>
      <c r="F38" s="9">
        <v>2.3999999999999998E-3</v>
      </c>
      <c r="G38" s="9">
        <v>5.8999999999999999E-3</v>
      </c>
      <c r="H38" s="9">
        <v>5.7999999999999996E-3</v>
      </c>
      <c r="I38" s="9">
        <v>6.3E-3</v>
      </c>
      <c r="J38" s="9">
        <v>5.0000000000000001E-3</v>
      </c>
      <c r="K38" s="9">
        <v>4.1000000000000003E-3</v>
      </c>
      <c r="L38" s="9">
        <v>1.9E-3</v>
      </c>
      <c r="M38" s="9">
        <v>2.3999999999999998E-3</v>
      </c>
      <c r="N38" s="9">
        <v>2.2000000000000001E-3</v>
      </c>
      <c r="O38" s="9">
        <v>7.3000000000000001E-3</v>
      </c>
      <c r="P38" s="9">
        <v>2.5000000000000001E-3</v>
      </c>
      <c r="Q38" s="9">
        <v>4.1000000000000003E-3</v>
      </c>
      <c r="R38" s="9">
        <v>1.6999999999999999E-3</v>
      </c>
      <c r="S38" s="9"/>
      <c r="T38" s="9">
        <v>2.5999999999999999E-3</v>
      </c>
      <c r="U38" s="9">
        <v>3.2000000000000002E-3</v>
      </c>
      <c r="V38" s="9">
        <v>3.7000000000000002E-3</v>
      </c>
      <c r="W38" s="9">
        <v>2.5000000000000001E-3</v>
      </c>
      <c r="X38" s="9">
        <v>1.6000000000000001E-3</v>
      </c>
      <c r="Y38" s="9">
        <v>8.9999999999999998E-4</v>
      </c>
      <c r="Z38" s="9">
        <v>3.5000000000000001E-3</v>
      </c>
      <c r="AA38" s="9">
        <v>1.6000000000000001E-3</v>
      </c>
      <c r="AB38" s="9"/>
      <c r="AC38" s="9"/>
      <c r="AD38" s="9">
        <v>8.9999999999999998E-4</v>
      </c>
    </row>
    <row r="39" spans="1:30" x14ac:dyDescent="0.3">
      <c r="B39" s="5">
        <v>202505</v>
      </c>
      <c r="C39" s="5"/>
      <c r="D39" s="9">
        <v>2.5999999999999999E-3</v>
      </c>
      <c r="E39" s="9">
        <v>4.1000000000000003E-3</v>
      </c>
      <c r="F39" s="9">
        <v>2.5000000000000001E-3</v>
      </c>
      <c r="G39" s="9">
        <v>5.3E-3</v>
      </c>
      <c r="H39" s="9">
        <v>4.7000000000000002E-3</v>
      </c>
      <c r="I39" s="9">
        <v>2.7000000000000001E-3</v>
      </c>
      <c r="J39" s="9">
        <v>1.6000000000000001E-3</v>
      </c>
      <c r="K39" s="9">
        <v>3.0000000000000001E-3</v>
      </c>
      <c r="L39" s="9">
        <v>2.8E-3</v>
      </c>
      <c r="M39" s="9">
        <v>2.5000000000000001E-3</v>
      </c>
      <c r="N39" s="9">
        <v>2.7000000000000001E-3</v>
      </c>
      <c r="O39" s="9">
        <v>4.5999999999999999E-3</v>
      </c>
      <c r="P39" s="9">
        <v>4.1000000000000003E-3</v>
      </c>
      <c r="Q39" s="9">
        <v>4.1000000000000003E-3</v>
      </c>
      <c r="R39" s="9">
        <v>1.6999999999999999E-3</v>
      </c>
      <c r="S39" s="9"/>
      <c r="T39" s="9">
        <v>2.3E-3</v>
      </c>
      <c r="U39" s="9">
        <v>2.2000000000000001E-3</v>
      </c>
      <c r="V39" s="9">
        <v>4.4000000000000003E-3</v>
      </c>
      <c r="W39" s="9">
        <v>2.3E-3</v>
      </c>
      <c r="X39" s="9">
        <v>1.6000000000000001E-3</v>
      </c>
      <c r="Y39" s="9">
        <v>8.9999999999999998E-4</v>
      </c>
      <c r="Z39" s="9">
        <v>3.0999999999999999E-3</v>
      </c>
      <c r="AA39" s="9">
        <v>1.5E-3</v>
      </c>
      <c r="AB39" s="9"/>
      <c r="AC39" s="9"/>
      <c r="AD39" s="9">
        <v>8.9999999999999998E-4</v>
      </c>
    </row>
    <row r="40" spans="1:30" x14ac:dyDescent="0.3">
      <c r="B40" s="5">
        <v>202506</v>
      </c>
      <c r="C40" s="5"/>
      <c r="D40" s="9">
        <v>1.9E-3</v>
      </c>
      <c r="E40" s="9">
        <v>4.4999999999999997E-3</v>
      </c>
      <c r="F40" s="9">
        <v>1.6999999999999999E-3</v>
      </c>
      <c r="G40" s="9">
        <v>5.8999999999999999E-3</v>
      </c>
      <c r="H40" s="9">
        <v>5.4000000000000003E-3</v>
      </c>
      <c r="I40" s="9">
        <v>4.4999999999999997E-3</v>
      </c>
      <c r="J40" s="9">
        <v>2.5000000000000001E-3</v>
      </c>
      <c r="K40" s="9">
        <v>3.0000000000000001E-3</v>
      </c>
      <c r="L40" s="9">
        <v>1.2999999999999999E-3</v>
      </c>
      <c r="M40" s="9">
        <v>3.7000000000000002E-3</v>
      </c>
      <c r="N40" s="9">
        <v>2.5000000000000001E-3</v>
      </c>
      <c r="O40" s="9">
        <v>4.0000000000000001E-3</v>
      </c>
      <c r="P40" s="9">
        <v>2.7000000000000001E-3</v>
      </c>
      <c r="Q40" s="9">
        <v>3.8E-3</v>
      </c>
      <c r="R40" s="9">
        <v>1.5E-3</v>
      </c>
      <c r="S40" s="9"/>
      <c r="T40" s="9">
        <v>1.6999999999999999E-3</v>
      </c>
      <c r="U40" s="9">
        <v>3.0000000000000001E-3</v>
      </c>
      <c r="V40" s="9">
        <v>3.5999999999999999E-3</v>
      </c>
      <c r="W40" s="9">
        <v>1.8E-3</v>
      </c>
      <c r="X40" s="9">
        <v>8.9999999999999998E-4</v>
      </c>
      <c r="Y40" s="9">
        <v>5.9999999999999995E-4</v>
      </c>
      <c r="Z40" s="9">
        <v>1.6999999999999999E-3</v>
      </c>
      <c r="AA40" s="9">
        <v>1E-3</v>
      </c>
      <c r="AB40" s="9">
        <v>0</v>
      </c>
      <c r="AC40" s="9">
        <v>0</v>
      </c>
      <c r="AD40" s="9">
        <v>5.0000000000000001E-4</v>
      </c>
    </row>
    <row r="41" spans="1:30" x14ac:dyDescent="0.3">
      <c r="B41" s="5">
        <v>202507</v>
      </c>
      <c r="C41" s="5"/>
      <c r="D41" s="9">
        <v>2.3999999999999998E-3</v>
      </c>
      <c r="E41" s="9">
        <v>4.5999999999999999E-3</v>
      </c>
      <c r="F41" s="9">
        <v>2.2000000000000001E-3</v>
      </c>
      <c r="G41" s="9">
        <v>5.7999999999999996E-3</v>
      </c>
      <c r="H41" s="9">
        <v>4.3E-3</v>
      </c>
      <c r="I41" s="9">
        <v>4.4999999999999997E-3</v>
      </c>
      <c r="J41" s="9">
        <v>2.5000000000000001E-3</v>
      </c>
      <c r="K41" s="9">
        <v>5.1000000000000004E-3</v>
      </c>
      <c r="L41" s="9">
        <v>3.8E-3</v>
      </c>
      <c r="M41" s="9">
        <v>8.0999999999999996E-3</v>
      </c>
      <c r="N41" s="9">
        <v>2.8E-3</v>
      </c>
      <c r="O41" s="9">
        <v>4.4999999999999997E-3</v>
      </c>
      <c r="P41" s="9">
        <v>2E-3</v>
      </c>
      <c r="Q41" s="9">
        <v>4.8999999999999998E-3</v>
      </c>
      <c r="R41" s="9">
        <v>1.4E-3</v>
      </c>
      <c r="S41" s="9"/>
      <c r="T41" s="9">
        <v>1.9E-3</v>
      </c>
      <c r="U41" s="9">
        <v>4.3E-3</v>
      </c>
      <c r="V41" s="9">
        <v>4.1999999999999997E-3</v>
      </c>
      <c r="W41" s="9">
        <v>4.4000000000000003E-3</v>
      </c>
      <c r="X41" s="9">
        <v>1.1000000000000001E-3</v>
      </c>
      <c r="Y41" s="9">
        <v>5.0000000000000001E-4</v>
      </c>
      <c r="Z41" s="9">
        <v>2.0999999999999999E-3</v>
      </c>
      <c r="AA41" s="9">
        <v>1.1999999999999999E-3</v>
      </c>
      <c r="AB41" s="9">
        <v>8.9999999999999998E-4</v>
      </c>
      <c r="AC41" s="9">
        <v>8.0000000000000004E-4</v>
      </c>
      <c r="AD41" s="9">
        <v>6.9999999999999999E-4</v>
      </c>
    </row>
    <row r="42" spans="1:30" x14ac:dyDescent="0.3">
      <c r="B42" s="5">
        <v>202508</v>
      </c>
      <c r="C42" s="5"/>
      <c r="D42" s="9">
        <v>2E-3</v>
      </c>
      <c r="E42" s="9">
        <v>4.4000000000000003E-3</v>
      </c>
      <c r="F42" s="9">
        <v>1.8E-3</v>
      </c>
      <c r="G42" s="9">
        <v>6.6E-3</v>
      </c>
      <c r="H42" s="9">
        <v>3.8E-3</v>
      </c>
      <c r="I42" s="9">
        <v>2.7000000000000001E-3</v>
      </c>
      <c r="J42" s="9">
        <v>3.2000000000000002E-3</v>
      </c>
      <c r="K42" s="9">
        <v>4.1999999999999997E-3</v>
      </c>
      <c r="L42" s="9">
        <v>2.0999999999999999E-3</v>
      </c>
      <c r="M42" s="9">
        <v>2.5999999999999999E-3</v>
      </c>
      <c r="N42" s="9">
        <v>2.8999999999999998E-3</v>
      </c>
      <c r="O42" s="9">
        <v>5.1999999999999998E-3</v>
      </c>
      <c r="P42" s="9">
        <v>1.9E-3</v>
      </c>
      <c r="Q42" s="9">
        <v>2.3999999999999998E-3</v>
      </c>
      <c r="R42" s="9">
        <v>1.2999999999999999E-3</v>
      </c>
      <c r="S42" s="9"/>
      <c r="T42" s="9">
        <v>1.9E-3</v>
      </c>
      <c r="U42" s="9">
        <v>3.0999999999999999E-3</v>
      </c>
      <c r="V42" s="9">
        <v>3.2000000000000002E-3</v>
      </c>
      <c r="W42" s="9">
        <v>2.3E-3</v>
      </c>
      <c r="X42" s="9">
        <v>1.1000000000000001E-3</v>
      </c>
      <c r="Y42" s="9">
        <v>5.0000000000000001E-4</v>
      </c>
      <c r="Z42" s="9">
        <v>2.8E-3</v>
      </c>
      <c r="AA42" s="9">
        <v>1.2999999999999999E-3</v>
      </c>
      <c r="AB42" s="9">
        <v>1.1999999999999999E-3</v>
      </c>
      <c r="AC42" s="9">
        <v>6.9999999999999999E-4</v>
      </c>
      <c r="AD42" s="9">
        <v>5.9999999999999995E-4</v>
      </c>
    </row>
    <row r="43" spans="1:30" x14ac:dyDescent="0.3">
      <c r="B43" s="5">
        <v>202509</v>
      </c>
      <c r="C43" s="5"/>
      <c r="D43" s="9">
        <v>3.0000000000000001E-3</v>
      </c>
      <c r="E43" s="9">
        <v>8.8000000000000005E-3</v>
      </c>
      <c r="F43" s="9">
        <v>2.5000000000000001E-3</v>
      </c>
      <c r="G43" s="9">
        <v>1.7299999999999999E-2</v>
      </c>
      <c r="H43" s="9">
        <v>5.7000000000000002E-3</v>
      </c>
      <c r="I43" s="9">
        <v>9.1999999999999998E-3</v>
      </c>
      <c r="J43" s="9">
        <v>5.1000000000000004E-3</v>
      </c>
      <c r="K43" s="9">
        <v>4.4000000000000003E-3</v>
      </c>
      <c r="L43" s="9">
        <v>3.8999999999999998E-3</v>
      </c>
      <c r="M43" s="9">
        <v>2.0999999999999999E-3</v>
      </c>
      <c r="N43" s="9">
        <v>5.1999999999999998E-3</v>
      </c>
      <c r="O43" s="9">
        <v>5.0000000000000001E-3</v>
      </c>
      <c r="P43" s="9">
        <v>2.7000000000000001E-3</v>
      </c>
      <c r="Q43" s="9">
        <v>4.8999999999999998E-3</v>
      </c>
      <c r="R43" s="9">
        <v>2E-3</v>
      </c>
      <c r="S43" s="9"/>
      <c r="T43" s="9">
        <v>2.5000000000000001E-3</v>
      </c>
      <c r="U43" s="9">
        <v>3.0999999999999999E-3</v>
      </c>
      <c r="V43" s="9">
        <v>4.5999999999999999E-3</v>
      </c>
      <c r="W43" s="9">
        <v>2.8E-3</v>
      </c>
      <c r="X43" s="9">
        <v>1.6999999999999999E-3</v>
      </c>
      <c r="Y43" s="9">
        <v>1E-3</v>
      </c>
      <c r="Z43" s="9">
        <v>3.5999999999999999E-3</v>
      </c>
      <c r="AA43" s="9">
        <v>1.6000000000000001E-3</v>
      </c>
      <c r="AB43" s="9">
        <v>2.3E-3</v>
      </c>
      <c r="AC43" s="9">
        <v>1.1999999999999999E-3</v>
      </c>
      <c r="AD43" s="9">
        <v>1.1999999999999999E-3</v>
      </c>
    </row>
    <row r="44" spans="1:30" x14ac:dyDescent="0.3">
      <c r="B44" s="5">
        <v>202510</v>
      </c>
      <c r="C44" s="5"/>
      <c r="D44" s="9">
        <v>2.8E-3</v>
      </c>
      <c r="E44" s="9">
        <v>8.0000000000000002E-3</v>
      </c>
      <c r="F44" s="9">
        <v>2.3999999999999998E-3</v>
      </c>
      <c r="G44" s="9">
        <v>1.47E-2</v>
      </c>
      <c r="H44" s="9">
        <v>7.1000000000000004E-3</v>
      </c>
      <c r="I44" s="9">
        <v>1.12E-2</v>
      </c>
      <c r="J44" s="9">
        <v>2.8E-3</v>
      </c>
      <c r="K44" s="9">
        <v>2.0999999999999999E-3</v>
      </c>
      <c r="L44" s="9">
        <v>3.0000000000000001E-3</v>
      </c>
      <c r="M44" s="9">
        <v>2.5000000000000001E-3</v>
      </c>
      <c r="N44" s="9">
        <v>3.3999999999999998E-3</v>
      </c>
      <c r="O44" s="9">
        <v>5.5999999999999999E-3</v>
      </c>
      <c r="P44" s="9">
        <v>2.8999999999999998E-3</v>
      </c>
      <c r="Q44" s="9">
        <v>4.1999999999999997E-3</v>
      </c>
      <c r="R44" s="9">
        <v>2.3E-3</v>
      </c>
      <c r="S44" s="9"/>
      <c r="T44" s="9">
        <v>2.5000000000000001E-3</v>
      </c>
      <c r="U44" s="9">
        <v>2.5999999999999999E-3</v>
      </c>
      <c r="V44" s="9">
        <v>3.3999999999999998E-3</v>
      </c>
      <c r="W44" s="9">
        <v>2.5000000000000001E-3</v>
      </c>
      <c r="X44" s="9">
        <v>2E-3</v>
      </c>
      <c r="Y44" s="9">
        <v>1E-3</v>
      </c>
      <c r="Z44" s="9">
        <v>3.5000000000000001E-3</v>
      </c>
      <c r="AA44" s="9">
        <v>1.6999999999999999E-3</v>
      </c>
      <c r="AB44" s="9">
        <v>1.6999999999999999E-3</v>
      </c>
      <c r="AC44" s="9">
        <v>1.6000000000000001E-3</v>
      </c>
      <c r="AD44" s="9">
        <v>1.2999999999999999E-3</v>
      </c>
    </row>
    <row r="45" spans="1:30" x14ac:dyDescent="0.3">
      <c r="B45" s="5">
        <v>202511</v>
      </c>
      <c r="C45" s="5"/>
      <c r="D45" s="9">
        <v>2.3E-3</v>
      </c>
      <c r="E45" s="9">
        <v>3.5999999999999999E-3</v>
      </c>
      <c r="F45" s="9">
        <v>2.2000000000000001E-3</v>
      </c>
      <c r="G45" s="9">
        <v>5.0000000000000001E-3</v>
      </c>
      <c r="H45" s="9">
        <v>4.1000000000000003E-3</v>
      </c>
      <c r="I45" s="9">
        <v>6.6E-3</v>
      </c>
      <c r="J45" s="9">
        <v>1.9E-3</v>
      </c>
      <c r="K45" s="9">
        <v>2.0999999999999999E-3</v>
      </c>
      <c r="L45" s="9">
        <v>1.2999999999999999E-3</v>
      </c>
      <c r="M45" s="9">
        <v>2E-3</v>
      </c>
      <c r="N45" s="9">
        <v>2.5999999999999999E-3</v>
      </c>
      <c r="O45" s="9">
        <v>3.5000000000000001E-3</v>
      </c>
      <c r="P45" s="9">
        <v>2.5000000000000001E-3</v>
      </c>
      <c r="Q45" s="9">
        <v>3.5000000000000001E-3</v>
      </c>
      <c r="R45" s="9">
        <v>2.3E-3</v>
      </c>
      <c r="S45" s="9"/>
      <c r="T45" s="9">
        <v>3.0000000000000001E-3</v>
      </c>
      <c r="U45" s="9">
        <v>2.3E-3</v>
      </c>
      <c r="V45" s="9">
        <v>3.0999999999999999E-3</v>
      </c>
      <c r="W45" s="9">
        <v>2.8E-3</v>
      </c>
      <c r="X45" s="9">
        <v>1.9E-3</v>
      </c>
      <c r="Y45" s="9">
        <v>8.9999999999999998E-4</v>
      </c>
      <c r="Z45" s="9">
        <v>3.5000000000000001E-3</v>
      </c>
      <c r="AA45" s="9">
        <v>1.5E-3</v>
      </c>
      <c r="AB45" s="9">
        <v>1.1000000000000001E-3</v>
      </c>
      <c r="AC45" s="9">
        <v>1.1999999999999999E-3</v>
      </c>
      <c r="AD45" s="9">
        <v>1.4E-3</v>
      </c>
    </row>
    <row r="46" spans="1:30" x14ac:dyDescent="0.3">
      <c r="B46" s="5">
        <v>202512</v>
      </c>
      <c r="C46" s="5"/>
      <c r="D46" s="9">
        <v>2.5000000000000001E-3</v>
      </c>
      <c r="E46" s="9">
        <v>3.0999999999999999E-3</v>
      </c>
      <c r="F46" s="9">
        <v>2.3999999999999998E-3</v>
      </c>
      <c r="G46" s="9">
        <v>3.3999999999999998E-3</v>
      </c>
      <c r="H46" s="9">
        <v>3.2000000000000002E-3</v>
      </c>
      <c r="I46" s="9">
        <v>4.7000000000000002E-3</v>
      </c>
      <c r="J46" s="9">
        <v>8.9999999999999998E-4</v>
      </c>
      <c r="K46" s="9">
        <v>4.1999999999999997E-3</v>
      </c>
      <c r="L46" s="9">
        <v>2.5999999999999999E-3</v>
      </c>
      <c r="M46" s="9">
        <v>1.9E-3</v>
      </c>
      <c r="N46" s="9">
        <v>3.2000000000000002E-3</v>
      </c>
      <c r="O46" s="9">
        <v>4.4000000000000003E-3</v>
      </c>
      <c r="P46" s="9">
        <v>3.7000000000000002E-3</v>
      </c>
      <c r="Q46" s="9">
        <v>3.2000000000000002E-3</v>
      </c>
      <c r="R46" s="9">
        <v>2.5999999999999999E-3</v>
      </c>
      <c r="S46" s="9"/>
      <c r="T46" s="9">
        <v>3.3999999999999998E-3</v>
      </c>
      <c r="U46" s="9">
        <v>2.5000000000000001E-3</v>
      </c>
      <c r="V46" s="9">
        <v>3.0999999999999999E-3</v>
      </c>
      <c r="W46" s="9">
        <v>3.2000000000000002E-3</v>
      </c>
      <c r="X46" s="9">
        <v>1.5E-3</v>
      </c>
      <c r="Y46" s="9">
        <v>8.0000000000000004E-4</v>
      </c>
      <c r="Z46" s="9">
        <v>3.8999999999999998E-3</v>
      </c>
      <c r="AA46" s="9">
        <v>3.5999999999999999E-3</v>
      </c>
      <c r="AB46" s="9">
        <v>1.1000000000000001E-3</v>
      </c>
      <c r="AC46" s="9">
        <v>1E-3</v>
      </c>
      <c r="AD46" s="9">
        <v>8.9999999999999998E-4</v>
      </c>
    </row>
    <row r="47" spans="1:30" x14ac:dyDescent="0.3">
      <c r="B47" s="5">
        <v>202513</v>
      </c>
      <c r="C47" s="5"/>
      <c r="D47" s="9">
        <v>2.5000000000000001E-3</v>
      </c>
      <c r="E47" s="9">
        <v>3.0000000000000001E-3</v>
      </c>
      <c r="F47" s="9">
        <v>2.5000000000000001E-3</v>
      </c>
      <c r="G47" s="9">
        <v>3.0000000000000001E-3</v>
      </c>
      <c r="H47" s="9">
        <v>2.8999999999999998E-3</v>
      </c>
      <c r="I47" s="9">
        <v>4.7000000000000002E-3</v>
      </c>
      <c r="J47" s="9">
        <v>2.5999999999999999E-3</v>
      </c>
      <c r="K47" s="9">
        <v>4.4999999999999997E-3</v>
      </c>
      <c r="L47" s="9">
        <v>1.6999999999999999E-3</v>
      </c>
      <c r="M47" s="9">
        <v>2E-3</v>
      </c>
      <c r="N47" s="9">
        <v>3.5999999999999999E-3</v>
      </c>
      <c r="O47" s="9">
        <v>5.3E-3</v>
      </c>
      <c r="P47" s="9">
        <v>2.5000000000000001E-3</v>
      </c>
      <c r="Q47" s="9">
        <v>3.8E-3</v>
      </c>
      <c r="R47" s="9">
        <v>3.0000000000000001E-3</v>
      </c>
      <c r="S47" s="9"/>
      <c r="T47" s="9">
        <v>3.5999999999999999E-3</v>
      </c>
      <c r="U47" s="9">
        <v>2.5000000000000001E-3</v>
      </c>
      <c r="V47" s="9">
        <v>3.5000000000000001E-3</v>
      </c>
      <c r="W47" s="9">
        <v>3.0999999999999999E-3</v>
      </c>
      <c r="X47" s="9">
        <v>2E-3</v>
      </c>
      <c r="Y47" s="9">
        <v>1.1000000000000001E-3</v>
      </c>
      <c r="Z47" s="9">
        <v>3.7000000000000002E-3</v>
      </c>
      <c r="AA47" s="9">
        <v>1.8E-3</v>
      </c>
      <c r="AB47" s="9">
        <v>1.6999999999999999E-3</v>
      </c>
      <c r="AC47" s="9">
        <v>8.9999999999999998E-4</v>
      </c>
      <c r="AD47" s="9">
        <v>1E-3</v>
      </c>
    </row>
    <row r="48" spans="1:30" x14ac:dyDescent="0.3">
      <c r="B48" s="5">
        <v>202514</v>
      </c>
      <c r="C48" s="5"/>
      <c r="D48" s="9">
        <v>2.5999999999999999E-3</v>
      </c>
      <c r="E48" s="9">
        <v>4.1999999999999997E-3</v>
      </c>
      <c r="F48" s="9">
        <v>2.5000000000000001E-3</v>
      </c>
      <c r="G48" s="9">
        <v>4.8999999999999998E-3</v>
      </c>
      <c r="H48" s="9">
        <v>3.2000000000000002E-3</v>
      </c>
      <c r="I48" s="9">
        <v>2.8E-3</v>
      </c>
      <c r="J48" s="9">
        <v>6.1000000000000004E-3</v>
      </c>
      <c r="K48" s="9">
        <v>7.1000000000000004E-3</v>
      </c>
      <c r="L48" s="9">
        <v>8.9999999999999998E-4</v>
      </c>
      <c r="M48" s="9">
        <v>2.0999999999999999E-3</v>
      </c>
      <c r="N48" s="9">
        <v>3.7000000000000002E-3</v>
      </c>
      <c r="O48" s="9">
        <v>3.8999999999999998E-3</v>
      </c>
      <c r="P48" s="9">
        <v>2.5000000000000001E-3</v>
      </c>
      <c r="Q48" s="9">
        <v>-1</v>
      </c>
      <c r="R48" s="9">
        <v>2.8E-3</v>
      </c>
      <c r="S48" s="9"/>
      <c r="T48" s="9">
        <v>3.5999999999999999E-3</v>
      </c>
      <c r="U48" s="9">
        <v>2.0999999999999999E-3</v>
      </c>
      <c r="V48" s="9">
        <v>3.2000000000000002E-3</v>
      </c>
      <c r="W48" s="9">
        <v>3.2000000000000002E-3</v>
      </c>
      <c r="X48" s="9">
        <v>2.3999999999999998E-3</v>
      </c>
      <c r="Y48" s="9">
        <v>1.1999999999999999E-3</v>
      </c>
      <c r="Z48" s="9">
        <v>4.7999999999999996E-3</v>
      </c>
      <c r="AA48" s="9">
        <v>1.6999999999999999E-3</v>
      </c>
      <c r="AB48" s="9">
        <v>1.6999999999999999E-3</v>
      </c>
      <c r="AC48" s="9">
        <v>1.1000000000000001E-3</v>
      </c>
      <c r="AD48" s="9">
        <v>1.1000000000000001E-3</v>
      </c>
    </row>
    <row r="49" spans="2:30" x14ac:dyDescent="0.3">
      <c r="B49" s="5">
        <v>202515</v>
      </c>
      <c r="C49" s="5"/>
      <c r="D49" s="9">
        <v>2.5000000000000001E-3</v>
      </c>
      <c r="E49" s="9">
        <v>3.3E-3</v>
      </c>
      <c r="F49" s="9">
        <v>2.3999999999999998E-3</v>
      </c>
      <c r="G49" s="9">
        <v>5.1000000000000004E-3</v>
      </c>
      <c r="H49" s="9">
        <v>2.8E-3</v>
      </c>
      <c r="I49" s="9">
        <v>1.9E-3</v>
      </c>
      <c r="J49" s="9">
        <v>2.3999999999999998E-3</v>
      </c>
      <c r="K49" s="9">
        <v>3.0999999999999999E-3</v>
      </c>
      <c r="L49" s="9">
        <v>1.5E-3</v>
      </c>
      <c r="M49" s="9">
        <v>1.8E-3</v>
      </c>
      <c r="N49" s="9"/>
      <c r="O49" s="9">
        <v>5.3E-3</v>
      </c>
      <c r="P49" s="9">
        <v>2.5000000000000001E-3</v>
      </c>
      <c r="Q49" s="9"/>
      <c r="R49" s="9">
        <v>2.5000000000000001E-3</v>
      </c>
      <c r="S49" s="9"/>
      <c r="T49" s="9">
        <v>3.7000000000000002E-3</v>
      </c>
      <c r="U49" s="9">
        <v>2.5999999999999999E-3</v>
      </c>
      <c r="V49" s="9">
        <v>2.8999999999999998E-3</v>
      </c>
      <c r="W49" s="9">
        <v>3.5999999999999999E-3</v>
      </c>
      <c r="X49" s="9">
        <v>2.5999999999999999E-3</v>
      </c>
      <c r="Y49" s="9">
        <v>8.0000000000000004E-4</v>
      </c>
      <c r="Z49" s="9">
        <v>3.7000000000000002E-3</v>
      </c>
      <c r="AA49" s="9">
        <v>1.9E-3</v>
      </c>
      <c r="AB49" s="9">
        <v>1.4E-3</v>
      </c>
      <c r="AC49" s="9">
        <v>8.9999999999999998E-4</v>
      </c>
      <c r="AD49" s="9">
        <v>1.4E-3</v>
      </c>
    </row>
    <row r="50" spans="2:30" x14ac:dyDescent="0.3">
      <c r="B50" s="5">
        <v>202516</v>
      </c>
      <c r="C50" s="5"/>
      <c r="D50" s="9">
        <v>2.7000000000000001E-3</v>
      </c>
      <c r="E50" s="9">
        <v>2.8E-3</v>
      </c>
      <c r="F50" s="9">
        <v>2.5999999999999999E-3</v>
      </c>
      <c r="G50" s="9">
        <v>3.8999999999999998E-3</v>
      </c>
      <c r="H50" s="9">
        <v>2.5000000000000001E-3</v>
      </c>
      <c r="I50" s="9">
        <v>2.8999999999999998E-3</v>
      </c>
      <c r="J50" s="9">
        <v>1.9E-3</v>
      </c>
      <c r="K50" s="9">
        <v>2.2000000000000001E-3</v>
      </c>
      <c r="L50" s="9">
        <v>2.5999999999999999E-3</v>
      </c>
      <c r="M50" s="9">
        <v>1.9E-3</v>
      </c>
      <c r="N50" s="9"/>
      <c r="O50" s="9">
        <v>5.0000000000000001E-3</v>
      </c>
      <c r="P50" s="9">
        <v>2.5000000000000001E-3</v>
      </c>
      <c r="Q50" s="9"/>
      <c r="R50" s="9">
        <v>2.8E-3</v>
      </c>
      <c r="S50" s="9"/>
      <c r="T50" s="9">
        <v>4.0000000000000001E-3</v>
      </c>
      <c r="U50" s="9">
        <v>2.3E-3</v>
      </c>
      <c r="V50" s="9">
        <v>3.0999999999999999E-3</v>
      </c>
      <c r="W50" s="9">
        <v>3.5999999999999999E-3</v>
      </c>
      <c r="X50" s="9">
        <v>3.3999999999999998E-3</v>
      </c>
      <c r="Y50" s="9">
        <v>1.1999999999999999E-3</v>
      </c>
      <c r="Z50" s="9">
        <v>4.3E-3</v>
      </c>
      <c r="AA50" s="9">
        <v>2.2000000000000001E-3</v>
      </c>
      <c r="AB50" s="9">
        <v>1.6000000000000001E-3</v>
      </c>
      <c r="AC50" s="9">
        <v>1.2999999999999999E-3</v>
      </c>
      <c r="AD50" s="9">
        <v>1.2999999999999999E-3</v>
      </c>
    </row>
    <row r="51" spans="2:30" x14ac:dyDescent="0.3">
      <c r="B51" s="5">
        <v>202517</v>
      </c>
      <c r="C51" s="5"/>
      <c r="D51" s="9">
        <v>2.8E-3</v>
      </c>
      <c r="E51" s="9">
        <v>2.5999999999999999E-3</v>
      </c>
      <c r="F51" s="9">
        <v>2.8E-3</v>
      </c>
      <c r="G51" s="9">
        <v>2.8E-3</v>
      </c>
      <c r="H51" s="9">
        <v>2.8999999999999998E-3</v>
      </c>
      <c r="I51" s="9">
        <v>3.8E-3</v>
      </c>
      <c r="J51" s="9">
        <v>1.4E-3</v>
      </c>
      <c r="K51" s="9">
        <v>2.3999999999999998E-3</v>
      </c>
      <c r="L51" s="9">
        <v>1.6999999999999999E-3</v>
      </c>
      <c r="M51" s="9">
        <v>1.2999999999999999E-3</v>
      </c>
      <c r="N51" s="9"/>
      <c r="O51" s="9">
        <v>8.2000000000000007E-3</v>
      </c>
      <c r="P51" s="9">
        <v>3.0999999999999999E-3</v>
      </c>
      <c r="Q51" s="9"/>
      <c r="R51" s="9">
        <v>2.8E-3</v>
      </c>
      <c r="S51" s="9"/>
      <c r="T51" s="9">
        <v>3.8999999999999998E-3</v>
      </c>
      <c r="U51" s="9">
        <v>2.8999999999999998E-3</v>
      </c>
      <c r="V51" s="9">
        <v>3.5999999999999999E-3</v>
      </c>
      <c r="W51" s="9">
        <v>2.7000000000000001E-3</v>
      </c>
      <c r="X51" s="9">
        <v>3.3E-3</v>
      </c>
      <c r="Y51" s="9">
        <v>8.9999999999999998E-4</v>
      </c>
      <c r="Z51" s="9">
        <v>4.1999999999999997E-3</v>
      </c>
      <c r="AA51" s="9">
        <v>2E-3</v>
      </c>
      <c r="AB51" s="9">
        <v>2.2000000000000001E-3</v>
      </c>
      <c r="AC51" s="9">
        <v>8.9999999999999998E-4</v>
      </c>
      <c r="AD51" s="9">
        <v>1.2999999999999999E-3</v>
      </c>
    </row>
    <row r="52" spans="2:30" x14ac:dyDescent="0.3">
      <c r="B52" s="5">
        <v>202518</v>
      </c>
      <c r="C52" s="5"/>
      <c r="D52" s="9">
        <v>3.7000000000000002E-3</v>
      </c>
      <c r="E52" s="9">
        <v>2.5999999999999999E-3</v>
      </c>
      <c r="F52" s="9">
        <v>3.7000000000000002E-3</v>
      </c>
      <c r="G52" s="9">
        <v>3.0999999999999999E-3</v>
      </c>
      <c r="H52" s="9">
        <v>2.2000000000000001E-3</v>
      </c>
      <c r="I52" s="9">
        <v>8.6999999999999994E-3</v>
      </c>
      <c r="J52" s="9">
        <v>2.5999999999999999E-3</v>
      </c>
      <c r="K52" s="9">
        <v>2.3999999999999998E-3</v>
      </c>
      <c r="L52" s="9">
        <v>1.6999999999999999E-3</v>
      </c>
      <c r="M52" s="9">
        <v>1.4E-3</v>
      </c>
      <c r="N52" s="9"/>
      <c r="O52" s="9">
        <v>4.8999999999999998E-3</v>
      </c>
      <c r="P52" s="9">
        <v>4.1999999999999997E-3</v>
      </c>
      <c r="Q52" s="9"/>
      <c r="R52" s="9">
        <v>3.0000000000000001E-3</v>
      </c>
      <c r="S52" s="9"/>
      <c r="T52" s="9">
        <v>4.1999999999999997E-3</v>
      </c>
      <c r="U52" s="9">
        <v>2.0999999999999999E-3</v>
      </c>
      <c r="V52" s="9">
        <v>3.3E-3</v>
      </c>
      <c r="W52" s="9">
        <v>3.7000000000000002E-3</v>
      </c>
      <c r="X52" s="9">
        <v>4.1999999999999997E-3</v>
      </c>
      <c r="Y52" s="9">
        <v>9.1999999999999998E-3</v>
      </c>
      <c r="Z52" s="9">
        <v>9.4000000000000004E-3</v>
      </c>
      <c r="AA52" s="9">
        <v>1.9E-3</v>
      </c>
      <c r="AB52" s="9">
        <v>1.8E-3</v>
      </c>
      <c r="AC52" s="9">
        <v>1.6000000000000001E-3</v>
      </c>
      <c r="AD52" s="9">
        <v>1.8E-3</v>
      </c>
    </row>
    <row r="53" spans="2:30" x14ac:dyDescent="0.3">
      <c r="B53" s="5">
        <v>202519</v>
      </c>
      <c r="C53" s="5"/>
      <c r="D53" s="9">
        <v>2.8999999999999998E-3</v>
      </c>
      <c r="E53" s="9">
        <v>2.3E-3</v>
      </c>
      <c r="F53" s="9">
        <v>2.8999999999999998E-3</v>
      </c>
      <c r="G53" s="9">
        <v>2.5000000000000001E-3</v>
      </c>
      <c r="H53" s="9">
        <v>2.0999999999999999E-3</v>
      </c>
      <c r="I53" s="9">
        <v>1E-3</v>
      </c>
      <c r="J53" s="9">
        <v>2.0999999999999999E-3</v>
      </c>
      <c r="K53" s="9">
        <v>4.3E-3</v>
      </c>
      <c r="L53" s="9">
        <v>1.2999999999999999E-3</v>
      </c>
      <c r="M53" s="9">
        <v>1.6999999999999999E-3</v>
      </c>
      <c r="N53" s="9"/>
      <c r="O53" s="9">
        <v>5.1999999999999998E-3</v>
      </c>
      <c r="P53" s="9">
        <v>3.2000000000000002E-3</v>
      </c>
      <c r="Q53" s="9"/>
      <c r="R53" s="9">
        <v>2.5999999999999999E-3</v>
      </c>
      <c r="S53" s="9">
        <v>1.1999999999999999E-3</v>
      </c>
      <c r="T53" s="9">
        <v>3.8999999999999998E-3</v>
      </c>
      <c r="U53" s="9">
        <v>3.3999999999999998E-3</v>
      </c>
      <c r="V53" s="9">
        <v>4.1000000000000003E-3</v>
      </c>
      <c r="W53" s="9">
        <v>3.5000000000000001E-3</v>
      </c>
      <c r="X53" s="9">
        <v>4.4999999999999997E-3</v>
      </c>
      <c r="Y53" s="9">
        <v>2E-3</v>
      </c>
      <c r="Z53" s="9">
        <v>4.8999999999999998E-3</v>
      </c>
      <c r="AA53" s="9">
        <v>3.0000000000000001E-3</v>
      </c>
      <c r="AB53" s="9">
        <v>1.9E-3</v>
      </c>
      <c r="AC53" s="9">
        <v>1E-3</v>
      </c>
      <c r="AD53" s="9">
        <v>2E-3</v>
      </c>
    </row>
    <row r="54" spans="2:30" x14ac:dyDescent="0.3">
      <c r="B54" s="5">
        <v>202520</v>
      </c>
      <c r="C54" s="5"/>
      <c r="D54" s="9">
        <v>2.7000000000000001E-3</v>
      </c>
      <c r="E54" s="9">
        <v>2.2000000000000001E-3</v>
      </c>
      <c r="F54" s="9">
        <v>2.7000000000000001E-3</v>
      </c>
      <c r="G54" s="9">
        <v>2.8E-3</v>
      </c>
      <c r="H54" s="9">
        <v>1.8E-3</v>
      </c>
      <c r="I54" s="9">
        <v>2.8999999999999998E-3</v>
      </c>
      <c r="J54" s="9">
        <v>2.0999999999999999E-3</v>
      </c>
      <c r="K54" s="9">
        <v>3.3999999999999998E-3</v>
      </c>
      <c r="L54" s="9">
        <v>8.9999999999999998E-4</v>
      </c>
      <c r="M54" s="9">
        <v>3.5000000000000001E-3</v>
      </c>
      <c r="N54" s="9">
        <v>6.9999999999999999E-4</v>
      </c>
      <c r="O54" s="9">
        <v>4.4000000000000003E-3</v>
      </c>
      <c r="P54" s="9">
        <v>3.5999999999999999E-3</v>
      </c>
      <c r="Q54" s="9"/>
      <c r="R54" s="9">
        <v>2.7000000000000001E-3</v>
      </c>
      <c r="S54" s="9">
        <v>1.1999999999999999E-3</v>
      </c>
      <c r="T54" s="9">
        <v>3.8E-3</v>
      </c>
      <c r="U54" s="9">
        <v>2.8E-3</v>
      </c>
      <c r="V54" s="9">
        <v>4.0000000000000001E-3</v>
      </c>
      <c r="W54" s="9">
        <v>2.3E-3</v>
      </c>
      <c r="X54" s="9">
        <v>4.3E-3</v>
      </c>
      <c r="Y54" s="9">
        <v>1.1999999999999999E-3</v>
      </c>
      <c r="Z54" s="9">
        <v>4.0000000000000001E-3</v>
      </c>
      <c r="AA54" s="9">
        <v>2.5000000000000001E-3</v>
      </c>
      <c r="AB54" s="9">
        <v>1.9E-3</v>
      </c>
      <c r="AC54" s="9">
        <v>1.4E-3</v>
      </c>
      <c r="AD54" s="9">
        <v>1.8E-3</v>
      </c>
    </row>
    <row r="55" spans="2:30" x14ac:dyDescent="0.3">
      <c r="B55" s="5">
        <v>202521</v>
      </c>
      <c r="C55" s="5"/>
      <c r="D55" s="9">
        <v>3.8E-3</v>
      </c>
      <c r="E55" s="9">
        <v>2.0999999999999999E-3</v>
      </c>
      <c r="F55" s="9">
        <v>3.8999999999999998E-3</v>
      </c>
      <c r="G55" s="9">
        <v>2.8999999999999998E-3</v>
      </c>
      <c r="H55" s="9">
        <v>1.9E-3</v>
      </c>
      <c r="I55" s="9">
        <v>2.8999999999999998E-3</v>
      </c>
      <c r="J55" s="9">
        <v>2.0000000000000001E-4</v>
      </c>
      <c r="K55" s="9">
        <v>2.7000000000000001E-3</v>
      </c>
      <c r="L55" s="9">
        <v>1.5E-3</v>
      </c>
      <c r="M55" s="9">
        <v>2E-3</v>
      </c>
      <c r="N55" s="9">
        <v>8.9999999999999998E-4</v>
      </c>
      <c r="O55" s="9">
        <v>5.7000000000000002E-3</v>
      </c>
      <c r="P55" s="9">
        <v>3.7000000000000002E-3</v>
      </c>
      <c r="Q55" s="9"/>
      <c r="R55" s="9">
        <v>3.0999999999999999E-3</v>
      </c>
      <c r="S55" s="9">
        <v>1.5E-3</v>
      </c>
      <c r="T55" s="9">
        <v>4.1000000000000003E-3</v>
      </c>
      <c r="U55" s="9">
        <v>2.3999999999999998E-3</v>
      </c>
      <c r="V55" s="9">
        <v>0</v>
      </c>
      <c r="W55" s="9">
        <v>0</v>
      </c>
      <c r="X55" s="9">
        <v>1.4200000000000001E-2</v>
      </c>
      <c r="Y55" s="9">
        <v>1.4E-3</v>
      </c>
      <c r="Z55" s="9">
        <v>3.8E-3</v>
      </c>
      <c r="AA55" s="9">
        <v>1.6999999999999999E-3</v>
      </c>
      <c r="AB55" s="9">
        <v>2.0999999999999999E-3</v>
      </c>
      <c r="AC55" s="9">
        <v>1.1000000000000001E-3</v>
      </c>
      <c r="AD55" s="9">
        <v>4.4000000000000003E-3</v>
      </c>
    </row>
    <row r="56" spans="2:30" ht="15" thickBot="1" x14ac:dyDescent="0.35">
      <c r="B56" s="5">
        <v>202522</v>
      </c>
      <c r="C56" s="5"/>
      <c r="D56" s="9">
        <v>2.7000000000000001E-3</v>
      </c>
      <c r="E56" s="9">
        <v>2.2000000000000001E-3</v>
      </c>
      <c r="F56" s="9">
        <v>2.8E-3</v>
      </c>
      <c r="G56" s="9">
        <v>2.3999999999999998E-3</v>
      </c>
      <c r="H56" s="9">
        <v>2E-3</v>
      </c>
      <c r="I56" s="9">
        <v>3.8999999999999998E-3</v>
      </c>
      <c r="J56" s="9">
        <v>6.9999999999999999E-4</v>
      </c>
      <c r="K56" s="9">
        <v>3.7000000000000002E-3</v>
      </c>
      <c r="L56" s="9">
        <v>2.2000000000000001E-3</v>
      </c>
      <c r="M56" s="9">
        <v>2.5000000000000001E-3</v>
      </c>
      <c r="N56" s="9">
        <v>2.2000000000000001E-3</v>
      </c>
      <c r="O56" s="9">
        <v>8.3999999999999995E-3</v>
      </c>
      <c r="P56" s="9">
        <v>3.3999999999999998E-3</v>
      </c>
      <c r="Q56" s="9"/>
      <c r="R56" s="9">
        <v>3.0000000000000001E-3</v>
      </c>
      <c r="S56" s="9">
        <v>1.6999999999999999E-3</v>
      </c>
      <c r="T56" s="9">
        <v>2.9999999999999997E-4</v>
      </c>
      <c r="U56" s="9">
        <v>3.2000000000000002E-3</v>
      </c>
      <c r="V56" s="9"/>
      <c r="W56" s="9"/>
      <c r="X56" s="9">
        <v>5.7999999999999996E-3</v>
      </c>
      <c r="Y56" s="9">
        <v>1.2999999999999999E-3</v>
      </c>
      <c r="Z56" s="9">
        <v>4.1000000000000003E-3</v>
      </c>
      <c r="AA56" s="9">
        <v>2.5000000000000001E-3</v>
      </c>
      <c r="AB56" s="9">
        <v>1.9E-3</v>
      </c>
      <c r="AC56" s="9">
        <v>1.1999999999999999E-3</v>
      </c>
      <c r="AD56" s="9">
        <v>2.3E-3</v>
      </c>
    </row>
    <row r="57" spans="2:30" ht="15" thickBot="1" x14ac:dyDescent="0.35">
      <c r="B57" s="22" t="s">
        <v>82</v>
      </c>
      <c r="C57" s="22"/>
      <c r="D57" s="24">
        <f t="shared" ref="D57:AD57" si="23">AVERAGE(D35:D56)</f>
        <v>2.7045454545454547E-3</v>
      </c>
      <c r="E57" s="24">
        <f t="shared" si="23"/>
        <v>3.9954545454545451E-3</v>
      </c>
      <c r="F57" s="24">
        <f t="shared" si="23"/>
        <v>2.5818181818181812E-3</v>
      </c>
      <c r="G57" s="24">
        <f t="shared" si="23"/>
        <v>5.6045454545454558E-3</v>
      </c>
      <c r="H57" s="24">
        <f t="shared" si="23"/>
        <v>3.7863636363636363E-3</v>
      </c>
      <c r="I57" s="24">
        <f t="shared" si="23"/>
        <v>4.5181818181818179E-3</v>
      </c>
      <c r="J57" s="24">
        <f t="shared" si="23"/>
        <v>2.6090909090909086E-3</v>
      </c>
      <c r="K57" s="24">
        <f t="shared" si="23"/>
        <v>3.5772727272727262E-3</v>
      </c>
      <c r="L57" s="24">
        <f t="shared" si="23"/>
        <v>2.0772727272727275E-3</v>
      </c>
      <c r="M57" s="24">
        <f t="shared" si="23"/>
        <v>2.5454545454545456E-3</v>
      </c>
      <c r="N57" s="24">
        <f t="shared" si="23"/>
        <v>2.5941176470588236E-3</v>
      </c>
      <c r="O57" s="24">
        <f t="shared" si="23"/>
        <v>5.8727272727272734E-3</v>
      </c>
      <c r="P57" s="24">
        <f t="shared" si="23"/>
        <v>2.8863636363636366E-3</v>
      </c>
      <c r="Q57" s="24">
        <f t="shared" si="23"/>
        <v>-6.7871428571428569E-2</v>
      </c>
      <c r="R57" s="24">
        <f t="shared" si="23"/>
        <v>2.2863636363636363E-3</v>
      </c>
      <c r="S57" s="24">
        <f t="shared" si="23"/>
        <v>1.4E-3</v>
      </c>
      <c r="T57" s="24">
        <f t="shared" si="23"/>
        <v>2.9272727272727271E-3</v>
      </c>
      <c r="U57" s="24">
        <f t="shared" si="23"/>
        <v>3.1454545454545446E-3</v>
      </c>
      <c r="V57" s="24">
        <f t="shared" si="23"/>
        <v>3.5428571428571432E-3</v>
      </c>
      <c r="W57" s="24">
        <f t="shared" si="23"/>
        <v>2.7523809523809528E-3</v>
      </c>
      <c r="X57" s="24">
        <f t="shared" si="23"/>
        <v>2.9454545454545454E-3</v>
      </c>
      <c r="Y57" s="24">
        <f t="shared" si="23"/>
        <v>1.3863636363636361E-3</v>
      </c>
      <c r="Z57" s="24">
        <f t="shared" si="23"/>
        <v>3.7818181818181822E-3</v>
      </c>
      <c r="AA57" s="24">
        <f t="shared" si="23"/>
        <v>1.8681818181818183E-3</v>
      </c>
      <c r="AB57" s="24">
        <f t="shared" si="23"/>
        <v>1.5588235294117646E-3</v>
      </c>
      <c r="AC57" s="24">
        <f t="shared" si="23"/>
        <v>1.0529411764705881E-3</v>
      </c>
      <c r="AD57" s="24">
        <f t="shared" si="23"/>
        <v>1.3681818181818183E-3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T57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45809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125</v>
      </c>
      <c r="C6" s="7">
        <v>15</v>
      </c>
      <c r="D6" s="7">
        <v>7</v>
      </c>
      <c r="E6" s="7">
        <v>1197</v>
      </c>
      <c r="F6" s="7">
        <v>1025</v>
      </c>
      <c r="G6" s="7">
        <v>1</v>
      </c>
      <c r="H6" s="9">
        <f t="shared" ref="H6:H12" si="0">IFERROR(G6/F6,0)</f>
        <v>9.7560975609756097E-4</v>
      </c>
      <c r="I6" s="9">
        <f>IFERROR((1197-F6)/1197,0)</f>
        <v>0.14369256474519632</v>
      </c>
      <c r="J6" s="7">
        <v>3930</v>
      </c>
      <c r="K6" s="11">
        <f t="shared" ref="K6:K12" si="1">IFERROR(J6/D6/F6*100,0)</f>
        <v>54.773519163763062</v>
      </c>
      <c r="L6" s="11">
        <f>K6-57.2264</f>
        <v>-2.4528808362369361</v>
      </c>
      <c r="M6" s="11">
        <v>85</v>
      </c>
      <c r="N6" s="11">
        <f t="shared" ref="N6:N12" si="2">K6-M6</f>
        <v>-30.226480836236938</v>
      </c>
      <c r="O6" s="11">
        <f>IFERROR(149870/1197,0)</f>
        <v>125.20467836257311</v>
      </c>
      <c r="P6" s="11">
        <v>0</v>
      </c>
      <c r="Q6" s="11">
        <f t="shared" ref="Q6:Q11" si="3">IFERROR(O6-P6,0)</f>
        <v>125.20467836257311</v>
      </c>
      <c r="R6" s="7">
        <v>905</v>
      </c>
      <c r="S6" s="11">
        <f t="shared" ref="S6:S11" si="4">IFERROR(R6/D6/F6*1000,0)</f>
        <v>126.13240418118465</v>
      </c>
      <c r="T6" s="13">
        <f t="shared" ref="T6:T12" si="5">IFERROR(J6/R6,0)</f>
        <v>4.3425414364640886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254.4685714286</v>
      </c>
      <c r="Y6" s="11">
        <f t="shared" ref="Y6:Y11" si="8">IFERROR((F6*S6)/(F6*K6)*100,0)</f>
        <v>230.27989821882952</v>
      </c>
      <c r="Z6" s="11">
        <f t="shared" ref="Z6:Z12" si="9">IFERROR(Y6*X6/1000,0)</f>
        <v>58.598996728468954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7</v>
      </c>
      <c r="AF6" s="11">
        <v>21</v>
      </c>
      <c r="AG6" s="7">
        <f t="shared" ref="AG6:AG11" si="10">IF(M6=0,0,IFERROR(N6/100*7*F6,0))</f>
        <v>-2168.7500000000005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85</v>
      </c>
      <c r="C7" s="7">
        <v>15</v>
      </c>
      <c r="D7" s="7">
        <v>7</v>
      </c>
      <c r="E7" s="7">
        <v>14440</v>
      </c>
      <c r="F7" s="7">
        <v>11230</v>
      </c>
      <c r="G7" s="7">
        <v>19</v>
      </c>
      <c r="H7" s="9">
        <f t="shared" si="0"/>
        <v>1.6918967052537844E-3</v>
      </c>
      <c r="I7" s="9">
        <f>IFERROR((14440-F7)/14440,0)</f>
        <v>0.22229916897506924</v>
      </c>
      <c r="J7" s="7">
        <v>59640</v>
      </c>
      <c r="K7" s="11">
        <f t="shared" si="1"/>
        <v>75.868210151380239</v>
      </c>
      <c r="L7" s="11">
        <f>K7-76.7306</f>
        <v>-0.86238984861975609</v>
      </c>
      <c r="M7" s="11">
        <v>85</v>
      </c>
      <c r="N7" s="11">
        <f t="shared" si="2"/>
        <v>-9.1317898486197606</v>
      </c>
      <c r="O7" s="11">
        <f>IFERROR(4715440/14440,0)</f>
        <v>326.5540166204986</v>
      </c>
      <c r="P7" s="11">
        <v>0</v>
      </c>
      <c r="Q7" s="11">
        <f t="shared" si="3"/>
        <v>326.5540166204986</v>
      </c>
      <c r="R7" s="7">
        <v>9890</v>
      </c>
      <c r="S7" s="11">
        <f t="shared" si="4"/>
        <v>125.81096552601451</v>
      </c>
      <c r="T7" s="13">
        <f t="shared" si="5"/>
        <v>6.0303336703741151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165.8283031522468</v>
      </c>
      <c r="Z7" s="11">
        <f t="shared" si="9"/>
        <v>61.87883132126089</v>
      </c>
      <c r="AA7" s="7">
        <v>2066</v>
      </c>
      <c r="AB7" s="15">
        <f>IFERROR(AA7/1970,0)</f>
        <v>1.0487309644670051</v>
      </c>
      <c r="AC7" s="11">
        <v>0</v>
      </c>
      <c r="AD7" s="15">
        <f>IFERROR(AC7/64.9,0)</f>
        <v>0</v>
      </c>
      <c r="AE7" s="11">
        <v>7</v>
      </c>
      <c r="AF7" s="11">
        <v>21</v>
      </c>
      <c r="AG7" s="7">
        <f t="shared" si="10"/>
        <v>-7178.4999999999936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85</v>
      </c>
      <c r="C8" s="7">
        <v>15</v>
      </c>
      <c r="D8" s="7">
        <v>7</v>
      </c>
      <c r="E8" s="7">
        <v>16063</v>
      </c>
      <c r="F8" s="7">
        <v>13161</v>
      </c>
      <c r="G8" s="7">
        <v>15</v>
      </c>
      <c r="H8" s="9">
        <f t="shared" si="0"/>
        <v>1.1397310234784591E-3</v>
      </c>
      <c r="I8" s="9">
        <f>IFERROR((16063-F8)/16063,0)</f>
        <v>0.18066363692958973</v>
      </c>
      <c r="J8" s="7">
        <v>60870</v>
      </c>
      <c r="K8" s="11">
        <f t="shared" si="1"/>
        <v>66.071835618222678</v>
      </c>
      <c r="L8" s="11">
        <f>K8-68.4361</f>
        <v>-2.3642643817773177</v>
      </c>
      <c r="M8" s="11">
        <v>80</v>
      </c>
      <c r="N8" s="11">
        <f t="shared" si="2"/>
        <v>-13.928164381777322</v>
      </c>
      <c r="O8" s="11">
        <f>IFERROR(4908630/16063,0)</f>
        <v>305.58612961464235</v>
      </c>
      <c r="P8" s="11">
        <v>0</v>
      </c>
      <c r="Q8" s="11">
        <f t="shared" si="3"/>
        <v>305.58612961464235</v>
      </c>
      <c r="R8" s="7">
        <v>10350</v>
      </c>
      <c r="S8" s="11">
        <f t="shared" si="4"/>
        <v>112.34491517144812</v>
      </c>
      <c r="T8" s="13">
        <f t="shared" si="5"/>
        <v>5.8811594202898547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170.03449975357319</v>
      </c>
      <c r="Z8" s="11">
        <f t="shared" si="9"/>
        <v>62.912764908822076</v>
      </c>
      <c r="AA8" s="7">
        <v>1738</v>
      </c>
      <c r="AB8" s="15">
        <f>IFERROR(AA8/1580,0)</f>
        <v>1.1000000000000001</v>
      </c>
      <c r="AC8" s="11">
        <v>0</v>
      </c>
      <c r="AD8" s="15">
        <f>IFERROR(AC8/63.6,0)</f>
        <v>0</v>
      </c>
      <c r="AE8" s="11">
        <v>7</v>
      </c>
      <c r="AF8" s="11">
        <v>21</v>
      </c>
      <c r="AG8" s="7">
        <f t="shared" si="10"/>
        <v>-12831.599999999993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46</v>
      </c>
      <c r="C9" s="7"/>
      <c r="D9" s="7">
        <v>7</v>
      </c>
      <c r="E9" s="7">
        <v>4686</v>
      </c>
      <c r="F9" s="7">
        <v>4182</v>
      </c>
      <c r="G9" s="7">
        <v>9</v>
      </c>
      <c r="H9" s="9">
        <f t="shared" si="0"/>
        <v>2.152080344332855E-3</v>
      </c>
      <c r="I9" s="9">
        <f>IFERROR((4686-F9)/4686,0)</f>
        <v>0.10755441741357234</v>
      </c>
      <c r="J9" s="7">
        <v>29550</v>
      </c>
      <c r="K9" s="11">
        <f t="shared" si="1"/>
        <v>100.94281615085059</v>
      </c>
      <c r="L9" s="11">
        <f>K9-101.2373</f>
        <v>-0.29448384914941528</v>
      </c>
      <c r="M9" s="11">
        <v>90</v>
      </c>
      <c r="N9" s="11">
        <f t="shared" si="2"/>
        <v>10.942816150850589</v>
      </c>
      <c r="O9" s="11">
        <f>IFERROR(760050/4686,0)</f>
        <v>162.19590268886043</v>
      </c>
      <c r="P9" s="11">
        <v>174</v>
      </c>
      <c r="Q9" s="11">
        <f t="shared" si="3"/>
        <v>-11.804097311139572</v>
      </c>
      <c r="R9" s="7">
        <v>4510</v>
      </c>
      <c r="S9" s="11">
        <f t="shared" si="4"/>
        <v>154.06162464985997</v>
      </c>
      <c r="T9" s="13">
        <f t="shared" si="5"/>
        <v>6.5521064301552103</v>
      </c>
      <c r="U9" s="7">
        <v>5040</v>
      </c>
      <c r="V9" s="11">
        <f t="shared" si="6"/>
        <v>172.16642754662843</v>
      </c>
      <c r="W9" s="11">
        <f t="shared" si="7"/>
        <v>1.1175166297117516</v>
      </c>
      <c r="X9" s="11">
        <v>362.76</v>
      </c>
      <c r="Y9" s="11">
        <f t="shared" si="8"/>
        <v>152.62267343485618</v>
      </c>
      <c r="Z9" s="11">
        <f t="shared" si="9"/>
        <v>55.365401015228421</v>
      </c>
      <c r="AA9" s="7">
        <v>1930</v>
      </c>
      <c r="AB9" s="15">
        <f>IFERROR(AA9/1950,0)</f>
        <v>0.98974358974358978</v>
      </c>
      <c r="AC9" s="11">
        <v>0</v>
      </c>
      <c r="AD9" s="15">
        <f>IFERROR(AC9/63,0)</f>
        <v>0</v>
      </c>
      <c r="AE9" s="11">
        <v>15</v>
      </c>
      <c r="AF9" s="11">
        <v>24</v>
      </c>
      <c r="AG9" s="7">
        <f t="shared" si="10"/>
        <v>3203.4000000000019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85</v>
      </c>
      <c r="C10" s="7">
        <v>16</v>
      </c>
      <c r="D10" s="7">
        <v>7</v>
      </c>
      <c r="E10" s="7">
        <v>5000</v>
      </c>
      <c r="F10" s="7">
        <v>4094</v>
      </c>
      <c r="G10" s="7">
        <v>7</v>
      </c>
      <c r="H10" s="9">
        <f t="shared" si="0"/>
        <v>1.709819247679531E-3</v>
      </c>
      <c r="I10" s="9">
        <f>IFERROR((5000-F10)/5000,0)</f>
        <v>0.1812</v>
      </c>
      <c r="J10" s="7">
        <v>25910</v>
      </c>
      <c r="K10" s="11">
        <f t="shared" si="1"/>
        <v>90.411054504850313</v>
      </c>
      <c r="L10" s="11">
        <f>K10-89.8736</f>
        <v>0.53745450485031654</v>
      </c>
      <c r="M10" s="11">
        <v>84</v>
      </c>
      <c r="N10" s="11">
        <f t="shared" si="2"/>
        <v>6.4110545048503127</v>
      </c>
      <c r="O10" s="11">
        <f>IFERROR(1736620/5000,0)</f>
        <v>347.32400000000001</v>
      </c>
      <c r="P10" s="11">
        <v>0</v>
      </c>
      <c r="Q10" s="11">
        <f t="shared" si="3"/>
        <v>347.32400000000001</v>
      </c>
      <c r="R10" s="7">
        <v>4606</v>
      </c>
      <c r="S10" s="11">
        <f t="shared" si="4"/>
        <v>160.7230092818759</v>
      </c>
      <c r="T10" s="13">
        <f t="shared" si="5"/>
        <v>5.6252713851498042</v>
      </c>
      <c r="U10" s="7">
        <v>5040</v>
      </c>
      <c r="V10" s="11">
        <f t="shared" si="6"/>
        <v>175.86712261846606</v>
      </c>
      <c r="W10" s="11">
        <f t="shared" si="7"/>
        <v>1.0942249240121582</v>
      </c>
      <c r="X10" s="11">
        <v>374.81</v>
      </c>
      <c r="Y10" s="11">
        <f t="shared" si="8"/>
        <v>177.76920108066383</v>
      </c>
      <c r="Z10" s="11">
        <f t="shared" si="9"/>
        <v>66.629674257043618</v>
      </c>
      <c r="AA10" s="7">
        <v>1980</v>
      </c>
      <c r="AB10" s="15">
        <f>IFERROR(AA10/1970,0)</f>
        <v>1.0050761421319796</v>
      </c>
      <c r="AC10" s="11">
        <v>0</v>
      </c>
      <c r="AD10" s="15">
        <f>IFERROR(AC10/64.9,0)</f>
        <v>0</v>
      </c>
      <c r="AE10" s="11">
        <v>15</v>
      </c>
      <c r="AF10" s="11">
        <v>26</v>
      </c>
      <c r="AG10" s="7">
        <f t="shared" si="10"/>
        <v>1837.2800000000025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46</v>
      </c>
      <c r="C11" s="7"/>
      <c r="D11" s="7">
        <v>7</v>
      </c>
      <c r="E11" s="7">
        <v>4819</v>
      </c>
      <c r="F11" s="7">
        <v>4542</v>
      </c>
      <c r="G11" s="7">
        <v>22</v>
      </c>
      <c r="H11" s="9">
        <f t="shared" si="0"/>
        <v>4.8436811977102595E-3</v>
      </c>
      <c r="I11" s="9">
        <f>IFERROR((4819-F11)/4819,0)</f>
        <v>5.7480805146295909E-2</v>
      </c>
      <c r="J11" s="7">
        <v>29940</v>
      </c>
      <c r="K11" s="11">
        <f t="shared" si="1"/>
        <v>94.168711077561795</v>
      </c>
      <c r="L11" s="11">
        <f>K11-95.1233</f>
        <v>-0.95458892243820515</v>
      </c>
      <c r="M11" s="11">
        <v>90</v>
      </c>
      <c r="N11" s="11">
        <f t="shared" si="2"/>
        <v>4.1687110775617953</v>
      </c>
      <c r="O11" s="11">
        <f>IFERROR(800836/4819,0)</f>
        <v>166.18302552396761</v>
      </c>
      <c r="P11" s="11">
        <v>174</v>
      </c>
      <c r="Q11" s="11">
        <f t="shared" si="3"/>
        <v>-7.8169744760323852</v>
      </c>
      <c r="R11" s="7">
        <v>4384</v>
      </c>
      <c r="S11" s="11">
        <f t="shared" si="4"/>
        <v>137.88765175819336</v>
      </c>
      <c r="T11" s="13">
        <f t="shared" si="5"/>
        <v>6.8293795620437958</v>
      </c>
      <c r="U11" s="7">
        <v>5040</v>
      </c>
      <c r="V11" s="11">
        <f t="shared" si="6"/>
        <v>158.52047556142668</v>
      </c>
      <c r="W11" s="11">
        <f t="shared" si="7"/>
        <v>1.1496350364963503</v>
      </c>
      <c r="X11" s="11">
        <v>362.76</v>
      </c>
      <c r="Y11" s="11">
        <f t="shared" si="8"/>
        <v>146.42618570474281</v>
      </c>
      <c r="Z11" s="11">
        <f t="shared" si="9"/>
        <v>53.117563126252499</v>
      </c>
      <c r="AA11" s="7">
        <v>1435</v>
      </c>
      <c r="AB11" s="15">
        <f>IFERROR(AA11/1950,0)</f>
        <v>0.73589743589743595</v>
      </c>
      <c r="AC11" s="11">
        <v>0</v>
      </c>
      <c r="AD11" s="15">
        <f>IFERROR(AC11/63,0)</f>
        <v>0</v>
      </c>
      <c r="AE11" s="11">
        <v>14</v>
      </c>
      <c r="AF11" s="11">
        <v>24</v>
      </c>
      <c r="AG11" s="7">
        <f t="shared" si="10"/>
        <v>1325.3999999999971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38234</v>
      </c>
      <c r="G12" s="17">
        <f>SUM(G6:G11)</f>
        <v>73</v>
      </c>
      <c r="H12" s="18">
        <f t="shared" si="0"/>
        <v>1.9092953915363288E-3</v>
      </c>
      <c r="I12" s="18"/>
      <c r="J12" s="17">
        <f>SUM(J6:J11)</f>
        <v>209840</v>
      </c>
      <c r="K12" s="19">
        <f t="shared" si="1"/>
        <v>78.40441192954664</v>
      </c>
      <c r="L12" s="19"/>
      <c r="M12" s="19">
        <f>IFERROR(SUMPRODUCT($F6:$F11,M6:M11)/$F12, 0)</f>
        <v>84.312679813778317</v>
      </c>
      <c r="N12" s="19">
        <f t="shared" si="2"/>
        <v>-5.9082678842316767</v>
      </c>
      <c r="O12" s="19">
        <f>IFERROR(SUMPRODUCT($E6:$E11,O6:O11)/$E12, 0)</f>
        <v>282.9011145979872</v>
      </c>
      <c r="P12" s="19">
        <f>IFERROR(SUMPRODUCT($E6:$E11,P6:P11)/$E12, 0)</f>
        <v>35.794178119251164</v>
      </c>
      <c r="Q12" s="19">
        <f>IFERROR(SUMPRODUCT($E6:$E11,Q6:Q11)/$E12, 0)</f>
        <v>247.10693647873606</v>
      </c>
      <c r="R12" s="17">
        <f>SUM(R6:R11)</f>
        <v>34645</v>
      </c>
      <c r="S12" s="19">
        <f>IFERROR(R12/D12/$F12*1000,0)</f>
        <v>129.44723843400416</v>
      </c>
      <c r="T12" s="20">
        <f t="shared" si="5"/>
        <v>6.0568624621157454</v>
      </c>
      <c r="U12" s="17">
        <f>SUM(U6:U11)</f>
        <v>15120</v>
      </c>
      <c r="V12" s="19">
        <f>IFERROR(U12/D12/$F12*1000,0)</f>
        <v>56.494219804362608</v>
      </c>
      <c r="W12" s="19">
        <f t="shared" si="7"/>
        <v>0.43642661278683786</v>
      </c>
      <c r="X12" s="19">
        <f>IFERROR(SUMPRODUCT(R6:R11,X6:X11)/R12,0)</f>
        <v>366.6621404861562</v>
      </c>
      <c r="Y12" s="19">
        <f>IFERROR(($F12*S12)/($F12*K12)*100,0)</f>
        <v>165.10198246282883</v>
      </c>
      <c r="Z12" s="19">
        <f t="shared" si="9"/>
        <v>60.536646288328647</v>
      </c>
      <c r="AA12" s="17"/>
      <c r="AB12" s="21">
        <f>IFERROR(SUMPRODUCT($F6:$F11,AB6:AB11)/$F12,0)</f>
        <v>0.98997448090721973</v>
      </c>
      <c r="AC12" s="19"/>
      <c r="AD12" s="21">
        <f>AVERAGE(AD6:AD11)</f>
        <v>0</v>
      </c>
      <c r="AE12" s="19"/>
      <c r="AF12" s="19"/>
      <c r="AG12" s="17">
        <f>SUM(AG6:AG11)</f>
        <v>-15812.769999999986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84</v>
      </c>
      <c r="C14" s="6">
        <v>22</v>
      </c>
      <c r="D14" s="6">
        <v>7</v>
      </c>
      <c r="E14" s="6">
        <v>21388</v>
      </c>
      <c r="F14" s="6">
        <v>16507</v>
      </c>
      <c r="G14" s="6">
        <v>41</v>
      </c>
      <c r="H14" s="8">
        <f t="shared" ref="H14:H28" si="12">IFERROR(G14/F14,0)</f>
        <v>2.4837947537408372E-3</v>
      </c>
      <c r="I14" s="8">
        <f>IFERROR((21388-F14)/21388,0)</f>
        <v>0.22821208154105105</v>
      </c>
      <c r="J14" s="6">
        <v>79680</v>
      </c>
      <c r="K14" s="10">
        <f t="shared" ref="K14:K28" si="13">IFERROR(J14/D14/F14*100,0)</f>
        <v>68.957758180512158</v>
      </c>
      <c r="L14" s="10">
        <f>K14-65.8776</f>
        <v>3.0801581805121572</v>
      </c>
      <c r="M14" s="10">
        <v>80</v>
      </c>
      <c r="N14" s="10">
        <f t="shared" ref="N14:N28" si="14">K14-M14</f>
        <v>-11.042241819487842</v>
      </c>
      <c r="O14" s="10">
        <f>IFERROR(5568680/21388,0)</f>
        <v>260.36469048064333</v>
      </c>
      <c r="P14" s="10">
        <v>0</v>
      </c>
      <c r="Q14" s="10">
        <f t="shared" ref="Q14:Q27" si="15">IFERROR(O14-P14,0)</f>
        <v>260.36469048064333</v>
      </c>
      <c r="R14" s="6">
        <v>10900</v>
      </c>
      <c r="S14" s="10">
        <f t="shared" ref="S14:S27" si="16">IFERROR(R14/D14/F14*1000,0)</f>
        <v>94.332274619425519</v>
      </c>
      <c r="T14" s="12">
        <f t="shared" ref="T14:T28" si="17">IFERROR(J14/R14,0)</f>
        <v>7.3100917431192665</v>
      </c>
      <c r="U14" s="6">
        <v>21300</v>
      </c>
      <c r="V14" s="10">
        <f t="shared" ref="V14:V27" si="18">IFERROR(U14/D14/F14*1000,0)</f>
        <v>184.33738067832695</v>
      </c>
      <c r="W14" s="10">
        <f t="shared" ref="W14:W28" si="19">IFERROR(V14/S14,0)</f>
        <v>1.9541284403669728</v>
      </c>
      <c r="X14" s="10">
        <v>305.64999999999998</v>
      </c>
      <c r="Y14" s="10">
        <f t="shared" ref="Y14:Y27" si="20">IFERROR((F14*S14)/(F14*K14)*100,0)</f>
        <v>136.7971887550201</v>
      </c>
      <c r="Z14" s="10">
        <f t="shared" ref="Z14:Z28" si="21">IFERROR(Y14*X14/1000,0)</f>
        <v>41.812060742971887</v>
      </c>
      <c r="AA14" s="6">
        <v>2050</v>
      </c>
      <c r="AB14" s="14">
        <f>IFERROR(AA14/1580,0)</f>
        <v>1.2974683544303798</v>
      </c>
      <c r="AC14" s="10">
        <v>0</v>
      </c>
      <c r="AD14" s="14">
        <f>IFERROR(AC14/63.6,0)</f>
        <v>0</v>
      </c>
      <c r="AE14" s="10">
        <v>22</v>
      </c>
      <c r="AF14" s="10">
        <v>26</v>
      </c>
      <c r="AG14" s="6">
        <f t="shared" ref="AG14:AG27" si="22">IF(M14=0,0,IFERROR(N14/100*7*F14,0))</f>
        <v>-12759.200000000006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45</v>
      </c>
      <c r="C15" s="7"/>
      <c r="D15" s="7">
        <v>7</v>
      </c>
      <c r="E15" s="7">
        <v>10225</v>
      </c>
      <c r="F15" s="7">
        <v>8723</v>
      </c>
      <c r="G15" s="7">
        <v>83</v>
      </c>
      <c r="H15" s="9">
        <f t="shared" si="12"/>
        <v>9.5150750888455815E-3</v>
      </c>
      <c r="I15" s="9">
        <f>IFERROR((10225-F15)/10225,0)</f>
        <v>0.14689486552567238</v>
      </c>
      <c r="J15" s="7">
        <v>50640</v>
      </c>
      <c r="K15" s="11">
        <f t="shared" si="13"/>
        <v>82.933459982640315</v>
      </c>
      <c r="L15" s="11">
        <f>K15-82.7358</f>
        <v>0.19765998264031737</v>
      </c>
      <c r="M15" s="11">
        <v>90</v>
      </c>
      <c r="N15" s="11">
        <f t="shared" si="14"/>
        <v>-7.0665400173596851</v>
      </c>
      <c r="O15" s="11">
        <f>IFERROR(1443350/10225,0)</f>
        <v>141.15892420537898</v>
      </c>
      <c r="P15" s="11">
        <v>168</v>
      </c>
      <c r="Q15" s="11">
        <f t="shared" si="15"/>
        <v>-26.84107579462102</v>
      </c>
      <c r="R15" s="7">
        <v>8440</v>
      </c>
      <c r="S15" s="11">
        <f t="shared" si="16"/>
        <v>138.22243330440054</v>
      </c>
      <c r="T15" s="13">
        <f t="shared" si="17"/>
        <v>6</v>
      </c>
      <c r="U15" s="7">
        <v>12690</v>
      </c>
      <c r="V15" s="11">
        <f t="shared" si="18"/>
        <v>207.82496192332258</v>
      </c>
      <c r="W15" s="11">
        <f t="shared" si="19"/>
        <v>1.5035545023696679</v>
      </c>
      <c r="X15" s="11">
        <v>305.08</v>
      </c>
      <c r="Y15" s="11">
        <f t="shared" si="20"/>
        <v>166.66666666666669</v>
      </c>
      <c r="Z15" s="11">
        <f t="shared" si="21"/>
        <v>50.846666666666671</v>
      </c>
      <c r="AA15" s="7">
        <v>1980</v>
      </c>
      <c r="AB15" s="15">
        <f>IFERROR(AA15/1950,0)</f>
        <v>1.0153846153846153</v>
      </c>
      <c r="AC15" s="11">
        <v>0</v>
      </c>
      <c r="AD15" s="15">
        <f>IFERROR(AC15/62.9,0)</f>
        <v>0</v>
      </c>
      <c r="AE15" s="11">
        <v>23</v>
      </c>
      <c r="AF15" s="11">
        <v>31</v>
      </c>
      <c r="AG15" s="7">
        <f t="shared" si="22"/>
        <v>-4314.8999999999969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74</v>
      </c>
      <c r="C16" s="7"/>
      <c r="D16" s="7">
        <v>7</v>
      </c>
      <c r="E16" s="7">
        <v>56050</v>
      </c>
      <c r="F16" s="7">
        <v>49062</v>
      </c>
      <c r="G16" s="7">
        <v>173</v>
      </c>
      <c r="H16" s="9">
        <f t="shared" si="12"/>
        <v>3.5261505849741143E-3</v>
      </c>
      <c r="I16" s="9">
        <f>IFERROR((56050-F16)/56050,0)</f>
        <v>0.12467439785905442</v>
      </c>
      <c r="J16" s="7">
        <v>308620</v>
      </c>
      <c r="K16" s="11">
        <f t="shared" si="13"/>
        <v>89.862972215913402</v>
      </c>
      <c r="L16" s="11">
        <f>K16-86.7385</f>
        <v>3.1244722159134</v>
      </c>
      <c r="M16" s="11">
        <v>87.1</v>
      </c>
      <c r="N16" s="11">
        <f t="shared" si="14"/>
        <v>2.7629722159134076</v>
      </c>
      <c r="O16" s="11">
        <f>IFERROR(18686941/56050,0)</f>
        <v>333.39769848349687</v>
      </c>
      <c r="P16" s="11">
        <v>338</v>
      </c>
      <c r="Q16" s="11">
        <f t="shared" si="15"/>
        <v>-4.6023015165031325</v>
      </c>
      <c r="R16" s="7">
        <v>39410</v>
      </c>
      <c r="S16" s="11">
        <f t="shared" si="16"/>
        <v>114.75276181158533</v>
      </c>
      <c r="T16" s="13">
        <f t="shared" si="17"/>
        <v>7.8310073585384421</v>
      </c>
      <c r="U16" s="7">
        <v>63300</v>
      </c>
      <c r="V16" s="11">
        <f t="shared" si="18"/>
        <v>184.31489019724316</v>
      </c>
      <c r="W16" s="11">
        <f t="shared" si="19"/>
        <v>1.6061913219994928</v>
      </c>
      <c r="X16" s="11">
        <v>306.58142857140001</v>
      </c>
      <c r="Y16" s="11">
        <f t="shared" si="20"/>
        <v>127.69749206143473</v>
      </c>
      <c r="Z16" s="11">
        <f t="shared" si="21"/>
        <v>39.149679541179673</v>
      </c>
      <c r="AA16" s="7">
        <v>1790</v>
      </c>
      <c r="AB16" s="15">
        <f>IFERROR(AA16/1725,0)</f>
        <v>1.0376811594202899</v>
      </c>
      <c r="AC16" s="11">
        <v>0</v>
      </c>
      <c r="AD16" s="15">
        <f>IFERROR(AC16/63.85,0)</f>
        <v>0</v>
      </c>
      <c r="AE16" s="11">
        <v>21</v>
      </c>
      <c r="AF16" s="11">
        <v>26</v>
      </c>
      <c r="AG16" s="7">
        <f t="shared" si="22"/>
        <v>9488.9860000000535</v>
      </c>
      <c r="AH16" s="7">
        <v>50</v>
      </c>
      <c r="AI16" s="7">
        <v>15.2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IFERROR(1470/F16,0)</f>
        <v>2.9962088785618197E-2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67</v>
      </c>
      <c r="C17" s="7"/>
      <c r="D17" s="7">
        <v>7</v>
      </c>
      <c r="E17" s="7">
        <v>51536</v>
      </c>
      <c r="F17" s="7">
        <v>47047</v>
      </c>
      <c r="G17" s="7">
        <v>140</v>
      </c>
      <c r="H17" s="9">
        <f t="shared" si="12"/>
        <v>2.9757476565987202E-3</v>
      </c>
      <c r="I17" s="9">
        <f>IFERROR((51536-F17)/51536,0)</f>
        <v>8.710416019869606E-2</v>
      </c>
      <c r="J17" s="7">
        <v>283560</v>
      </c>
      <c r="K17" s="11">
        <f t="shared" si="13"/>
        <v>86.102347500523791</v>
      </c>
      <c r="L17" s="11">
        <f>K17-85.1203</f>
        <v>0.98204750052379097</v>
      </c>
      <c r="M17" s="11">
        <v>89.3</v>
      </c>
      <c r="N17" s="11">
        <f t="shared" si="14"/>
        <v>-3.1976524994762059</v>
      </c>
      <c r="O17" s="11">
        <f>IFERROR(14806222/51536,0)</f>
        <v>287.29862620304255</v>
      </c>
      <c r="P17" s="11">
        <v>298</v>
      </c>
      <c r="Q17" s="11">
        <f t="shared" si="15"/>
        <v>-10.701373796957455</v>
      </c>
      <c r="R17" s="7">
        <v>38650</v>
      </c>
      <c r="S17" s="11">
        <f t="shared" si="16"/>
        <v>117.3598438036128</v>
      </c>
      <c r="T17" s="13">
        <f t="shared" si="17"/>
        <v>7.336610608020699</v>
      </c>
      <c r="U17" s="7">
        <v>68307</v>
      </c>
      <c r="V17" s="11">
        <f t="shared" si="18"/>
        <v>207.41264814213142</v>
      </c>
      <c r="W17" s="11">
        <f t="shared" si="19"/>
        <v>1.7673221216041395</v>
      </c>
      <c r="X17" s="11">
        <v>285.48</v>
      </c>
      <c r="Y17" s="11">
        <f t="shared" si="20"/>
        <v>136.30272252786008</v>
      </c>
      <c r="Z17" s="11">
        <f t="shared" si="21"/>
        <v>38.911701227253502</v>
      </c>
      <c r="AA17" s="7">
        <v>1705</v>
      </c>
      <c r="AB17" s="15">
        <f>IFERROR(AA17/1725,0)</f>
        <v>0.98840579710144927</v>
      </c>
      <c r="AC17" s="11">
        <v>0</v>
      </c>
      <c r="AD17" s="15">
        <f>IFERROR(AC17/63.5,0)</f>
        <v>0</v>
      </c>
      <c r="AE17" s="11">
        <v>22</v>
      </c>
      <c r="AF17" s="11">
        <v>26</v>
      </c>
      <c r="AG17" s="7">
        <f t="shared" si="22"/>
        <v>-10530.796999999993</v>
      </c>
      <c r="AH17" s="7">
        <v>15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IFERROR(1300/F17,0)</f>
        <v>2.7631942525559547E-2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62</v>
      </c>
      <c r="B18" s="5">
        <v>46</v>
      </c>
      <c r="C18" s="7"/>
      <c r="D18" s="7">
        <v>7</v>
      </c>
      <c r="E18" s="7">
        <v>52424</v>
      </c>
      <c r="F18" s="7">
        <v>48528</v>
      </c>
      <c r="G18" s="7">
        <v>185</v>
      </c>
      <c r="H18" s="9">
        <f t="shared" si="12"/>
        <v>3.8122321134190572E-3</v>
      </c>
      <c r="I18" s="9">
        <f>IFERROR((52424-F18)/52424,0)</f>
        <v>7.4317106668701352E-2</v>
      </c>
      <c r="J18" s="7">
        <v>294760</v>
      </c>
      <c r="K18" s="11">
        <f t="shared" si="13"/>
        <v>86.771701756864957</v>
      </c>
      <c r="L18" s="11">
        <f>K18-85.0345</f>
        <v>1.7372017568649625</v>
      </c>
      <c r="M18" s="11">
        <v>94.7</v>
      </c>
      <c r="N18" s="11">
        <f t="shared" si="14"/>
        <v>-7.9282982431350462</v>
      </c>
      <c r="O18" s="11">
        <f>IFERROR(8324200/52424,0)</f>
        <v>158.78605218983671</v>
      </c>
      <c r="P18" s="11">
        <v>170</v>
      </c>
      <c r="Q18" s="11">
        <f t="shared" si="15"/>
        <v>-11.21394781016329</v>
      </c>
      <c r="R18" s="7">
        <v>36095</v>
      </c>
      <c r="S18" s="11">
        <f t="shared" si="16"/>
        <v>106.25677075973812</v>
      </c>
      <c r="T18" s="13">
        <f t="shared" si="17"/>
        <v>8.1662280094195872</v>
      </c>
      <c r="U18" s="7">
        <v>59729</v>
      </c>
      <c r="V18" s="11">
        <f t="shared" si="18"/>
        <v>175.83074278178137</v>
      </c>
      <c r="W18" s="11">
        <f t="shared" si="19"/>
        <v>1.654772129103754</v>
      </c>
      <c r="X18" s="11">
        <v>311.35714285709997</v>
      </c>
      <c r="Y18" s="11">
        <f t="shared" si="20"/>
        <v>122.45555706337359</v>
      </c>
      <c r="Z18" s="11">
        <f t="shared" si="21"/>
        <v>38.127412374226566</v>
      </c>
      <c r="AA18" s="7">
        <v>1693</v>
      </c>
      <c r="AB18" s="15">
        <f>IFERROR(AA18/1715,0)</f>
        <v>0.98717201166180757</v>
      </c>
      <c r="AC18" s="11">
        <v>62</v>
      </c>
      <c r="AD18" s="15">
        <f>IFERROR(AC18/62.4,0)</f>
        <v>0.99358974358974361</v>
      </c>
      <c r="AE18" s="11">
        <v>22</v>
      </c>
      <c r="AF18" s="11">
        <v>25</v>
      </c>
      <c r="AG18" s="7">
        <f t="shared" si="22"/>
        <v>-26932.112000000026</v>
      </c>
      <c r="AH18" s="7">
        <v>30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IFERROR(1400/F18,0)</f>
        <v>2.8849324101549622E-2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63</v>
      </c>
      <c r="B19" s="5">
        <v>36</v>
      </c>
      <c r="C19" s="7"/>
      <c r="D19" s="7">
        <v>7</v>
      </c>
      <c r="E19" s="7">
        <v>50525</v>
      </c>
      <c r="F19" s="7">
        <v>49025</v>
      </c>
      <c r="G19" s="7">
        <v>93</v>
      </c>
      <c r="H19" s="9">
        <f t="shared" si="12"/>
        <v>1.896991330953595E-3</v>
      </c>
      <c r="I19" s="9">
        <f>IFERROR((50525-F19)/50525,0)</f>
        <v>2.9688273132112815E-2</v>
      </c>
      <c r="J19" s="7">
        <v>320320</v>
      </c>
      <c r="K19" s="11">
        <f t="shared" si="13"/>
        <v>93.340132585415603</v>
      </c>
      <c r="L19" s="11">
        <f>K19-93.652</f>
        <v>-0.31186741458439826</v>
      </c>
      <c r="M19" s="11">
        <v>94.5</v>
      </c>
      <c r="N19" s="11">
        <f t="shared" si="14"/>
        <v>-1.1598674145843972</v>
      </c>
      <c r="O19" s="11">
        <f>IFERROR(4916510/50525,0)</f>
        <v>97.308461157842657</v>
      </c>
      <c r="P19" s="11">
        <v>107</v>
      </c>
      <c r="Q19" s="11">
        <f t="shared" si="15"/>
        <v>-9.6915388421573425</v>
      </c>
      <c r="R19" s="7">
        <v>40785</v>
      </c>
      <c r="S19" s="11">
        <f t="shared" si="16"/>
        <v>118.84606978946601</v>
      </c>
      <c r="T19" s="13">
        <f t="shared" si="17"/>
        <v>7.8538678435699403</v>
      </c>
      <c r="U19" s="7">
        <v>72111</v>
      </c>
      <c r="V19" s="11">
        <f t="shared" si="18"/>
        <v>210.12894295913165</v>
      </c>
      <c r="W19" s="11">
        <f t="shared" si="19"/>
        <v>1.7680764987127622</v>
      </c>
      <c r="X19" s="11">
        <v>282.48</v>
      </c>
      <c r="Y19" s="11">
        <f t="shared" si="20"/>
        <v>127.32579920079918</v>
      </c>
      <c r="Z19" s="11">
        <f t="shared" si="21"/>
        <v>35.966991758241754</v>
      </c>
      <c r="AA19" s="7">
        <v>1675</v>
      </c>
      <c r="AB19" s="15">
        <f>IFERROR(AA19/1560,0)</f>
        <v>1.0737179487179487</v>
      </c>
      <c r="AC19" s="11">
        <v>61.01</v>
      </c>
      <c r="AD19" s="15">
        <f>IFERROR(AC19/60,0)</f>
        <v>1.0168333333333333</v>
      </c>
      <c r="AE19" s="11">
        <v>18</v>
      </c>
      <c r="AF19" s="11">
        <v>26</v>
      </c>
      <c r="AG19" s="7">
        <f t="shared" si="22"/>
        <v>-3980.375000000005</v>
      </c>
      <c r="AH19" s="7">
        <v>26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IFERROR(980/F19,0)</f>
        <v>1.9989801121876594E-2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64</v>
      </c>
      <c r="B20" s="5">
        <v>55</v>
      </c>
      <c r="C20" s="7"/>
      <c r="D20" s="7">
        <v>7</v>
      </c>
      <c r="E20" s="7">
        <v>50845</v>
      </c>
      <c r="F20" s="7">
        <v>48431</v>
      </c>
      <c r="G20" s="7">
        <v>118</v>
      </c>
      <c r="H20" s="9">
        <f t="shared" si="12"/>
        <v>2.4364559889327084E-3</v>
      </c>
      <c r="I20" s="9">
        <f>IFERROR((50845-F20)/50845,0)</f>
        <v>4.7477628085357458E-2</v>
      </c>
      <c r="J20" s="7">
        <v>311760</v>
      </c>
      <c r="K20" s="11">
        <f t="shared" si="13"/>
        <v>91.959990206980763</v>
      </c>
      <c r="L20" s="11">
        <f>K20-91.8306</f>
        <v>0.12939020698075865</v>
      </c>
      <c r="M20" s="11">
        <v>92.7</v>
      </c>
      <c r="N20" s="11">
        <f t="shared" si="14"/>
        <v>-0.74000979301924019</v>
      </c>
      <c r="O20" s="11">
        <f>IFERROR(11270860/50845,0)</f>
        <v>221.67096076310355</v>
      </c>
      <c r="P20" s="11">
        <v>226</v>
      </c>
      <c r="Q20" s="11">
        <f t="shared" si="15"/>
        <v>-4.329039236896449</v>
      </c>
      <c r="R20" s="7">
        <v>40282</v>
      </c>
      <c r="S20" s="11">
        <f t="shared" si="16"/>
        <v>118.82000017698228</v>
      </c>
      <c r="T20" s="13">
        <f t="shared" si="17"/>
        <v>7.7394369693659701</v>
      </c>
      <c r="U20" s="7">
        <v>68400</v>
      </c>
      <c r="V20" s="11">
        <f t="shared" si="18"/>
        <v>201.75979375665526</v>
      </c>
      <c r="W20" s="11">
        <f t="shared" si="19"/>
        <v>1.6980288962812173</v>
      </c>
      <c r="X20" s="11">
        <v>285.33285714290002</v>
      </c>
      <c r="Y20" s="11">
        <f t="shared" si="20"/>
        <v>129.2083654092892</v>
      </c>
      <c r="Z20" s="11">
        <f t="shared" si="21"/>
        <v>36.867392068996338</v>
      </c>
      <c r="AA20" s="7">
        <v>1711</v>
      </c>
      <c r="AB20" s="15">
        <f>IFERROR(AA20/1725,0)</f>
        <v>0.99188405797101453</v>
      </c>
      <c r="AC20" s="11">
        <v>62.61</v>
      </c>
      <c r="AD20" s="15">
        <f>IFERROR(AC20/62.95,0)</f>
        <v>0.99459888800635421</v>
      </c>
      <c r="AE20" s="11">
        <v>18</v>
      </c>
      <c r="AF20" s="11">
        <v>25</v>
      </c>
      <c r="AG20" s="7">
        <f t="shared" si="22"/>
        <v>-2508.7590000000373</v>
      </c>
      <c r="AH20" s="7">
        <v>35</v>
      </c>
      <c r="AI20" s="7">
        <v>17.142857142899999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IFERROR(800/F20,0)</f>
        <v>1.6518345687679379E-2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65</v>
      </c>
      <c r="B21" s="5">
        <v>22</v>
      </c>
      <c r="C21" s="7"/>
      <c r="D21" s="7">
        <v>7</v>
      </c>
      <c r="E21" s="7">
        <v>21024</v>
      </c>
      <c r="F21" s="7">
        <v>20838</v>
      </c>
      <c r="G21" s="7">
        <v>108</v>
      </c>
      <c r="H21" s="9">
        <f t="shared" si="12"/>
        <v>5.1828390440541317E-3</v>
      </c>
      <c r="I21" s="9">
        <f>IFERROR((21024-F21)/21024,0)</f>
        <v>8.8470319634703191E-3</v>
      </c>
      <c r="J21" s="7">
        <v>70740</v>
      </c>
      <c r="K21" s="11">
        <f t="shared" si="13"/>
        <v>48.496565340792237</v>
      </c>
      <c r="L21" s="11">
        <f>K21-30.5275</f>
        <v>17.969065340792238</v>
      </c>
      <c r="M21" s="11">
        <v>89.5</v>
      </c>
      <c r="N21" s="11">
        <f t="shared" si="14"/>
        <v>-41.003434659207763</v>
      </c>
      <c r="O21" s="11">
        <f>IFERROR(131520/21024,0)</f>
        <v>6.2557077625570781</v>
      </c>
      <c r="P21" s="11">
        <v>19</v>
      </c>
      <c r="Q21" s="11">
        <f t="shared" si="15"/>
        <v>-12.744292237442922</v>
      </c>
      <c r="R21" s="7">
        <v>17150</v>
      </c>
      <c r="S21" s="11">
        <f t="shared" si="16"/>
        <v>117.57366349937615</v>
      </c>
      <c r="T21" s="13">
        <f t="shared" si="17"/>
        <v>4.1247813411078713</v>
      </c>
      <c r="U21" s="7">
        <v>17750</v>
      </c>
      <c r="V21" s="11">
        <f t="shared" si="18"/>
        <v>121.68702782005403</v>
      </c>
      <c r="W21" s="11">
        <f t="shared" si="19"/>
        <v>1.0349854227405246</v>
      </c>
      <c r="X21" s="11">
        <v>305.64999999999998</v>
      </c>
      <c r="Y21" s="11">
        <f t="shared" si="20"/>
        <v>242.43709358213178</v>
      </c>
      <c r="Z21" s="11">
        <f t="shared" si="21"/>
        <v>74.100897653378581</v>
      </c>
      <c r="AA21" s="7">
        <v>1850</v>
      </c>
      <c r="AB21" s="15">
        <f>IFERROR(AA21/1770,0)</f>
        <v>1.0451977401129944</v>
      </c>
      <c r="AC21" s="11">
        <v>0</v>
      </c>
      <c r="AD21" s="15">
        <f>IFERROR(AC21/54.2,0)</f>
        <v>0</v>
      </c>
      <c r="AE21" s="11">
        <v>22</v>
      </c>
      <c r="AF21" s="11">
        <v>36</v>
      </c>
      <c r="AG21" s="7">
        <f t="shared" si="22"/>
        <v>-59810.069999999992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46</v>
      </c>
      <c r="C22" s="7"/>
      <c r="D22" s="7">
        <v>7</v>
      </c>
      <c r="E22" s="7">
        <v>21875</v>
      </c>
      <c r="F22" s="7">
        <v>20978</v>
      </c>
      <c r="G22" s="7">
        <v>33</v>
      </c>
      <c r="H22" s="9">
        <f t="shared" si="12"/>
        <v>1.5730765563924112E-3</v>
      </c>
      <c r="I22" s="9">
        <f>IFERROR((21875-F22)/21875,0)</f>
        <v>4.1005714285714284E-2</v>
      </c>
      <c r="J22" s="7">
        <v>133380</v>
      </c>
      <c r="K22" s="11">
        <f t="shared" si="13"/>
        <v>90.829848957411158</v>
      </c>
      <c r="L22" s="11">
        <f>K22-89.5857</f>
        <v>1.2441489574111557</v>
      </c>
      <c r="M22" s="11">
        <v>90</v>
      </c>
      <c r="N22" s="11">
        <f t="shared" si="14"/>
        <v>0.82984895741115849</v>
      </c>
      <c r="O22" s="11">
        <f>IFERROR(3775290/21875,0)</f>
        <v>172.58468571428571</v>
      </c>
      <c r="P22" s="11">
        <v>174</v>
      </c>
      <c r="Q22" s="11">
        <f t="shared" si="15"/>
        <v>-1.4153142857142882</v>
      </c>
      <c r="R22" s="7">
        <v>17280</v>
      </c>
      <c r="S22" s="11">
        <f t="shared" si="16"/>
        <v>117.67429824441932</v>
      </c>
      <c r="T22" s="13">
        <f t="shared" si="17"/>
        <v>7.71875</v>
      </c>
      <c r="U22" s="7">
        <v>29863</v>
      </c>
      <c r="V22" s="11">
        <f t="shared" si="18"/>
        <v>203.36270650885959</v>
      </c>
      <c r="W22" s="11">
        <f t="shared" si="19"/>
        <v>1.7281828703703701</v>
      </c>
      <c r="X22" s="11">
        <v>302.33571428570002</v>
      </c>
      <c r="Y22" s="11">
        <f t="shared" si="20"/>
        <v>129.55465587044534</v>
      </c>
      <c r="Z22" s="11">
        <f t="shared" si="21"/>
        <v>39.168999421629152</v>
      </c>
      <c r="AA22" s="7">
        <v>2074</v>
      </c>
      <c r="AB22" s="15">
        <f>IFERROR(AA22/1950,0)</f>
        <v>1.0635897435897437</v>
      </c>
      <c r="AC22" s="11">
        <v>0</v>
      </c>
      <c r="AD22" s="15">
        <f>IFERROR(AC22/63,0)</f>
        <v>0</v>
      </c>
      <c r="AE22" s="11">
        <v>22</v>
      </c>
      <c r="AF22" s="11">
        <v>25</v>
      </c>
      <c r="AG22" s="7">
        <f t="shared" si="22"/>
        <v>1218.5999999999899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IFERROR(595/F22,0)</f>
        <v>2.8363047001620744E-2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67</v>
      </c>
      <c r="B23" s="5">
        <v>105</v>
      </c>
      <c r="C23" s="7">
        <v>38</v>
      </c>
      <c r="D23" s="7">
        <v>7</v>
      </c>
      <c r="E23" s="7">
        <v>51833</v>
      </c>
      <c r="F23" s="7">
        <v>39598</v>
      </c>
      <c r="G23" s="7">
        <v>246</v>
      </c>
      <c r="H23" s="9">
        <f t="shared" si="12"/>
        <v>6.2124349714632052E-3</v>
      </c>
      <c r="I23" s="9">
        <f>IFERROR((51833-F23)/51833,0)</f>
        <v>0.23604653406131229</v>
      </c>
      <c r="J23" s="7">
        <v>163700</v>
      </c>
      <c r="K23" s="11">
        <f t="shared" si="13"/>
        <v>59.057816772852888</v>
      </c>
      <c r="L23" s="11">
        <f>K23-60.0126</f>
        <v>-0.95478322714711084</v>
      </c>
      <c r="M23" s="11">
        <v>70</v>
      </c>
      <c r="N23" s="11">
        <f t="shared" si="14"/>
        <v>-10.942183227147112</v>
      </c>
      <c r="O23" s="11">
        <f>IFERROR(21128548/51833,0)</f>
        <v>407.62734165493026</v>
      </c>
      <c r="P23" s="11">
        <v>0</v>
      </c>
      <c r="Q23" s="11">
        <f t="shared" si="15"/>
        <v>407.62734165493026</v>
      </c>
      <c r="R23" s="7">
        <v>30133</v>
      </c>
      <c r="S23" s="11">
        <f t="shared" si="16"/>
        <v>108.71039662897837</v>
      </c>
      <c r="T23" s="13">
        <f t="shared" si="17"/>
        <v>5.4325822188298547</v>
      </c>
      <c r="U23" s="7">
        <v>48279</v>
      </c>
      <c r="V23" s="11">
        <f t="shared" si="18"/>
        <v>174.1754634072428</v>
      </c>
      <c r="W23" s="11">
        <f t="shared" si="19"/>
        <v>1.6021969269571568</v>
      </c>
      <c r="X23" s="11">
        <v>280.02571428570002</v>
      </c>
      <c r="Y23" s="11">
        <f t="shared" si="20"/>
        <v>184.07452657299936</v>
      </c>
      <c r="Z23" s="11">
        <f t="shared" si="21"/>
        <v>51.545600785406215</v>
      </c>
      <c r="AA23" s="7">
        <v>1703</v>
      </c>
      <c r="AB23" s="15">
        <f>IFERROR(AA23/0,0)</f>
        <v>0</v>
      </c>
      <c r="AC23" s="11">
        <v>0</v>
      </c>
      <c r="AD23" s="15">
        <f>IFERROR(AC23/0,0)</f>
        <v>0</v>
      </c>
      <c r="AE23" s="11">
        <v>19</v>
      </c>
      <c r="AF23" s="11">
        <v>25</v>
      </c>
      <c r="AG23" s="7">
        <f t="shared" si="22"/>
        <v>-30330.199999999997</v>
      </c>
      <c r="AH23" s="7">
        <v>34</v>
      </c>
      <c r="AI23" s="7">
        <v>20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IFERROR(1000/F23,0)</f>
        <v>2.5253800697004898E-2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81</v>
      </c>
      <c r="B24" s="5">
        <v>103</v>
      </c>
      <c r="C24" s="7">
        <v>37</v>
      </c>
      <c r="D24" s="7">
        <v>7</v>
      </c>
      <c r="E24" s="7">
        <v>21623</v>
      </c>
      <c r="F24" s="7">
        <v>17782</v>
      </c>
      <c r="G24" s="7">
        <v>62</v>
      </c>
      <c r="H24" s="9">
        <f t="shared" si="12"/>
        <v>3.4866719154200876E-3</v>
      </c>
      <c r="I24" s="9">
        <f>IFERROR((21623-F24)/21623,0)</f>
        <v>0.17763492577348194</v>
      </c>
      <c r="J24" s="7">
        <v>83700</v>
      </c>
      <c r="K24" s="11">
        <f t="shared" si="13"/>
        <v>67.242958368815977</v>
      </c>
      <c r="L24" s="11">
        <f>K24-68.3063</f>
        <v>-1.0633416311840165</v>
      </c>
      <c r="M24" s="11">
        <v>72</v>
      </c>
      <c r="N24" s="11">
        <f t="shared" si="14"/>
        <v>-4.7570416311840233</v>
      </c>
      <c r="O24" s="11">
        <f>IFERROR(8963225/21623,0)</f>
        <v>414.52273042593532</v>
      </c>
      <c r="P24" s="11">
        <v>0</v>
      </c>
      <c r="Q24" s="11">
        <f t="shared" si="15"/>
        <v>414.52273042593532</v>
      </c>
      <c r="R24" s="7">
        <v>16250</v>
      </c>
      <c r="S24" s="11">
        <f t="shared" si="16"/>
        <v>130.5493516718351</v>
      </c>
      <c r="T24" s="13">
        <f t="shared" si="17"/>
        <v>5.1507692307692308</v>
      </c>
      <c r="U24" s="7">
        <v>24139</v>
      </c>
      <c r="V24" s="11">
        <f t="shared" si="18"/>
        <v>193.92804923116475</v>
      </c>
      <c r="W24" s="11">
        <f t="shared" si="19"/>
        <v>1.4854769230769229</v>
      </c>
      <c r="X24" s="11">
        <v>279.41428571429998</v>
      </c>
      <c r="Y24" s="11">
        <f t="shared" si="20"/>
        <v>194.14575866188773</v>
      </c>
      <c r="Z24" s="11">
        <f t="shared" si="21"/>
        <v>54.247098480972227</v>
      </c>
      <c r="AA24" s="7">
        <v>1972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19</v>
      </c>
      <c r="AF24" s="11">
        <v>25</v>
      </c>
      <c r="AG24" s="7">
        <f t="shared" si="22"/>
        <v>-5921.2800000000007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IFERROR(400/F24,0)</f>
        <v>2.2494657518839275E-2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68</v>
      </c>
      <c r="B25" s="5">
        <v>36</v>
      </c>
      <c r="C25" s="7"/>
      <c r="D25" s="7">
        <v>7</v>
      </c>
      <c r="E25" s="7">
        <v>21339</v>
      </c>
      <c r="F25" s="7">
        <v>20857</v>
      </c>
      <c r="G25" s="7">
        <v>30</v>
      </c>
      <c r="H25" s="9">
        <f t="shared" si="12"/>
        <v>1.4383660162055904E-3</v>
      </c>
      <c r="I25" s="9">
        <f>IFERROR((21339-F25)/21339,0)</f>
        <v>2.2587750128872017E-2</v>
      </c>
      <c r="J25" s="7">
        <v>131940</v>
      </c>
      <c r="K25" s="11">
        <f t="shared" si="13"/>
        <v>90.370481989602666</v>
      </c>
      <c r="L25" s="11">
        <f>K25-92.2105</f>
        <v>-1.8400180103973298</v>
      </c>
      <c r="M25" s="11">
        <v>93.5</v>
      </c>
      <c r="N25" s="11">
        <f t="shared" si="14"/>
        <v>-3.1295180103973337</v>
      </c>
      <c r="O25" s="11">
        <f>IFERROR(2223030/21339,0)</f>
        <v>104.17685927175594</v>
      </c>
      <c r="P25" s="11">
        <v>111</v>
      </c>
      <c r="Q25" s="11">
        <f t="shared" si="15"/>
        <v>-6.8231407282440557</v>
      </c>
      <c r="R25" s="7">
        <v>17230</v>
      </c>
      <c r="S25" s="11">
        <f t="shared" si="16"/>
        <v>118.01450694867773</v>
      </c>
      <c r="T25" s="13">
        <f t="shared" si="17"/>
        <v>7.6575739988392337</v>
      </c>
      <c r="U25" s="7">
        <v>36055</v>
      </c>
      <c r="V25" s="11">
        <f t="shared" si="18"/>
        <v>246.953746258536</v>
      </c>
      <c r="W25" s="11">
        <f t="shared" si="19"/>
        <v>2.0925710969239697</v>
      </c>
      <c r="X25" s="11">
        <v>274.0985714286</v>
      </c>
      <c r="Y25" s="11">
        <f t="shared" si="20"/>
        <v>130.589661967561</v>
      </c>
      <c r="Z25" s="11">
        <f t="shared" si="21"/>
        <v>35.794439788652248</v>
      </c>
      <c r="AA25" s="7">
        <v>1826</v>
      </c>
      <c r="AB25" s="15">
        <f>IFERROR(AA25/1920,0)</f>
        <v>0.95104166666666667</v>
      </c>
      <c r="AC25" s="11">
        <v>0</v>
      </c>
      <c r="AD25" s="15">
        <f>IFERROR(AC25/61.9,0)</f>
        <v>0</v>
      </c>
      <c r="AE25" s="11">
        <v>18</v>
      </c>
      <c r="AF25" s="11">
        <v>26</v>
      </c>
      <c r="AG25" s="7">
        <f t="shared" si="22"/>
        <v>-4569.0650000000032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IFERROR(490/F25,0)</f>
        <v>2.3493311598024643E-2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69</v>
      </c>
      <c r="B26" s="5">
        <v>23</v>
      </c>
      <c r="C26" s="7"/>
      <c r="D26" s="7">
        <v>7</v>
      </c>
      <c r="E26" s="7">
        <v>64976</v>
      </c>
      <c r="F26" s="7">
        <v>64485</v>
      </c>
      <c r="G26" s="7">
        <v>125</v>
      </c>
      <c r="H26" s="9">
        <f t="shared" si="12"/>
        <v>1.938435295029852E-3</v>
      </c>
      <c r="I26" s="9">
        <f>IFERROR((64976-F26)/64976,0)</f>
        <v>7.5566362964786995E-3</v>
      </c>
      <c r="J26" s="7">
        <v>420220</v>
      </c>
      <c r="K26" s="11">
        <f t="shared" si="13"/>
        <v>93.093631963136502</v>
      </c>
      <c r="L26" s="11">
        <f>K26-85.0819</f>
        <v>8.0117319631364978</v>
      </c>
      <c r="M26" s="11">
        <v>90</v>
      </c>
      <c r="N26" s="11">
        <f t="shared" si="14"/>
        <v>3.0936319631365023</v>
      </c>
      <c r="O26" s="11">
        <f>IFERROR(1468300/64976,0)</f>
        <v>22.597574489042106</v>
      </c>
      <c r="P26" s="11">
        <v>21</v>
      </c>
      <c r="Q26" s="11">
        <f t="shared" si="15"/>
        <v>1.5975744890421062</v>
      </c>
      <c r="R26" s="7">
        <v>47506</v>
      </c>
      <c r="S26" s="11">
        <f t="shared" si="16"/>
        <v>105.24263671507217</v>
      </c>
      <c r="T26" s="13">
        <f t="shared" si="17"/>
        <v>8.8456195006946494</v>
      </c>
      <c r="U26" s="7">
        <v>101000</v>
      </c>
      <c r="V26" s="11">
        <f t="shared" si="18"/>
        <v>223.7508169120172</v>
      </c>
      <c r="W26" s="11">
        <f t="shared" si="19"/>
        <v>2.1260472361385929</v>
      </c>
      <c r="X26" s="11">
        <v>284.06285714289999</v>
      </c>
      <c r="Y26" s="11">
        <f t="shared" si="20"/>
        <v>113.05030698205701</v>
      </c>
      <c r="Z26" s="11">
        <f t="shared" si="21"/>
        <v>32.113393202205053</v>
      </c>
      <c r="AA26" s="7">
        <v>1473</v>
      </c>
      <c r="AB26" s="15">
        <f>IFERROR(AA26/1465,0)</f>
        <v>1.0054607508532423</v>
      </c>
      <c r="AC26" s="11">
        <v>0</v>
      </c>
      <c r="AD26" s="15">
        <f>IFERROR(AC26/51.3,0)</f>
        <v>0</v>
      </c>
      <c r="AE26" s="11">
        <v>20</v>
      </c>
      <c r="AF26" s="11">
        <v>26</v>
      </c>
      <c r="AG26" s="7">
        <f t="shared" si="22"/>
        <v>13964.500000000015</v>
      </c>
      <c r="AH26" s="7">
        <v>15</v>
      </c>
      <c r="AI26" s="7">
        <v>22.666666666699999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ht="15" thickBot="1" x14ac:dyDescent="0.35">
      <c r="A27" s="5" t="s">
        <v>70</v>
      </c>
      <c r="B27" s="5">
        <v>94</v>
      </c>
      <c r="C27" s="7">
        <v>22</v>
      </c>
      <c r="D27" s="7">
        <v>7</v>
      </c>
      <c r="E27" s="7">
        <v>47224</v>
      </c>
      <c r="F27" s="7">
        <v>36815</v>
      </c>
      <c r="G27" s="7">
        <v>97</v>
      </c>
      <c r="H27" s="9">
        <f t="shared" si="12"/>
        <v>2.6347955996197203E-3</v>
      </c>
      <c r="I27" s="9">
        <f>IFERROR((47224-F27)/47224,0)</f>
        <v>0.22041758427918007</v>
      </c>
      <c r="J27" s="7">
        <v>175440</v>
      </c>
      <c r="K27" s="11">
        <f t="shared" si="13"/>
        <v>68.077840942162553</v>
      </c>
      <c r="L27" s="11">
        <f>K27-66.4128</f>
        <v>1.6650409421625483</v>
      </c>
      <c r="M27" s="11">
        <v>76</v>
      </c>
      <c r="N27" s="11">
        <f t="shared" si="14"/>
        <v>-7.9221590578374474</v>
      </c>
      <c r="O27" s="11">
        <f>IFERROR(16770660/47224,0)</f>
        <v>355.1300186345926</v>
      </c>
      <c r="P27" s="11">
        <v>0</v>
      </c>
      <c r="Q27" s="11">
        <f t="shared" si="15"/>
        <v>355.1300186345926</v>
      </c>
      <c r="R27" s="7">
        <v>29200</v>
      </c>
      <c r="S27" s="11">
        <f t="shared" si="16"/>
        <v>113.30785200131935</v>
      </c>
      <c r="T27" s="13">
        <f t="shared" si="17"/>
        <v>6.0082191780821921</v>
      </c>
      <c r="U27" s="7">
        <v>50200</v>
      </c>
      <c r="V27" s="11">
        <f t="shared" si="18"/>
        <v>194.7963757008983</v>
      </c>
      <c r="W27" s="11">
        <f t="shared" si="19"/>
        <v>1.7191780821917806</v>
      </c>
      <c r="X27" s="11">
        <v>277.79714285710003</v>
      </c>
      <c r="Y27" s="11">
        <f t="shared" si="20"/>
        <v>166.43866849065208</v>
      </c>
      <c r="Z27" s="11">
        <f t="shared" si="21"/>
        <v>46.236186567643195</v>
      </c>
      <c r="AA27" s="7">
        <v>1574</v>
      </c>
      <c r="AB27" s="15">
        <f>IFERROR(AA27/1580,0)</f>
        <v>0.9962025316455696</v>
      </c>
      <c r="AC27" s="11">
        <v>0</v>
      </c>
      <c r="AD27" s="15">
        <f>IFERROR(AC27/63.7,0)</f>
        <v>0</v>
      </c>
      <c r="AE27" s="11">
        <v>14</v>
      </c>
      <c r="AF27" s="11">
        <v>24</v>
      </c>
      <c r="AG27" s="7">
        <f t="shared" si="22"/>
        <v>-20415.799999999996</v>
      </c>
      <c r="AH27" s="7">
        <v>33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IFERROR(840/F27,0)</f>
        <v>2.2816786635882113E-2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16" t="s">
        <v>73</v>
      </c>
      <c r="B28" s="16"/>
      <c r="C28" s="17"/>
      <c r="D28" s="17">
        <f>AVERAGE(D14:D27)</f>
        <v>7</v>
      </c>
      <c r="E28" s="17">
        <f>SUM(E14:E27)</f>
        <v>542887</v>
      </c>
      <c r="F28" s="17">
        <f>SUM(F14:F27)</f>
        <v>488676</v>
      </c>
      <c r="G28" s="17">
        <f>SUM(G14:G27)</f>
        <v>1534</v>
      </c>
      <c r="H28" s="18">
        <f t="shared" si="12"/>
        <v>3.1390942055676972E-3</v>
      </c>
      <c r="I28" s="18"/>
      <c r="J28" s="17">
        <f>SUM(J14:J27)</f>
        <v>2828460</v>
      </c>
      <c r="K28" s="19">
        <f t="shared" si="13"/>
        <v>82.68581110709637</v>
      </c>
      <c r="L28" s="19"/>
      <c r="M28" s="19">
        <f>IFERROR(SUMPRODUCT($F14:$F27,M14:M27)/$F28, 0)</f>
        <v>87.28717923532156</v>
      </c>
      <c r="N28" s="19">
        <f t="shared" si="14"/>
        <v>-4.6013681282251895</v>
      </c>
      <c r="O28" s="19">
        <f>IFERROR(SUMPRODUCT($E14:$E27,O14:O27)/$E28, 0)</f>
        <v>220.07772519879828</v>
      </c>
      <c r="P28" s="19">
        <f>IFERROR(SUMPRODUCT($E14:$E27,P14:P27)/$E28, 0)</f>
        <v>128.51382331866483</v>
      </c>
      <c r="Q28" s="19">
        <f>IFERROR(SUMPRODUCT($E14:$E27,Q14:Q27)/$E28, 0)</f>
        <v>91.563901880133429</v>
      </c>
      <c r="R28" s="17">
        <f>SUM(R14:R27)</f>
        <v>389311</v>
      </c>
      <c r="S28" s="19">
        <f>IFERROR(R28/D28/$F28*1000,0)</f>
        <v>113.80926655464387</v>
      </c>
      <c r="T28" s="20">
        <f t="shared" si="17"/>
        <v>7.2652968963116891</v>
      </c>
      <c r="U28" s="17">
        <f>SUM(U14:U27)</f>
        <v>673123</v>
      </c>
      <c r="V28" s="19">
        <f>IFERROR(U28/D28/$F28*1000,0)</f>
        <v>196.77747335950315</v>
      </c>
      <c r="W28" s="19">
        <f t="shared" si="19"/>
        <v>1.7290109963499616</v>
      </c>
      <c r="X28" s="19">
        <f>IFERROR(SUMPRODUCT(R14:R27,X14:X27)/R28,0)</f>
        <v>290.38387819947076</v>
      </c>
      <c r="Y28" s="19">
        <f>IFERROR(($F28*S28)/($F28*K28)*100,0)</f>
        <v>137.64062422661095</v>
      </c>
      <c r="Z28" s="19">
        <f t="shared" si="21"/>
        <v>39.968618260719317</v>
      </c>
      <c r="AA28" s="17"/>
      <c r="AB28" s="21">
        <f>IFERROR(SUMPRODUCT($F14:$F27,AB14:AB27)/$F28,0)</f>
        <v>0.90388973112691862</v>
      </c>
      <c r="AC28" s="19"/>
      <c r="AD28" s="21">
        <f>AVERAGE(AD14:AD27)</f>
        <v>0.21464442606638795</v>
      </c>
      <c r="AE28" s="19"/>
      <c r="AF28" s="19"/>
      <c r="AG28" s="17">
        <f>SUM(AG14:AG27)</f>
        <v>-157400.47200000001</v>
      </c>
      <c r="AH28" s="17">
        <f>SUM(AH14:AH27)</f>
        <v>238</v>
      </c>
      <c r="AI28" s="17">
        <f>IFERROR(SUMPRODUCT(AH14:AH27,AI14:AI27)/AH28, 0)</f>
        <v>18.739495798327731</v>
      </c>
      <c r="AJ28" s="19">
        <f>AVERAGE(AJ14:AJ27)</f>
        <v>0</v>
      </c>
      <c r="AK28" s="19">
        <f>AVERAGE(AK14:AK27)</f>
        <v>0</v>
      </c>
      <c r="AL28" s="19">
        <f>AVERAGE(AL14:AL27)</f>
        <v>0</v>
      </c>
      <c r="AM28" s="19">
        <f>AVERAGE(AM14:AM27)</f>
        <v>0</v>
      </c>
      <c r="AN28" s="19">
        <f>AVERAGE(AN14:AN27)</f>
        <v>0</v>
      </c>
      <c r="AO28" s="20"/>
      <c r="AP28" s="19"/>
      <c r="AQ28" s="17"/>
      <c r="AR28" s="17"/>
      <c r="AS28" s="17"/>
      <c r="AT28" s="17"/>
    </row>
    <row r="29" spans="1:46" ht="15" thickBot="1" x14ac:dyDescent="0.35"/>
    <row r="30" spans="1:46" ht="15" thickBot="1" x14ac:dyDescent="0.35">
      <c r="A30" s="23" t="s">
        <v>74</v>
      </c>
      <c r="B30" s="23"/>
      <c r="C30" s="23"/>
      <c r="D30" s="23">
        <f>IFERROR($F$12/$F30*D$12,0)+IFERROR($F$28/$F30*D$28,0)</f>
        <v>7.0000000000000009</v>
      </c>
      <c r="E30" s="23">
        <f>E12+E28</f>
        <v>589092</v>
      </c>
      <c r="F30" s="23">
        <f>F12+F28</f>
        <v>526910</v>
      </c>
      <c r="G30" s="23">
        <f>G12+G28</f>
        <v>1607</v>
      </c>
      <c r="H30" s="24">
        <f>IFERROR(G30/F30,0)</f>
        <v>3.0498567117724089E-3</v>
      </c>
      <c r="I30" s="23"/>
      <c r="J30" s="23">
        <f>J12+J28</f>
        <v>3038300</v>
      </c>
      <c r="K30" s="25">
        <f>IFERROR(J30/D30/F30*100,0)</f>
        <v>82.375141322589641</v>
      </c>
      <c r="L30" s="23"/>
      <c r="M30" s="25">
        <f>IFERROR($F$12/$F30*M$12,0)+IFERROR($F$28/$F30*M$28,0)</f>
        <v>87.071341595338851</v>
      </c>
      <c r="N30" s="25">
        <f>K30-M30</f>
        <v>-4.6962002727492091</v>
      </c>
      <c r="O30" s="23">
        <f>IFERROR($E$12/$E30*O$12,0)+IFERROR($E$28/$E30*O$28,0)</f>
        <v>225.00523178043497</v>
      </c>
      <c r="P30" s="23">
        <f>IFERROR($E$12/$E30*P$12,0)+IFERROR($E$28/$E30*P$28,0)</f>
        <v>121.24142578748311</v>
      </c>
      <c r="Q30" s="23">
        <f>IFERROR($E$12/$E30*Q$12,0)+IFERROR($E$28/$E30*Q$28,0)</f>
        <v>103.76380599295186</v>
      </c>
      <c r="R30" s="23">
        <f>R12+R28</f>
        <v>423956</v>
      </c>
      <c r="S30" s="25">
        <f>IFERROR(R30/D30/$F30*1000,0)</f>
        <v>114.94399965296321</v>
      </c>
      <c r="T30" s="26">
        <f>IFERROR(J30/R30,0)</f>
        <v>7.1665455849191897</v>
      </c>
      <c r="U30" s="23">
        <f>U12+U28</f>
        <v>688243</v>
      </c>
      <c r="V30" s="25">
        <f>IFERROR(U30/D30/$F30*1000,0)</f>
        <v>186.59814498003183</v>
      </c>
      <c r="W30" s="25">
        <f>IFERROR(V30/S30,0)</f>
        <v>1.623383086924115</v>
      </c>
      <c r="X30" s="25">
        <f>IFERROR($F$12/$F30*X$12,0)+IFERROR($F$28/$F30*X$28,0)</f>
        <v>295.91883308791307</v>
      </c>
      <c r="Y30" s="25">
        <f>IFERROR(($F30*S30)/($F30*K30)*100,0)</f>
        <v>139.5372412204193</v>
      </c>
      <c r="Z30" s="25">
        <f>IFERROR(Y30*X30/1000,0)</f>
        <v>41.291697594253122</v>
      </c>
      <c r="AA30" s="23"/>
      <c r="AB30" s="27"/>
      <c r="AC30" s="23"/>
      <c r="AD30" s="27"/>
      <c r="AE30" s="23"/>
      <c r="AF30" s="23"/>
      <c r="AG30" s="23">
        <f>AG12+AG28</f>
        <v>-173213.242</v>
      </c>
      <c r="AH30" s="23">
        <f>AH12+AH28</f>
        <v>238</v>
      </c>
      <c r="AI30" s="23">
        <f>IFERROR(AH$12/AH30*AI$12,0)+IFERROR(AH$28/AH30*AI$28,0)</f>
        <v>18.739495798327731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2" spans="1:46" x14ac:dyDescent="0.3">
      <c r="A32" s="31" t="s">
        <v>75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x14ac:dyDescent="0.3">
      <c r="A33" s="32"/>
      <c r="B33" s="32" t="s">
        <v>76</v>
      </c>
      <c r="C33" s="32"/>
      <c r="D33" s="32" t="s">
        <v>77</v>
      </c>
      <c r="E33" s="32" t="s">
        <v>78</v>
      </c>
      <c r="F33" s="32" t="s">
        <v>79</v>
      </c>
      <c r="G33" s="32" t="s">
        <v>50</v>
      </c>
      <c r="H33" s="32" t="s">
        <v>51</v>
      </c>
      <c r="I33" s="32" t="s">
        <v>49</v>
      </c>
      <c r="J33" s="32" t="s">
        <v>52</v>
      </c>
      <c r="K33" s="32" t="s">
        <v>53</v>
      </c>
      <c r="L33" s="32" t="s">
        <v>54</v>
      </c>
      <c r="M33" s="32" t="s">
        <v>56</v>
      </c>
      <c r="N33" s="32" t="s">
        <v>65</v>
      </c>
      <c r="O33" s="32" t="s">
        <v>58</v>
      </c>
      <c r="P33" s="32" t="s">
        <v>59</v>
      </c>
      <c r="Q33" s="32" t="s">
        <v>80</v>
      </c>
      <c r="R33" s="32" t="s">
        <v>60</v>
      </c>
      <c r="S33" s="32" t="s">
        <v>69</v>
      </c>
      <c r="T33" s="32" t="s">
        <v>61</v>
      </c>
      <c r="U33" s="32" t="s">
        <v>70</v>
      </c>
      <c r="V33" s="32" t="s">
        <v>71</v>
      </c>
      <c r="W33" s="32" t="s">
        <v>72</v>
      </c>
      <c r="X33" s="32" t="s">
        <v>62</v>
      </c>
      <c r="Y33" s="32" t="s">
        <v>66</v>
      </c>
      <c r="Z33" s="32" t="s">
        <v>67</v>
      </c>
      <c r="AA33" s="32" t="s">
        <v>81</v>
      </c>
      <c r="AB33" s="32" t="s">
        <v>63</v>
      </c>
      <c r="AC33" s="32" t="s">
        <v>68</v>
      </c>
      <c r="AD33" s="32" t="s">
        <v>64</v>
      </c>
    </row>
    <row r="34" spans="1:30" x14ac:dyDescent="0.3">
      <c r="B34" s="4">
        <v>202501</v>
      </c>
      <c r="C34" s="4"/>
      <c r="D34" s="8">
        <v>2.8E-3</v>
      </c>
      <c r="E34" s="8">
        <v>5.1000000000000004E-3</v>
      </c>
      <c r="F34" s="8">
        <v>2.5999999999999999E-3</v>
      </c>
      <c r="G34" s="8">
        <v>7.7999999999999996E-3</v>
      </c>
      <c r="H34" s="8">
        <v>4.4999999999999997E-3</v>
      </c>
      <c r="I34" s="8">
        <v>3.5000000000000001E-3</v>
      </c>
      <c r="J34" s="8">
        <v>3.2000000000000002E-3</v>
      </c>
      <c r="K34" s="8">
        <v>4.7999999999999996E-3</v>
      </c>
      <c r="L34" s="8">
        <v>1.9E-3</v>
      </c>
      <c r="M34" s="8">
        <v>2.3999999999999998E-3</v>
      </c>
      <c r="N34" s="8">
        <v>2E-3</v>
      </c>
      <c r="O34" s="8">
        <v>5.7999999999999996E-3</v>
      </c>
      <c r="P34" s="8">
        <v>2.3999999999999998E-3</v>
      </c>
      <c r="Q34" s="8">
        <v>3.3999999999999998E-3</v>
      </c>
      <c r="R34" s="8">
        <v>1.6999999999999999E-3</v>
      </c>
      <c r="S34" s="8"/>
      <c r="T34" s="8">
        <v>2.5000000000000001E-3</v>
      </c>
      <c r="U34" s="8">
        <v>5.3E-3</v>
      </c>
      <c r="V34" s="8">
        <v>6.3E-3</v>
      </c>
      <c r="W34" s="8">
        <v>2.7000000000000001E-3</v>
      </c>
      <c r="X34" s="8">
        <v>1.5E-3</v>
      </c>
      <c r="Y34" s="8">
        <v>1.4E-3</v>
      </c>
      <c r="Z34" s="8">
        <v>2.8E-3</v>
      </c>
      <c r="AA34" s="8">
        <v>1.6999999999999999E-3</v>
      </c>
      <c r="AB34" s="8"/>
      <c r="AC34" s="8"/>
      <c r="AD34" s="8">
        <v>6.9999999999999999E-4</v>
      </c>
    </row>
    <row r="35" spans="1:30" x14ac:dyDescent="0.3">
      <c r="B35" s="5">
        <v>202502</v>
      </c>
      <c r="C35" s="5"/>
      <c r="D35" s="9">
        <v>2.8999999999999998E-3</v>
      </c>
      <c r="E35" s="9">
        <v>4.4000000000000003E-3</v>
      </c>
      <c r="F35" s="9">
        <v>2.7000000000000001E-3</v>
      </c>
      <c r="G35" s="9">
        <v>6.3E-3</v>
      </c>
      <c r="H35" s="9">
        <v>4.4999999999999997E-3</v>
      </c>
      <c r="I35" s="9">
        <v>4.4000000000000003E-3</v>
      </c>
      <c r="J35" s="9">
        <v>3.2000000000000002E-3</v>
      </c>
      <c r="K35" s="9">
        <v>2.7000000000000001E-3</v>
      </c>
      <c r="L35" s="9">
        <v>2.0999999999999999E-3</v>
      </c>
      <c r="M35" s="9">
        <v>3.3999999999999998E-3</v>
      </c>
      <c r="N35" s="9">
        <v>1.9E-3</v>
      </c>
      <c r="O35" s="9">
        <v>1.32E-2</v>
      </c>
      <c r="P35" s="9">
        <v>2.3999999999999998E-3</v>
      </c>
      <c r="Q35" s="9">
        <v>4.1999999999999997E-3</v>
      </c>
      <c r="R35" s="9">
        <v>1.6999999999999999E-3</v>
      </c>
      <c r="S35" s="9"/>
      <c r="T35" s="9">
        <v>2.5000000000000001E-3</v>
      </c>
      <c r="U35" s="9">
        <v>5.7999999999999996E-3</v>
      </c>
      <c r="V35" s="9">
        <v>3.5999999999999999E-3</v>
      </c>
      <c r="W35" s="9">
        <v>2.3E-3</v>
      </c>
      <c r="X35" s="9">
        <v>1.5E-3</v>
      </c>
      <c r="Y35" s="9">
        <v>1E-3</v>
      </c>
      <c r="Z35" s="9">
        <v>3.0000000000000001E-3</v>
      </c>
      <c r="AA35" s="9">
        <v>1.8E-3</v>
      </c>
      <c r="AB35" s="9"/>
      <c r="AC35" s="9"/>
      <c r="AD35" s="9">
        <v>1E-3</v>
      </c>
    </row>
    <row r="36" spans="1:30" x14ac:dyDescent="0.3">
      <c r="B36" s="5">
        <v>202503</v>
      </c>
      <c r="C36" s="5"/>
      <c r="D36" s="9">
        <v>2.8E-3</v>
      </c>
      <c r="E36" s="9">
        <v>4.8999999999999998E-3</v>
      </c>
      <c r="F36" s="9">
        <v>2.5999999999999999E-3</v>
      </c>
      <c r="G36" s="9">
        <v>5.8999999999999999E-3</v>
      </c>
      <c r="H36" s="9">
        <v>5.8999999999999999E-3</v>
      </c>
      <c r="I36" s="9">
        <v>3.5999999999999999E-3</v>
      </c>
      <c r="J36" s="9">
        <v>3.3999999999999998E-3</v>
      </c>
      <c r="K36" s="9">
        <v>3.2000000000000002E-3</v>
      </c>
      <c r="L36" s="9">
        <v>3.0000000000000001E-3</v>
      </c>
      <c r="M36" s="9">
        <v>2.2000000000000001E-3</v>
      </c>
      <c r="N36" s="9">
        <v>1.6000000000000001E-3</v>
      </c>
      <c r="O36" s="9">
        <v>9.7999999999999997E-3</v>
      </c>
      <c r="P36" s="9">
        <v>2.5000000000000001E-3</v>
      </c>
      <c r="Q36" s="9">
        <v>3.3E-3</v>
      </c>
      <c r="R36" s="9">
        <v>1.8E-3</v>
      </c>
      <c r="S36" s="9"/>
      <c r="T36" s="9">
        <v>2.5000000000000001E-3</v>
      </c>
      <c r="U36" s="9">
        <v>5.4999999999999997E-3</v>
      </c>
      <c r="V36" s="9">
        <v>3.5000000000000001E-3</v>
      </c>
      <c r="W36" s="9">
        <v>2.5000000000000001E-3</v>
      </c>
      <c r="X36" s="9">
        <v>1.6999999999999999E-3</v>
      </c>
      <c r="Y36" s="9">
        <v>6.9999999999999999E-4</v>
      </c>
      <c r="Z36" s="9">
        <v>2.8E-3</v>
      </c>
      <c r="AA36" s="9">
        <v>1.4E-3</v>
      </c>
      <c r="AB36" s="9"/>
      <c r="AC36" s="9"/>
      <c r="AD36" s="9">
        <v>1.6000000000000001E-3</v>
      </c>
    </row>
    <row r="37" spans="1:30" x14ac:dyDescent="0.3">
      <c r="B37" s="5">
        <v>202504</v>
      </c>
      <c r="C37" s="5"/>
      <c r="D37" s="9">
        <v>2.5999999999999999E-3</v>
      </c>
      <c r="E37" s="9">
        <v>5.1000000000000004E-3</v>
      </c>
      <c r="F37" s="9">
        <v>2.3999999999999998E-3</v>
      </c>
      <c r="G37" s="9">
        <v>5.8999999999999999E-3</v>
      </c>
      <c r="H37" s="9">
        <v>5.7999999999999996E-3</v>
      </c>
      <c r="I37" s="9">
        <v>6.3E-3</v>
      </c>
      <c r="J37" s="9">
        <v>5.0000000000000001E-3</v>
      </c>
      <c r="K37" s="9">
        <v>4.1000000000000003E-3</v>
      </c>
      <c r="L37" s="9">
        <v>1.9E-3</v>
      </c>
      <c r="M37" s="9">
        <v>2.3999999999999998E-3</v>
      </c>
      <c r="N37" s="9">
        <v>2.2000000000000001E-3</v>
      </c>
      <c r="O37" s="9">
        <v>7.3000000000000001E-3</v>
      </c>
      <c r="P37" s="9">
        <v>2.5000000000000001E-3</v>
      </c>
      <c r="Q37" s="9">
        <v>4.1000000000000003E-3</v>
      </c>
      <c r="R37" s="9">
        <v>1.6999999999999999E-3</v>
      </c>
      <c r="S37" s="9"/>
      <c r="T37" s="9">
        <v>2.5999999999999999E-3</v>
      </c>
      <c r="U37" s="9">
        <v>3.2000000000000002E-3</v>
      </c>
      <c r="V37" s="9">
        <v>3.7000000000000002E-3</v>
      </c>
      <c r="W37" s="9">
        <v>2.5000000000000001E-3</v>
      </c>
      <c r="X37" s="9">
        <v>1.6000000000000001E-3</v>
      </c>
      <c r="Y37" s="9">
        <v>8.9999999999999998E-4</v>
      </c>
      <c r="Z37" s="9">
        <v>3.5000000000000001E-3</v>
      </c>
      <c r="AA37" s="9">
        <v>1.6000000000000001E-3</v>
      </c>
      <c r="AB37" s="9"/>
      <c r="AC37" s="9"/>
      <c r="AD37" s="9">
        <v>8.9999999999999998E-4</v>
      </c>
    </row>
    <row r="38" spans="1:30" x14ac:dyDescent="0.3">
      <c r="B38" s="5">
        <v>202505</v>
      </c>
      <c r="C38" s="5"/>
      <c r="D38" s="9">
        <v>2.5999999999999999E-3</v>
      </c>
      <c r="E38" s="9">
        <v>4.1000000000000003E-3</v>
      </c>
      <c r="F38" s="9">
        <v>2.5000000000000001E-3</v>
      </c>
      <c r="G38" s="9">
        <v>5.3E-3</v>
      </c>
      <c r="H38" s="9">
        <v>4.7000000000000002E-3</v>
      </c>
      <c r="I38" s="9">
        <v>2.7000000000000001E-3</v>
      </c>
      <c r="J38" s="9">
        <v>1.6000000000000001E-3</v>
      </c>
      <c r="K38" s="9">
        <v>3.0000000000000001E-3</v>
      </c>
      <c r="L38" s="9">
        <v>2.8E-3</v>
      </c>
      <c r="M38" s="9">
        <v>2.5000000000000001E-3</v>
      </c>
      <c r="N38" s="9">
        <v>2.7000000000000001E-3</v>
      </c>
      <c r="O38" s="9">
        <v>4.5999999999999999E-3</v>
      </c>
      <c r="P38" s="9">
        <v>4.1000000000000003E-3</v>
      </c>
      <c r="Q38" s="9">
        <v>4.1000000000000003E-3</v>
      </c>
      <c r="R38" s="9">
        <v>1.6999999999999999E-3</v>
      </c>
      <c r="S38" s="9"/>
      <c r="T38" s="9">
        <v>2.3E-3</v>
      </c>
      <c r="U38" s="9">
        <v>2.2000000000000001E-3</v>
      </c>
      <c r="V38" s="9">
        <v>4.4000000000000003E-3</v>
      </c>
      <c r="W38" s="9">
        <v>2.3E-3</v>
      </c>
      <c r="X38" s="9">
        <v>1.6000000000000001E-3</v>
      </c>
      <c r="Y38" s="9">
        <v>8.9999999999999998E-4</v>
      </c>
      <c r="Z38" s="9">
        <v>3.0999999999999999E-3</v>
      </c>
      <c r="AA38" s="9">
        <v>1.5E-3</v>
      </c>
      <c r="AB38" s="9"/>
      <c r="AC38" s="9"/>
      <c r="AD38" s="9">
        <v>8.9999999999999998E-4</v>
      </c>
    </row>
    <row r="39" spans="1:30" x14ac:dyDescent="0.3">
      <c r="B39" s="5">
        <v>202506</v>
      </c>
      <c r="C39" s="5"/>
      <c r="D39" s="9">
        <v>1.9E-3</v>
      </c>
      <c r="E39" s="9">
        <v>4.4999999999999997E-3</v>
      </c>
      <c r="F39" s="9">
        <v>1.6999999999999999E-3</v>
      </c>
      <c r="G39" s="9">
        <v>5.8999999999999999E-3</v>
      </c>
      <c r="H39" s="9">
        <v>5.4000000000000003E-3</v>
      </c>
      <c r="I39" s="9">
        <v>4.4999999999999997E-3</v>
      </c>
      <c r="J39" s="9">
        <v>2.5000000000000001E-3</v>
      </c>
      <c r="K39" s="9">
        <v>3.0000000000000001E-3</v>
      </c>
      <c r="L39" s="9">
        <v>1.2999999999999999E-3</v>
      </c>
      <c r="M39" s="9">
        <v>3.7000000000000002E-3</v>
      </c>
      <c r="N39" s="9">
        <v>2.5000000000000001E-3</v>
      </c>
      <c r="O39" s="9">
        <v>4.0000000000000001E-3</v>
      </c>
      <c r="P39" s="9">
        <v>2.7000000000000001E-3</v>
      </c>
      <c r="Q39" s="9">
        <v>3.8E-3</v>
      </c>
      <c r="R39" s="9">
        <v>1.5E-3</v>
      </c>
      <c r="S39" s="9"/>
      <c r="T39" s="9">
        <v>1.6999999999999999E-3</v>
      </c>
      <c r="U39" s="9">
        <v>3.0000000000000001E-3</v>
      </c>
      <c r="V39" s="9">
        <v>3.5999999999999999E-3</v>
      </c>
      <c r="W39" s="9">
        <v>1.8E-3</v>
      </c>
      <c r="X39" s="9">
        <v>8.9999999999999998E-4</v>
      </c>
      <c r="Y39" s="9">
        <v>5.9999999999999995E-4</v>
      </c>
      <c r="Z39" s="9">
        <v>1.6999999999999999E-3</v>
      </c>
      <c r="AA39" s="9">
        <v>1E-3</v>
      </c>
      <c r="AB39" s="9">
        <v>0</v>
      </c>
      <c r="AC39" s="9">
        <v>0</v>
      </c>
      <c r="AD39" s="9">
        <v>5.0000000000000001E-4</v>
      </c>
    </row>
    <row r="40" spans="1:30" x14ac:dyDescent="0.3">
      <c r="B40" s="5">
        <v>202507</v>
      </c>
      <c r="C40" s="5"/>
      <c r="D40" s="9">
        <v>2.3999999999999998E-3</v>
      </c>
      <c r="E40" s="9">
        <v>4.5999999999999999E-3</v>
      </c>
      <c r="F40" s="9">
        <v>2.2000000000000001E-3</v>
      </c>
      <c r="G40" s="9">
        <v>5.7999999999999996E-3</v>
      </c>
      <c r="H40" s="9">
        <v>4.3E-3</v>
      </c>
      <c r="I40" s="9">
        <v>4.4999999999999997E-3</v>
      </c>
      <c r="J40" s="9">
        <v>2.5000000000000001E-3</v>
      </c>
      <c r="K40" s="9">
        <v>5.1000000000000004E-3</v>
      </c>
      <c r="L40" s="9">
        <v>3.8E-3</v>
      </c>
      <c r="M40" s="9">
        <v>8.0999999999999996E-3</v>
      </c>
      <c r="N40" s="9">
        <v>2.8E-3</v>
      </c>
      <c r="O40" s="9">
        <v>4.4999999999999997E-3</v>
      </c>
      <c r="P40" s="9">
        <v>2E-3</v>
      </c>
      <c r="Q40" s="9">
        <v>4.8999999999999998E-3</v>
      </c>
      <c r="R40" s="9">
        <v>1.4E-3</v>
      </c>
      <c r="S40" s="9"/>
      <c r="T40" s="9">
        <v>1.9E-3</v>
      </c>
      <c r="U40" s="9">
        <v>4.3E-3</v>
      </c>
      <c r="V40" s="9">
        <v>4.1999999999999997E-3</v>
      </c>
      <c r="W40" s="9">
        <v>4.4000000000000003E-3</v>
      </c>
      <c r="X40" s="9">
        <v>1.1000000000000001E-3</v>
      </c>
      <c r="Y40" s="9">
        <v>5.0000000000000001E-4</v>
      </c>
      <c r="Z40" s="9">
        <v>2.0999999999999999E-3</v>
      </c>
      <c r="AA40" s="9">
        <v>1.1999999999999999E-3</v>
      </c>
      <c r="AB40" s="9">
        <v>8.9999999999999998E-4</v>
      </c>
      <c r="AC40" s="9">
        <v>8.0000000000000004E-4</v>
      </c>
      <c r="AD40" s="9">
        <v>6.9999999999999999E-4</v>
      </c>
    </row>
    <row r="41" spans="1:30" x14ac:dyDescent="0.3">
      <c r="B41" s="5">
        <v>202508</v>
      </c>
      <c r="C41" s="5"/>
      <c r="D41" s="9">
        <v>2E-3</v>
      </c>
      <c r="E41" s="9">
        <v>4.4000000000000003E-3</v>
      </c>
      <c r="F41" s="9">
        <v>1.8E-3</v>
      </c>
      <c r="G41" s="9">
        <v>6.6E-3</v>
      </c>
      <c r="H41" s="9">
        <v>3.8E-3</v>
      </c>
      <c r="I41" s="9">
        <v>2.7000000000000001E-3</v>
      </c>
      <c r="J41" s="9">
        <v>3.2000000000000002E-3</v>
      </c>
      <c r="K41" s="9">
        <v>4.1999999999999997E-3</v>
      </c>
      <c r="L41" s="9">
        <v>2.0999999999999999E-3</v>
      </c>
      <c r="M41" s="9">
        <v>2.5999999999999999E-3</v>
      </c>
      <c r="N41" s="9">
        <v>2.8999999999999998E-3</v>
      </c>
      <c r="O41" s="9">
        <v>5.1999999999999998E-3</v>
      </c>
      <c r="P41" s="9">
        <v>1.9E-3</v>
      </c>
      <c r="Q41" s="9">
        <v>2.3999999999999998E-3</v>
      </c>
      <c r="R41" s="9">
        <v>1.2999999999999999E-3</v>
      </c>
      <c r="S41" s="9"/>
      <c r="T41" s="9">
        <v>1.9E-3</v>
      </c>
      <c r="U41" s="9">
        <v>3.0999999999999999E-3</v>
      </c>
      <c r="V41" s="9">
        <v>3.2000000000000002E-3</v>
      </c>
      <c r="W41" s="9">
        <v>2.3E-3</v>
      </c>
      <c r="X41" s="9">
        <v>1.1000000000000001E-3</v>
      </c>
      <c r="Y41" s="9">
        <v>5.0000000000000001E-4</v>
      </c>
      <c r="Z41" s="9">
        <v>2.8E-3</v>
      </c>
      <c r="AA41" s="9">
        <v>1.2999999999999999E-3</v>
      </c>
      <c r="AB41" s="9">
        <v>1.1999999999999999E-3</v>
      </c>
      <c r="AC41" s="9">
        <v>6.9999999999999999E-4</v>
      </c>
      <c r="AD41" s="9">
        <v>5.9999999999999995E-4</v>
      </c>
    </row>
    <row r="42" spans="1:30" x14ac:dyDescent="0.3">
      <c r="B42" s="5">
        <v>202509</v>
      </c>
      <c r="C42" s="5"/>
      <c r="D42" s="9">
        <v>3.0000000000000001E-3</v>
      </c>
      <c r="E42" s="9">
        <v>8.8000000000000005E-3</v>
      </c>
      <c r="F42" s="9">
        <v>2.5000000000000001E-3</v>
      </c>
      <c r="G42" s="9">
        <v>1.7299999999999999E-2</v>
      </c>
      <c r="H42" s="9">
        <v>5.7000000000000002E-3</v>
      </c>
      <c r="I42" s="9">
        <v>9.1999999999999998E-3</v>
      </c>
      <c r="J42" s="9">
        <v>5.1000000000000004E-3</v>
      </c>
      <c r="K42" s="9">
        <v>4.4000000000000003E-3</v>
      </c>
      <c r="L42" s="9">
        <v>3.8999999999999998E-3</v>
      </c>
      <c r="M42" s="9">
        <v>2.0999999999999999E-3</v>
      </c>
      <c r="N42" s="9">
        <v>5.1999999999999998E-3</v>
      </c>
      <c r="O42" s="9">
        <v>5.0000000000000001E-3</v>
      </c>
      <c r="P42" s="9">
        <v>2.7000000000000001E-3</v>
      </c>
      <c r="Q42" s="9">
        <v>4.8999999999999998E-3</v>
      </c>
      <c r="R42" s="9">
        <v>2E-3</v>
      </c>
      <c r="S42" s="9"/>
      <c r="T42" s="9">
        <v>2.5000000000000001E-3</v>
      </c>
      <c r="U42" s="9">
        <v>3.0999999999999999E-3</v>
      </c>
      <c r="V42" s="9">
        <v>4.5999999999999999E-3</v>
      </c>
      <c r="W42" s="9">
        <v>2.8E-3</v>
      </c>
      <c r="X42" s="9">
        <v>1.6999999999999999E-3</v>
      </c>
      <c r="Y42" s="9">
        <v>1E-3</v>
      </c>
      <c r="Z42" s="9">
        <v>3.5999999999999999E-3</v>
      </c>
      <c r="AA42" s="9">
        <v>1.6000000000000001E-3</v>
      </c>
      <c r="AB42" s="9">
        <v>2.3E-3</v>
      </c>
      <c r="AC42" s="9">
        <v>1.1999999999999999E-3</v>
      </c>
      <c r="AD42" s="9">
        <v>1.1999999999999999E-3</v>
      </c>
    </row>
    <row r="43" spans="1:30" x14ac:dyDescent="0.3">
      <c r="B43" s="5">
        <v>202510</v>
      </c>
      <c r="C43" s="5"/>
      <c r="D43" s="9">
        <v>2.8E-3</v>
      </c>
      <c r="E43" s="9">
        <v>8.0000000000000002E-3</v>
      </c>
      <c r="F43" s="9">
        <v>2.3999999999999998E-3</v>
      </c>
      <c r="G43" s="9">
        <v>1.47E-2</v>
      </c>
      <c r="H43" s="9">
        <v>7.1000000000000004E-3</v>
      </c>
      <c r="I43" s="9">
        <v>1.12E-2</v>
      </c>
      <c r="J43" s="9">
        <v>2.8E-3</v>
      </c>
      <c r="K43" s="9">
        <v>2.0999999999999999E-3</v>
      </c>
      <c r="L43" s="9">
        <v>3.0000000000000001E-3</v>
      </c>
      <c r="M43" s="9">
        <v>2.5000000000000001E-3</v>
      </c>
      <c r="N43" s="9">
        <v>3.3999999999999998E-3</v>
      </c>
      <c r="O43" s="9">
        <v>5.5999999999999999E-3</v>
      </c>
      <c r="P43" s="9">
        <v>2.8999999999999998E-3</v>
      </c>
      <c r="Q43" s="9">
        <v>4.1999999999999997E-3</v>
      </c>
      <c r="R43" s="9">
        <v>2.3E-3</v>
      </c>
      <c r="S43" s="9"/>
      <c r="T43" s="9">
        <v>2.5000000000000001E-3</v>
      </c>
      <c r="U43" s="9">
        <v>2.5999999999999999E-3</v>
      </c>
      <c r="V43" s="9">
        <v>3.3999999999999998E-3</v>
      </c>
      <c r="W43" s="9">
        <v>2.5000000000000001E-3</v>
      </c>
      <c r="X43" s="9">
        <v>2E-3</v>
      </c>
      <c r="Y43" s="9">
        <v>1E-3</v>
      </c>
      <c r="Z43" s="9">
        <v>3.5000000000000001E-3</v>
      </c>
      <c r="AA43" s="9">
        <v>1.6999999999999999E-3</v>
      </c>
      <c r="AB43" s="9">
        <v>1.6999999999999999E-3</v>
      </c>
      <c r="AC43" s="9">
        <v>1.6000000000000001E-3</v>
      </c>
      <c r="AD43" s="9">
        <v>1.2999999999999999E-3</v>
      </c>
    </row>
    <row r="44" spans="1:30" x14ac:dyDescent="0.3">
      <c r="B44" s="5">
        <v>202511</v>
      </c>
      <c r="C44" s="5"/>
      <c r="D44" s="9">
        <v>2.3E-3</v>
      </c>
      <c r="E44" s="9">
        <v>3.5999999999999999E-3</v>
      </c>
      <c r="F44" s="9">
        <v>2.2000000000000001E-3</v>
      </c>
      <c r="G44" s="9">
        <v>5.0000000000000001E-3</v>
      </c>
      <c r="H44" s="9">
        <v>4.1000000000000003E-3</v>
      </c>
      <c r="I44" s="9">
        <v>6.6E-3</v>
      </c>
      <c r="J44" s="9">
        <v>1.9E-3</v>
      </c>
      <c r="K44" s="9">
        <v>2.0999999999999999E-3</v>
      </c>
      <c r="L44" s="9">
        <v>1.2999999999999999E-3</v>
      </c>
      <c r="M44" s="9">
        <v>2E-3</v>
      </c>
      <c r="N44" s="9">
        <v>2.5999999999999999E-3</v>
      </c>
      <c r="O44" s="9">
        <v>3.5000000000000001E-3</v>
      </c>
      <c r="P44" s="9">
        <v>2.5000000000000001E-3</v>
      </c>
      <c r="Q44" s="9">
        <v>3.5000000000000001E-3</v>
      </c>
      <c r="R44" s="9">
        <v>2.3E-3</v>
      </c>
      <c r="S44" s="9"/>
      <c r="T44" s="9">
        <v>3.0000000000000001E-3</v>
      </c>
      <c r="U44" s="9">
        <v>2.3E-3</v>
      </c>
      <c r="V44" s="9">
        <v>3.0999999999999999E-3</v>
      </c>
      <c r="W44" s="9">
        <v>2.8E-3</v>
      </c>
      <c r="X44" s="9">
        <v>1.9E-3</v>
      </c>
      <c r="Y44" s="9">
        <v>8.9999999999999998E-4</v>
      </c>
      <c r="Z44" s="9">
        <v>3.5000000000000001E-3</v>
      </c>
      <c r="AA44" s="9">
        <v>1.5E-3</v>
      </c>
      <c r="AB44" s="9">
        <v>1.1000000000000001E-3</v>
      </c>
      <c r="AC44" s="9">
        <v>1.1999999999999999E-3</v>
      </c>
      <c r="AD44" s="9">
        <v>1.4E-3</v>
      </c>
    </row>
    <row r="45" spans="1:30" x14ac:dyDescent="0.3">
      <c r="B45" s="5">
        <v>202512</v>
      </c>
      <c r="C45" s="5"/>
      <c r="D45" s="9">
        <v>2.5000000000000001E-3</v>
      </c>
      <c r="E45" s="9">
        <v>3.0999999999999999E-3</v>
      </c>
      <c r="F45" s="9">
        <v>2.3999999999999998E-3</v>
      </c>
      <c r="G45" s="9">
        <v>3.3999999999999998E-3</v>
      </c>
      <c r="H45" s="9">
        <v>3.2000000000000002E-3</v>
      </c>
      <c r="I45" s="9">
        <v>4.7000000000000002E-3</v>
      </c>
      <c r="J45" s="9">
        <v>8.9999999999999998E-4</v>
      </c>
      <c r="K45" s="9">
        <v>4.1999999999999997E-3</v>
      </c>
      <c r="L45" s="9">
        <v>2.5999999999999999E-3</v>
      </c>
      <c r="M45" s="9">
        <v>1.9E-3</v>
      </c>
      <c r="N45" s="9">
        <v>3.2000000000000002E-3</v>
      </c>
      <c r="O45" s="9">
        <v>4.4000000000000003E-3</v>
      </c>
      <c r="P45" s="9">
        <v>3.7000000000000002E-3</v>
      </c>
      <c r="Q45" s="9">
        <v>3.2000000000000002E-3</v>
      </c>
      <c r="R45" s="9">
        <v>2.5999999999999999E-3</v>
      </c>
      <c r="S45" s="9"/>
      <c r="T45" s="9">
        <v>3.3999999999999998E-3</v>
      </c>
      <c r="U45" s="9">
        <v>2.5000000000000001E-3</v>
      </c>
      <c r="V45" s="9">
        <v>3.0999999999999999E-3</v>
      </c>
      <c r="W45" s="9">
        <v>3.2000000000000002E-3</v>
      </c>
      <c r="X45" s="9">
        <v>1.5E-3</v>
      </c>
      <c r="Y45" s="9">
        <v>8.0000000000000004E-4</v>
      </c>
      <c r="Z45" s="9">
        <v>3.8999999999999998E-3</v>
      </c>
      <c r="AA45" s="9">
        <v>3.5999999999999999E-3</v>
      </c>
      <c r="AB45" s="9">
        <v>1.1000000000000001E-3</v>
      </c>
      <c r="AC45" s="9">
        <v>1E-3</v>
      </c>
      <c r="AD45" s="9">
        <v>8.9999999999999998E-4</v>
      </c>
    </row>
    <row r="46" spans="1:30" x14ac:dyDescent="0.3">
      <c r="B46" s="5">
        <v>202513</v>
      </c>
      <c r="C46" s="5"/>
      <c r="D46" s="9">
        <v>2.5000000000000001E-3</v>
      </c>
      <c r="E46" s="9">
        <v>3.0000000000000001E-3</v>
      </c>
      <c r="F46" s="9">
        <v>2.5000000000000001E-3</v>
      </c>
      <c r="G46" s="9">
        <v>3.0000000000000001E-3</v>
      </c>
      <c r="H46" s="9">
        <v>2.8999999999999998E-3</v>
      </c>
      <c r="I46" s="9">
        <v>4.7000000000000002E-3</v>
      </c>
      <c r="J46" s="9">
        <v>2.5999999999999999E-3</v>
      </c>
      <c r="K46" s="9">
        <v>4.4999999999999997E-3</v>
      </c>
      <c r="L46" s="9">
        <v>1.6999999999999999E-3</v>
      </c>
      <c r="M46" s="9">
        <v>2E-3</v>
      </c>
      <c r="N46" s="9">
        <v>3.5999999999999999E-3</v>
      </c>
      <c r="O46" s="9">
        <v>5.3E-3</v>
      </c>
      <c r="P46" s="9">
        <v>2.5000000000000001E-3</v>
      </c>
      <c r="Q46" s="9">
        <v>3.8E-3</v>
      </c>
      <c r="R46" s="9">
        <v>3.0000000000000001E-3</v>
      </c>
      <c r="S46" s="9"/>
      <c r="T46" s="9">
        <v>3.5999999999999999E-3</v>
      </c>
      <c r="U46" s="9">
        <v>2.5000000000000001E-3</v>
      </c>
      <c r="V46" s="9">
        <v>3.5000000000000001E-3</v>
      </c>
      <c r="W46" s="9">
        <v>3.0999999999999999E-3</v>
      </c>
      <c r="X46" s="9">
        <v>2E-3</v>
      </c>
      <c r="Y46" s="9">
        <v>1.1000000000000001E-3</v>
      </c>
      <c r="Z46" s="9">
        <v>3.7000000000000002E-3</v>
      </c>
      <c r="AA46" s="9">
        <v>1.8E-3</v>
      </c>
      <c r="AB46" s="9">
        <v>1.6999999999999999E-3</v>
      </c>
      <c r="AC46" s="9">
        <v>8.9999999999999998E-4</v>
      </c>
      <c r="AD46" s="9">
        <v>1E-3</v>
      </c>
    </row>
    <row r="47" spans="1:30" x14ac:dyDescent="0.3">
      <c r="B47" s="5">
        <v>202514</v>
      </c>
      <c r="C47" s="5"/>
      <c r="D47" s="9">
        <v>2.5999999999999999E-3</v>
      </c>
      <c r="E47" s="9">
        <v>4.1999999999999997E-3</v>
      </c>
      <c r="F47" s="9">
        <v>2.5000000000000001E-3</v>
      </c>
      <c r="G47" s="9">
        <v>4.8999999999999998E-3</v>
      </c>
      <c r="H47" s="9">
        <v>3.2000000000000002E-3</v>
      </c>
      <c r="I47" s="9">
        <v>2.8E-3</v>
      </c>
      <c r="J47" s="9">
        <v>6.1000000000000004E-3</v>
      </c>
      <c r="K47" s="9">
        <v>7.1000000000000004E-3</v>
      </c>
      <c r="L47" s="9">
        <v>8.9999999999999998E-4</v>
      </c>
      <c r="M47" s="9">
        <v>2.0999999999999999E-3</v>
      </c>
      <c r="N47" s="9">
        <v>3.7000000000000002E-3</v>
      </c>
      <c r="O47" s="9">
        <v>3.8999999999999998E-3</v>
      </c>
      <c r="P47" s="9">
        <v>2.5000000000000001E-3</v>
      </c>
      <c r="Q47" s="9">
        <v>-1</v>
      </c>
      <c r="R47" s="9">
        <v>2.8E-3</v>
      </c>
      <c r="S47" s="9"/>
      <c r="T47" s="9">
        <v>3.5999999999999999E-3</v>
      </c>
      <c r="U47" s="9">
        <v>2.0999999999999999E-3</v>
      </c>
      <c r="V47" s="9">
        <v>3.2000000000000002E-3</v>
      </c>
      <c r="W47" s="9">
        <v>3.2000000000000002E-3</v>
      </c>
      <c r="X47" s="9">
        <v>2.3999999999999998E-3</v>
      </c>
      <c r="Y47" s="9">
        <v>1.1999999999999999E-3</v>
      </c>
      <c r="Z47" s="9">
        <v>4.7999999999999996E-3</v>
      </c>
      <c r="AA47" s="9">
        <v>1.6999999999999999E-3</v>
      </c>
      <c r="AB47" s="9">
        <v>1.6999999999999999E-3</v>
      </c>
      <c r="AC47" s="9">
        <v>1.1000000000000001E-3</v>
      </c>
      <c r="AD47" s="9">
        <v>1.1000000000000001E-3</v>
      </c>
    </row>
    <row r="48" spans="1:30" x14ac:dyDescent="0.3">
      <c r="B48" s="5">
        <v>202515</v>
      </c>
      <c r="C48" s="5"/>
      <c r="D48" s="9">
        <v>2.5000000000000001E-3</v>
      </c>
      <c r="E48" s="9">
        <v>3.3E-3</v>
      </c>
      <c r="F48" s="9">
        <v>2.3999999999999998E-3</v>
      </c>
      <c r="G48" s="9">
        <v>5.1000000000000004E-3</v>
      </c>
      <c r="H48" s="9">
        <v>2.8E-3</v>
      </c>
      <c r="I48" s="9">
        <v>1.9E-3</v>
      </c>
      <c r="J48" s="9">
        <v>2.3999999999999998E-3</v>
      </c>
      <c r="K48" s="9">
        <v>3.0999999999999999E-3</v>
      </c>
      <c r="L48" s="9">
        <v>1.5E-3</v>
      </c>
      <c r="M48" s="9">
        <v>1.8E-3</v>
      </c>
      <c r="N48" s="9"/>
      <c r="O48" s="9">
        <v>5.3E-3</v>
      </c>
      <c r="P48" s="9">
        <v>2.5000000000000001E-3</v>
      </c>
      <c r="Q48" s="9"/>
      <c r="R48" s="9">
        <v>2.5000000000000001E-3</v>
      </c>
      <c r="S48" s="9"/>
      <c r="T48" s="9">
        <v>3.7000000000000002E-3</v>
      </c>
      <c r="U48" s="9">
        <v>2.5999999999999999E-3</v>
      </c>
      <c r="V48" s="9">
        <v>2.8999999999999998E-3</v>
      </c>
      <c r="W48" s="9">
        <v>3.5999999999999999E-3</v>
      </c>
      <c r="X48" s="9">
        <v>2.5999999999999999E-3</v>
      </c>
      <c r="Y48" s="9">
        <v>8.0000000000000004E-4</v>
      </c>
      <c r="Z48" s="9">
        <v>3.7000000000000002E-3</v>
      </c>
      <c r="AA48" s="9">
        <v>1.9E-3</v>
      </c>
      <c r="AB48" s="9">
        <v>1.4E-3</v>
      </c>
      <c r="AC48" s="9">
        <v>8.9999999999999998E-4</v>
      </c>
      <c r="AD48" s="9">
        <v>1.4E-3</v>
      </c>
    </row>
    <row r="49" spans="2:30" x14ac:dyDescent="0.3">
      <c r="B49" s="5">
        <v>202516</v>
      </c>
      <c r="C49" s="5"/>
      <c r="D49" s="9">
        <v>2.7000000000000001E-3</v>
      </c>
      <c r="E49" s="9">
        <v>2.8E-3</v>
      </c>
      <c r="F49" s="9">
        <v>2.5999999999999999E-3</v>
      </c>
      <c r="G49" s="9">
        <v>3.8999999999999998E-3</v>
      </c>
      <c r="H49" s="9">
        <v>2.5000000000000001E-3</v>
      </c>
      <c r="I49" s="9">
        <v>2.8999999999999998E-3</v>
      </c>
      <c r="J49" s="9">
        <v>1.9E-3</v>
      </c>
      <c r="K49" s="9">
        <v>2.2000000000000001E-3</v>
      </c>
      <c r="L49" s="9">
        <v>2.5999999999999999E-3</v>
      </c>
      <c r="M49" s="9">
        <v>1.9E-3</v>
      </c>
      <c r="N49" s="9"/>
      <c r="O49" s="9">
        <v>5.0000000000000001E-3</v>
      </c>
      <c r="P49" s="9">
        <v>2.5000000000000001E-3</v>
      </c>
      <c r="Q49" s="9"/>
      <c r="R49" s="9">
        <v>2.8E-3</v>
      </c>
      <c r="S49" s="9"/>
      <c r="T49" s="9">
        <v>4.0000000000000001E-3</v>
      </c>
      <c r="U49" s="9">
        <v>2.3E-3</v>
      </c>
      <c r="V49" s="9">
        <v>3.0999999999999999E-3</v>
      </c>
      <c r="W49" s="9">
        <v>3.5999999999999999E-3</v>
      </c>
      <c r="X49" s="9">
        <v>3.3999999999999998E-3</v>
      </c>
      <c r="Y49" s="9">
        <v>1.1999999999999999E-3</v>
      </c>
      <c r="Z49" s="9">
        <v>4.3E-3</v>
      </c>
      <c r="AA49" s="9">
        <v>2.2000000000000001E-3</v>
      </c>
      <c r="AB49" s="9">
        <v>1.6000000000000001E-3</v>
      </c>
      <c r="AC49" s="9">
        <v>1.2999999999999999E-3</v>
      </c>
      <c r="AD49" s="9">
        <v>1.2999999999999999E-3</v>
      </c>
    </row>
    <row r="50" spans="2:30" x14ac:dyDescent="0.3">
      <c r="B50" s="5">
        <v>202517</v>
      </c>
      <c r="C50" s="5"/>
      <c r="D50" s="9">
        <v>2.8E-3</v>
      </c>
      <c r="E50" s="9">
        <v>2.5999999999999999E-3</v>
      </c>
      <c r="F50" s="9">
        <v>2.8E-3</v>
      </c>
      <c r="G50" s="9">
        <v>2.8E-3</v>
      </c>
      <c r="H50" s="9">
        <v>2.8999999999999998E-3</v>
      </c>
      <c r="I50" s="9">
        <v>3.8E-3</v>
      </c>
      <c r="J50" s="9">
        <v>1.4E-3</v>
      </c>
      <c r="K50" s="9">
        <v>2.3999999999999998E-3</v>
      </c>
      <c r="L50" s="9">
        <v>1.6999999999999999E-3</v>
      </c>
      <c r="M50" s="9">
        <v>1.2999999999999999E-3</v>
      </c>
      <c r="N50" s="9"/>
      <c r="O50" s="9">
        <v>8.2000000000000007E-3</v>
      </c>
      <c r="P50" s="9">
        <v>3.0999999999999999E-3</v>
      </c>
      <c r="Q50" s="9"/>
      <c r="R50" s="9">
        <v>2.8E-3</v>
      </c>
      <c r="S50" s="9"/>
      <c r="T50" s="9">
        <v>3.8999999999999998E-3</v>
      </c>
      <c r="U50" s="9">
        <v>2.8999999999999998E-3</v>
      </c>
      <c r="V50" s="9">
        <v>3.5999999999999999E-3</v>
      </c>
      <c r="W50" s="9">
        <v>2.7000000000000001E-3</v>
      </c>
      <c r="X50" s="9">
        <v>3.3E-3</v>
      </c>
      <c r="Y50" s="9">
        <v>8.9999999999999998E-4</v>
      </c>
      <c r="Z50" s="9">
        <v>4.1999999999999997E-3</v>
      </c>
      <c r="AA50" s="9">
        <v>2E-3</v>
      </c>
      <c r="AB50" s="9">
        <v>2.2000000000000001E-3</v>
      </c>
      <c r="AC50" s="9">
        <v>8.9999999999999998E-4</v>
      </c>
      <c r="AD50" s="9">
        <v>1.2999999999999999E-3</v>
      </c>
    </row>
    <row r="51" spans="2:30" x14ac:dyDescent="0.3">
      <c r="B51" s="5">
        <v>202518</v>
      </c>
      <c r="C51" s="5"/>
      <c r="D51" s="9">
        <v>3.7000000000000002E-3</v>
      </c>
      <c r="E51" s="9">
        <v>2.5999999999999999E-3</v>
      </c>
      <c r="F51" s="9">
        <v>3.7000000000000002E-3</v>
      </c>
      <c r="G51" s="9">
        <v>3.0999999999999999E-3</v>
      </c>
      <c r="H51" s="9">
        <v>2.2000000000000001E-3</v>
      </c>
      <c r="I51" s="9">
        <v>8.6999999999999994E-3</v>
      </c>
      <c r="J51" s="9">
        <v>2.5999999999999999E-3</v>
      </c>
      <c r="K51" s="9">
        <v>2.3999999999999998E-3</v>
      </c>
      <c r="L51" s="9">
        <v>1.6999999999999999E-3</v>
      </c>
      <c r="M51" s="9">
        <v>1.4E-3</v>
      </c>
      <c r="N51" s="9"/>
      <c r="O51" s="9">
        <v>4.8999999999999998E-3</v>
      </c>
      <c r="P51" s="9">
        <v>4.1999999999999997E-3</v>
      </c>
      <c r="Q51" s="9"/>
      <c r="R51" s="9">
        <v>3.0000000000000001E-3</v>
      </c>
      <c r="S51" s="9"/>
      <c r="T51" s="9">
        <v>4.1999999999999997E-3</v>
      </c>
      <c r="U51" s="9">
        <v>2.0999999999999999E-3</v>
      </c>
      <c r="V51" s="9">
        <v>3.3E-3</v>
      </c>
      <c r="W51" s="9">
        <v>3.7000000000000002E-3</v>
      </c>
      <c r="X51" s="9">
        <v>4.1999999999999997E-3</v>
      </c>
      <c r="Y51" s="9">
        <v>9.1999999999999998E-3</v>
      </c>
      <c r="Z51" s="9">
        <v>9.4000000000000004E-3</v>
      </c>
      <c r="AA51" s="9">
        <v>1.9E-3</v>
      </c>
      <c r="AB51" s="9">
        <v>1.8E-3</v>
      </c>
      <c r="AC51" s="9">
        <v>1.6000000000000001E-3</v>
      </c>
      <c r="AD51" s="9">
        <v>1.8E-3</v>
      </c>
    </row>
    <row r="52" spans="2:30" x14ac:dyDescent="0.3">
      <c r="B52" s="5">
        <v>202519</v>
      </c>
      <c r="C52" s="5"/>
      <c r="D52" s="9">
        <v>2.8999999999999998E-3</v>
      </c>
      <c r="E52" s="9">
        <v>2.3E-3</v>
      </c>
      <c r="F52" s="9">
        <v>2.8999999999999998E-3</v>
      </c>
      <c r="G52" s="9">
        <v>2.5000000000000001E-3</v>
      </c>
      <c r="H52" s="9">
        <v>2.0999999999999999E-3</v>
      </c>
      <c r="I52" s="9">
        <v>1E-3</v>
      </c>
      <c r="J52" s="9">
        <v>2.0999999999999999E-3</v>
      </c>
      <c r="K52" s="9">
        <v>4.3E-3</v>
      </c>
      <c r="L52" s="9">
        <v>1.2999999999999999E-3</v>
      </c>
      <c r="M52" s="9">
        <v>1.6999999999999999E-3</v>
      </c>
      <c r="N52" s="9"/>
      <c r="O52" s="9">
        <v>5.1999999999999998E-3</v>
      </c>
      <c r="P52" s="9">
        <v>3.2000000000000002E-3</v>
      </c>
      <c r="Q52" s="9"/>
      <c r="R52" s="9">
        <v>2.5999999999999999E-3</v>
      </c>
      <c r="S52" s="9">
        <v>1.1999999999999999E-3</v>
      </c>
      <c r="T52" s="9">
        <v>3.8999999999999998E-3</v>
      </c>
      <c r="U52" s="9">
        <v>3.3999999999999998E-3</v>
      </c>
      <c r="V52" s="9">
        <v>4.1000000000000003E-3</v>
      </c>
      <c r="W52" s="9">
        <v>3.5000000000000001E-3</v>
      </c>
      <c r="X52" s="9">
        <v>4.4999999999999997E-3</v>
      </c>
      <c r="Y52" s="9">
        <v>2E-3</v>
      </c>
      <c r="Z52" s="9">
        <v>4.8999999999999998E-3</v>
      </c>
      <c r="AA52" s="9">
        <v>3.0000000000000001E-3</v>
      </c>
      <c r="AB52" s="9">
        <v>1.9E-3</v>
      </c>
      <c r="AC52" s="9">
        <v>1E-3</v>
      </c>
      <c r="AD52" s="9">
        <v>2E-3</v>
      </c>
    </row>
    <row r="53" spans="2:30" x14ac:dyDescent="0.3">
      <c r="B53" s="5">
        <v>202520</v>
      </c>
      <c r="C53" s="5"/>
      <c r="D53" s="9">
        <v>2.7000000000000001E-3</v>
      </c>
      <c r="E53" s="9">
        <v>2.2000000000000001E-3</v>
      </c>
      <c r="F53" s="9">
        <v>2.7000000000000001E-3</v>
      </c>
      <c r="G53" s="9">
        <v>2.8E-3</v>
      </c>
      <c r="H53" s="9">
        <v>1.8E-3</v>
      </c>
      <c r="I53" s="9">
        <v>2.8999999999999998E-3</v>
      </c>
      <c r="J53" s="9">
        <v>2.0999999999999999E-3</v>
      </c>
      <c r="K53" s="9">
        <v>3.3999999999999998E-3</v>
      </c>
      <c r="L53" s="9">
        <v>8.9999999999999998E-4</v>
      </c>
      <c r="M53" s="9">
        <v>3.5000000000000001E-3</v>
      </c>
      <c r="N53" s="9">
        <v>6.9999999999999999E-4</v>
      </c>
      <c r="O53" s="9">
        <v>4.4000000000000003E-3</v>
      </c>
      <c r="P53" s="9">
        <v>3.5999999999999999E-3</v>
      </c>
      <c r="Q53" s="9"/>
      <c r="R53" s="9">
        <v>2.7000000000000001E-3</v>
      </c>
      <c r="S53" s="9">
        <v>1.1999999999999999E-3</v>
      </c>
      <c r="T53" s="9">
        <v>3.8E-3</v>
      </c>
      <c r="U53" s="9">
        <v>2.8E-3</v>
      </c>
      <c r="V53" s="9">
        <v>4.0000000000000001E-3</v>
      </c>
      <c r="W53" s="9">
        <v>2.3E-3</v>
      </c>
      <c r="X53" s="9">
        <v>4.3E-3</v>
      </c>
      <c r="Y53" s="9">
        <v>1.1999999999999999E-3</v>
      </c>
      <c r="Z53" s="9">
        <v>4.0000000000000001E-3</v>
      </c>
      <c r="AA53" s="9">
        <v>2.5000000000000001E-3</v>
      </c>
      <c r="AB53" s="9">
        <v>1.9E-3</v>
      </c>
      <c r="AC53" s="9">
        <v>1.4E-3</v>
      </c>
      <c r="AD53" s="9">
        <v>1.8E-3</v>
      </c>
    </row>
    <row r="54" spans="2:30" x14ac:dyDescent="0.3">
      <c r="B54" s="5">
        <v>202521</v>
      </c>
      <c r="C54" s="5"/>
      <c r="D54" s="9">
        <v>3.8E-3</v>
      </c>
      <c r="E54" s="9">
        <v>2.0999999999999999E-3</v>
      </c>
      <c r="F54" s="9">
        <v>3.8999999999999998E-3</v>
      </c>
      <c r="G54" s="9">
        <v>2.8999999999999998E-3</v>
      </c>
      <c r="H54" s="9">
        <v>1.9E-3</v>
      </c>
      <c r="I54" s="9">
        <v>2.8999999999999998E-3</v>
      </c>
      <c r="J54" s="9">
        <v>2.0000000000000001E-4</v>
      </c>
      <c r="K54" s="9">
        <v>2.7000000000000001E-3</v>
      </c>
      <c r="L54" s="9">
        <v>1.5E-3</v>
      </c>
      <c r="M54" s="9">
        <v>2E-3</v>
      </c>
      <c r="N54" s="9">
        <v>8.9999999999999998E-4</v>
      </c>
      <c r="O54" s="9">
        <v>5.7000000000000002E-3</v>
      </c>
      <c r="P54" s="9">
        <v>3.7000000000000002E-3</v>
      </c>
      <c r="Q54" s="9"/>
      <c r="R54" s="9">
        <v>3.0999999999999999E-3</v>
      </c>
      <c r="S54" s="9">
        <v>1.5E-3</v>
      </c>
      <c r="T54" s="9">
        <v>4.1000000000000003E-3</v>
      </c>
      <c r="U54" s="9">
        <v>2.3999999999999998E-3</v>
      </c>
      <c r="V54" s="9">
        <v>0</v>
      </c>
      <c r="W54" s="9">
        <v>0</v>
      </c>
      <c r="X54" s="9">
        <v>1.4200000000000001E-2</v>
      </c>
      <c r="Y54" s="9">
        <v>1.4E-3</v>
      </c>
      <c r="Z54" s="9">
        <v>3.8E-3</v>
      </c>
      <c r="AA54" s="9">
        <v>1.6999999999999999E-3</v>
      </c>
      <c r="AB54" s="9">
        <v>2.0999999999999999E-3</v>
      </c>
      <c r="AC54" s="9">
        <v>1.1000000000000001E-3</v>
      </c>
      <c r="AD54" s="9">
        <v>4.4000000000000003E-3</v>
      </c>
    </row>
    <row r="55" spans="2:30" x14ac:dyDescent="0.3">
      <c r="B55" s="5">
        <v>202522</v>
      </c>
      <c r="C55" s="5"/>
      <c r="D55" s="9">
        <v>2.7000000000000001E-3</v>
      </c>
      <c r="E55" s="9">
        <v>2.2000000000000001E-3</v>
      </c>
      <c r="F55" s="9">
        <v>2.8E-3</v>
      </c>
      <c r="G55" s="9">
        <v>2.3999999999999998E-3</v>
      </c>
      <c r="H55" s="9">
        <v>2E-3</v>
      </c>
      <c r="I55" s="9">
        <v>3.8999999999999998E-3</v>
      </c>
      <c r="J55" s="9">
        <v>6.9999999999999999E-4</v>
      </c>
      <c r="K55" s="9">
        <v>3.7000000000000002E-3</v>
      </c>
      <c r="L55" s="9">
        <v>2.2000000000000001E-3</v>
      </c>
      <c r="M55" s="9">
        <v>2.5000000000000001E-3</v>
      </c>
      <c r="N55" s="9">
        <v>2.2000000000000001E-3</v>
      </c>
      <c r="O55" s="9">
        <v>8.3999999999999995E-3</v>
      </c>
      <c r="P55" s="9">
        <v>3.3999999999999998E-3</v>
      </c>
      <c r="Q55" s="9"/>
      <c r="R55" s="9">
        <v>3.0000000000000001E-3</v>
      </c>
      <c r="S55" s="9">
        <v>1.6999999999999999E-3</v>
      </c>
      <c r="T55" s="9">
        <v>2.9999999999999997E-4</v>
      </c>
      <c r="U55" s="9">
        <v>3.2000000000000002E-3</v>
      </c>
      <c r="V55" s="9"/>
      <c r="W55" s="9"/>
      <c r="X55" s="9">
        <v>5.7999999999999996E-3</v>
      </c>
      <c r="Y55" s="9">
        <v>1.2999999999999999E-3</v>
      </c>
      <c r="Z55" s="9">
        <v>4.1000000000000003E-3</v>
      </c>
      <c r="AA55" s="9">
        <v>2.5000000000000001E-3</v>
      </c>
      <c r="AB55" s="9">
        <v>1.9E-3</v>
      </c>
      <c r="AC55" s="9">
        <v>1.1999999999999999E-3</v>
      </c>
      <c r="AD55" s="9">
        <v>2.3E-3</v>
      </c>
    </row>
    <row r="56" spans="2:30" ht="15" thickBot="1" x14ac:dyDescent="0.35">
      <c r="B56" s="5">
        <v>202523</v>
      </c>
      <c r="C56" s="5"/>
      <c r="D56" s="9">
        <v>3.0000000000000001E-3</v>
      </c>
      <c r="E56" s="9">
        <v>1.9E-3</v>
      </c>
      <c r="F56" s="9">
        <v>3.0999999999999999E-3</v>
      </c>
      <c r="G56" s="9">
        <v>1.6999999999999999E-3</v>
      </c>
      <c r="H56" s="9">
        <v>1.1000000000000001E-3</v>
      </c>
      <c r="I56" s="9">
        <v>1E-3</v>
      </c>
      <c r="J56" s="9">
        <v>2.2000000000000001E-3</v>
      </c>
      <c r="K56" s="9">
        <v>1.6999999999999999E-3</v>
      </c>
      <c r="L56" s="9">
        <v>4.7999999999999996E-3</v>
      </c>
      <c r="M56" s="9">
        <v>2.5000000000000001E-3</v>
      </c>
      <c r="N56" s="9">
        <v>5.1999999999999998E-3</v>
      </c>
      <c r="O56" s="9">
        <v>9.4999999999999998E-3</v>
      </c>
      <c r="P56" s="9">
        <v>3.5000000000000001E-3</v>
      </c>
      <c r="Q56" s="9"/>
      <c r="R56" s="9">
        <v>3.0000000000000001E-3</v>
      </c>
      <c r="S56" s="9">
        <v>1.9E-3</v>
      </c>
      <c r="T56" s="9"/>
      <c r="U56" s="9">
        <v>2.5999999999999999E-3</v>
      </c>
      <c r="V56" s="9"/>
      <c r="W56" s="9"/>
      <c r="X56" s="9">
        <v>3.8E-3</v>
      </c>
      <c r="Y56" s="9">
        <v>1.6000000000000001E-3</v>
      </c>
      <c r="Z56" s="9">
        <v>6.1999999999999998E-3</v>
      </c>
      <c r="AA56" s="9">
        <v>3.5000000000000001E-3</v>
      </c>
      <c r="AB56" s="9">
        <v>1.9E-3</v>
      </c>
      <c r="AC56" s="9">
        <v>1.4E-3</v>
      </c>
      <c r="AD56" s="9">
        <v>2.3999999999999998E-3</v>
      </c>
    </row>
    <row r="57" spans="2:30" ht="15" thickBot="1" x14ac:dyDescent="0.35">
      <c r="B57" s="22" t="s">
        <v>82</v>
      </c>
      <c r="C57" s="22"/>
      <c r="D57" s="24">
        <f t="shared" ref="D57:AD57" si="23">AVERAGE(D34:D56)</f>
        <v>2.717391304347826E-3</v>
      </c>
      <c r="E57" s="24">
        <f t="shared" si="23"/>
        <v>3.9043478260869561E-3</v>
      </c>
      <c r="F57" s="24">
        <f t="shared" si="23"/>
        <v>2.6043478260869561E-3</v>
      </c>
      <c r="G57" s="24">
        <f t="shared" si="23"/>
        <v>5.4347826086956538E-3</v>
      </c>
      <c r="H57" s="24">
        <f t="shared" si="23"/>
        <v>3.6695652173913047E-3</v>
      </c>
      <c r="I57" s="24">
        <f t="shared" si="23"/>
        <v>4.3652173913043477E-3</v>
      </c>
      <c r="J57" s="24">
        <f t="shared" si="23"/>
        <v>2.5913043478260865E-3</v>
      </c>
      <c r="K57" s="24">
        <f t="shared" si="23"/>
        <v>3.4956521739130421E-3</v>
      </c>
      <c r="L57" s="24">
        <f t="shared" si="23"/>
        <v>2.1956521739130434E-3</v>
      </c>
      <c r="M57" s="24">
        <f t="shared" si="23"/>
        <v>2.5434782608695656E-3</v>
      </c>
      <c r="N57" s="24">
        <f t="shared" si="23"/>
        <v>2.7388888888888888E-3</v>
      </c>
      <c r="O57" s="24">
        <f t="shared" si="23"/>
        <v>6.030434782608696E-3</v>
      </c>
      <c r="P57" s="24">
        <f t="shared" si="23"/>
        <v>2.9130434782608699E-3</v>
      </c>
      <c r="Q57" s="24">
        <f t="shared" si="23"/>
        <v>-6.7871428571428569E-2</v>
      </c>
      <c r="R57" s="24">
        <f t="shared" si="23"/>
        <v>2.3173913043478263E-3</v>
      </c>
      <c r="S57" s="24">
        <f t="shared" si="23"/>
        <v>1.5E-3</v>
      </c>
      <c r="T57" s="24">
        <f t="shared" si="23"/>
        <v>2.9272727272727271E-3</v>
      </c>
      <c r="U57" s="24">
        <f t="shared" si="23"/>
        <v>3.121739130434782E-3</v>
      </c>
      <c r="V57" s="24">
        <f t="shared" si="23"/>
        <v>3.5428571428571432E-3</v>
      </c>
      <c r="W57" s="24">
        <f t="shared" si="23"/>
        <v>2.7523809523809528E-3</v>
      </c>
      <c r="X57" s="24">
        <f t="shared" si="23"/>
        <v>2.9826086956521738E-3</v>
      </c>
      <c r="Y57" s="24">
        <f t="shared" si="23"/>
        <v>1.3956521739130433E-3</v>
      </c>
      <c r="Z57" s="24">
        <f t="shared" si="23"/>
        <v>3.8869565217391306E-3</v>
      </c>
      <c r="AA57" s="24">
        <f t="shared" si="23"/>
        <v>1.9391304347826091E-3</v>
      </c>
      <c r="AB57" s="24">
        <f t="shared" si="23"/>
        <v>1.5777777777777778E-3</v>
      </c>
      <c r="AC57" s="24">
        <f t="shared" si="23"/>
        <v>1.0722222222222218E-3</v>
      </c>
      <c r="AD57" s="24">
        <f t="shared" si="23"/>
        <v>1.4130434782608696E-3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T58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45822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126</v>
      </c>
      <c r="C6" s="7">
        <v>16</v>
      </c>
      <c r="D6" s="7">
        <v>7</v>
      </c>
      <c r="E6" s="7">
        <v>1197</v>
      </c>
      <c r="F6" s="7">
        <v>1019</v>
      </c>
      <c r="G6" s="7">
        <v>6</v>
      </c>
      <c r="H6" s="9">
        <f t="shared" ref="H6:H12" si="0">IFERROR(G6/F6,0)</f>
        <v>5.8881256133464181E-3</v>
      </c>
      <c r="I6" s="9">
        <f>IFERROR((1197-F6)/1197,0)</f>
        <v>0.14870509607351712</v>
      </c>
      <c r="J6" s="7">
        <v>3930</v>
      </c>
      <c r="K6" s="11">
        <f t="shared" ref="K6:K12" si="1">IFERROR(J6/D6/F6*100,0)</f>
        <v>55.096032524884343</v>
      </c>
      <c r="L6" s="11">
        <f>K6-54.7735</f>
        <v>0.3225325248843447</v>
      </c>
      <c r="M6" s="11">
        <v>84</v>
      </c>
      <c r="N6" s="11">
        <f t="shared" ref="N6:N12" si="2">K6-M6</f>
        <v>-28.903967475115657</v>
      </c>
      <c r="O6" s="11">
        <f>IFERROR(153800/1197,0)</f>
        <v>128.48788638262323</v>
      </c>
      <c r="P6" s="11">
        <v>0</v>
      </c>
      <c r="Q6" s="11">
        <f t="shared" ref="Q6:Q11" si="3">IFERROR(O6-P6,0)</f>
        <v>128.48788638262323</v>
      </c>
      <c r="R6" s="7">
        <v>889</v>
      </c>
      <c r="S6" s="11">
        <f t="shared" ref="S6:S11" si="4">IFERROR(R6/D6/F6*1000,0)</f>
        <v>124.63199214916584</v>
      </c>
      <c r="T6" s="13">
        <f t="shared" ref="T6:T12" si="5">IFERROR(J6/R6,0)</f>
        <v>4.4206974128233973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254.4685714286</v>
      </c>
      <c r="Y6" s="11">
        <f t="shared" ref="Y6:Y11" si="8">IFERROR((F6*S6)/(F6*K6)*100,0)</f>
        <v>226.20865139949106</v>
      </c>
      <c r="Z6" s="11">
        <f t="shared" ref="Z6:Z12" si="9">IFERROR(Y6*X6/1000,0)</f>
        <v>57.562992366418669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4</v>
      </c>
      <c r="AF6" s="11">
        <v>26</v>
      </c>
      <c r="AG6" s="7">
        <f t="shared" ref="AG6:AG11" si="10">IF(M6=0,0,IFERROR(N6/100*7*F6,0))</f>
        <v>-2061.7199999999998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86</v>
      </c>
      <c r="C7" s="7">
        <v>16</v>
      </c>
      <c r="D7" s="7">
        <v>7</v>
      </c>
      <c r="E7" s="7">
        <v>14440</v>
      </c>
      <c r="F7" s="7">
        <v>11203</v>
      </c>
      <c r="G7" s="7">
        <v>27</v>
      </c>
      <c r="H7" s="9">
        <f t="shared" si="0"/>
        <v>2.4100687315897528E-3</v>
      </c>
      <c r="I7" s="9">
        <f>IFERROR((14440-F7)/14440,0)</f>
        <v>0.22416897506925207</v>
      </c>
      <c r="J7" s="7">
        <v>59160</v>
      </c>
      <c r="K7" s="11">
        <f t="shared" si="1"/>
        <v>75.438976804682412</v>
      </c>
      <c r="L7" s="11">
        <f>K7-75.8682</f>
        <v>-0.42922319531759001</v>
      </c>
      <c r="M7" s="11">
        <v>84</v>
      </c>
      <c r="N7" s="11">
        <f t="shared" si="2"/>
        <v>-8.5610231953175884</v>
      </c>
      <c r="O7" s="11">
        <f>IFERROR(4774600/14440,0)</f>
        <v>330.6509695290859</v>
      </c>
      <c r="P7" s="11">
        <v>0</v>
      </c>
      <c r="Q7" s="11">
        <f t="shared" si="3"/>
        <v>330.6509695290859</v>
      </c>
      <c r="R7" s="7">
        <v>9730</v>
      </c>
      <c r="S7" s="11">
        <f t="shared" si="4"/>
        <v>124.07390877443541</v>
      </c>
      <c r="T7" s="13">
        <f t="shared" si="5"/>
        <v>6.0801644398766701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164.4692359702502</v>
      </c>
      <c r="Z7" s="11">
        <f t="shared" si="9"/>
        <v>61.371695402298855</v>
      </c>
      <c r="AA7" s="7">
        <v>2068</v>
      </c>
      <c r="AB7" s="15">
        <f>IFERROR(AA7/1970,0)</f>
        <v>1.0497461928934011</v>
      </c>
      <c r="AC7" s="11">
        <v>0</v>
      </c>
      <c r="AD7" s="15">
        <f>IFERROR(AC7/64.9,0)</f>
        <v>0</v>
      </c>
      <c r="AE7" s="11">
        <v>0</v>
      </c>
      <c r="AF7" s="11">
        <v>26</v>
      </c>
      <c r="AG7" s="7">
        <f t="shared" si="10"/>
        <v>-6713.6400000000058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>IFERROR(0/F7,0)</f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86</v>
      </c>
      <c r="C8" s="7">
        <v>16</v>
      </c>
      <c r="D8" s="7">
        <v>7</v>
      </c>
      <c r="E8" s="7">
        <v>16063</v>
      </c>
      <c r="F8" s="7">
        <v>13134</v>
      </c>
      <c r="G8" s="7">
        <v>27</v>
      </c>
      <c r="H8" s="9">
        <f t="shared" si="0"/>
        <v>2.0557332115121061E-3</v>
      </c>
      <c r="I8" s="9">
        <f>IFERROR((16063-F8)/16063,0)</f>
        <v>0.18234451845856939</v>
      </c>
      <c r="J8" s="7">
        <v>63000</v>
      </c>
      <c r="K8" s="11">
        <f t="shared" si="1"/>
        <v>68.524440383736859</v>
      </c>
      <c r="L8" s="11">
        <f>K8-66.0718</f>
        <v>2.4526403837368633</v>
      </c>
      <c r="M8" s="11">
        <v>79</v>
      </c>
      <c r="N8" s="11">
        <f t="shared" si="2"/>
        <v>-10.475559616263141</v>
      </c>
      <c r="O8" s="11">
        <f>IFERROR(4971630/16063,0)</f>
        <v>309.50818651559484</v>
      </c>
      <c r="P8" s="11">
        <v>0</v>
      </c>
      <c r="Q8" s="11">
        <f t="shared" si="3"/>
        <v>309.50818651559484</v>
      </c>
      <c r="R8" s="7">
        <v>10150</v>
      </c>
      <c r="S8" s="11">
        <f t="shared" si="4"/>
        <v>110.40048728490939</v>
      </c>
      <c r="T8" s="13">
        <f t="shared" si="5"/>
        <v>6.2068965517241379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161.11111111111114</v>
      </c>
      <c r="Z8" s="11">
        <f t="shared" si="9"/>
        <v>59.611111111111121</v>
      </c>
      <c r="AA8" s="7">
        <v>1738</v>
      </c>
      <c r="AB8" s="15">
        <f>IFERROR(AA8/1580,0)</f>
        <v>1.1000000000000001</v>
      </c>
      <c r="AC8" s="11">
        <v>0</v>
      </c>
      <c r="AD8" s="15">
        <f>IFERROR(AC8/63.6,0)</f>
        <v>0</v>
      </c>
      <c r="AE8" s="11">
        <v>0</v>
      </c>
      <c r="AF8" s="11">
        <v>27</v>
      </c>
      <c r="AG8" s="7">
        <f t="shared" si="10"/>
        <v>-9631.0200000000059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>IFERROR(40/F8,0)</f>
        <v>3.0455306837216386E-3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47</v>
      </c>
      <c r="C9" s="7"/>
      <c r="D9" s="7">
        <v>7</v>
      </c>
      <c r="E9" s="7">
        <v>4686</v>
      </c>
      <c r="F9" s="7">
        <v>4169</v>
      </c>
      <c r="G9" s="7">
        <v>13</v>
      </c>
      <c r="H9" s="9">
        <f t="shared" si="0"/>
        <v>3.1182537778843846E-3</v>
      </c>
      <c r="I9" s="9">
        <f>IFERROR((4686-F9)/4686,0)</f>
        <v>0.11032863849765258</v>
      </c>
      <c r="J9" s="7">
        <v>28860</v>
      </c>
      <c r="K9" s="11">
        <f t="shared" si="1"/>
        <v>98.893191241476202</v>
      </c>
      <c r="L9" s="11">
        <f>K9-100.9428</f>
        <v>-2.049608758523803</v>
      </c>
      <c r="M9" s="11">
        <v>89</v>
      </c>
      <c r="N9" s="11">
        <f t="shared" si="2"/>
        <v>9.8931912414762024</v>
      </c>
      <c r="O9" s="11">
        <f>IFERROR(788910/4686,0)</f>
        <v>168.35467349551857</v>
      </c>
      <c r="P9" s="11">
        <v>180</v>
      </c>
      <c r="Q9" s="11">
        <f t="shared" si="3"/>
        <v>-11.645326504481432</v>
      </c>
      <c r="R9" s="7">
        <v>4326</v>
      </c>
      <c r="S9" s="11">
        <f t="shared" si="4"/>
        <v>148.23698728711921</v>
      </c>
      <c r="T9" s="13">
        <f t="shared" si="5"/>
        <v>6.67128987517337</v>
      </c>
      <c r="U9" s="7">
        <v>5040</v>
      </c>
      <c r="V9" s="11">
        <f t="shared" si="6"/>
        <v>172.70328615975052</v>
      </c>
      <c r="W9" s="11">
        <f t="shared" si="7"/>
        <v>1.1650485436893203</v>
      </c>
      <c r="X9" s="11">
        <v>362.76</v>
      </c>
      <c r="Y9" s="11">
        <f t="shared" si="8"/>
        <v>149.8960498960499</v>
      </c>
      <c r="Z9" s="11">
        <f t="shared" si="9"/>
        <v>54.376291060291067</v>
      </c>
      <c r="AA9" s="7">
        <v>1898</v>
      </c>
      <c r="AB9" s="15">
        <f>IFERROR(AA9/1950,0)</f>
        <v>0.97333333333333338</v>
      </c>
      <c r="AC9" s="11">
        <v>0</v>
      </c>
      <c r="AD9" s="15">
        <f>IFERROR(AC9/63.1,0)</f>
        <v>0</v>
      </c>
      <c r="AE9" s="11">
        <v>11</v>
      </c>
      <c r="AF9" s="11">
        <v>25</v>
      </c>
      <c r="AG9" s="7">
        <f t="shared" si="10"/>
        <v>2887.13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>IFERROR(0/F9,0)</f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86</v>
      </c>
      <c r="C10" s="7">
        <v>17</v>
      </c>
      <c r="D10" s="7">
        <v>7</v>
      </c>
      <c r="E10" s="7">
        <v>5000</v>
      </c>
      <c r="F10" s="7">
        <v>4084</v>
      </c>
      <c r="G10" s="7">
        <v>10</v>
      </c>
      <c r="H10" s="9">
        <f t="shared" si="0"/>
        <v>2.4485798237022529E-3</v>
      </c>
      <c r="I10" s="9">
        <f>IFERROR((5000-F10)/5000,0)</f>
        <v>0.1832</v>
      </c>
      <c r="J10" s="7">
        <v>25530</v>
      </c>
      <c r="K10" s="11">
        <f t="shared" si="1"/>
        <v>89.303204141597874</v>
      </c>
      <c r="L10" s="11">
        <f>K10-90.4111</f>
        <v>-1.1078958584021308</v>
      </c>
      <c r="M10" s="11">
        <v>84</v>
      </c>
      <c r="N10" s="11">
        <f t="shared" si="2"/>
        <v>5.3032041415978739</v>
      </c>
      <c r="O10" s="11">
        <f>IFERROR(1762150/5000,0)</f>
        <v>352.43</v>
      </c>
      <c r="P10" s="11">
        <v>0</v>
      </c>
      <c r="Q10" s="11">
        <f t="shared" si="3"/>
        <v>352.43</v>
      </c>
      <c r="R10" s="7">
        <v>4581</v>
      </c>
      <c r="S10" s="11">
        <f t="shared" si="4"/>
        <v>160.24205960542886</v>
      </c>
      <c r="T10" s="13">
        <f t="shared" si="5"/>
        <v>5.5730189914865749</v>
      </c>
      <c r="U10" s="7">
        <v>5040</v>
      </c>
      <c r="V10" s="11">
        <f t="shared" si="6"/>
        <v>176.2977473065622</v>
      </c>
      <c r="W10" s="11">
        <f t="shared" si="7"/>
        <v>1.1001964636542239</v>
      </c>
      <c r="X10" s="11">
        <v>374.81</v>
      </c>
      <c r="Y10" s="11">
        <f t="shared" si="8"/>
        <v>179.43595769682724</v>
      </c>
      <c r="Z10" s="11">
        <f t="shared" si="9"/>
        <v>67.25439130434782</v>
      </c>
      <c r="AA10" s="7">
        <v>1975</v>
      </c>
      <c r="AB10" s="15">
        <f>IFERROR(AA10/1970,0)</f>
        <v>1.0025380710659899</v>
      </c>
      <c r="AC10" s="11">
        <v>0</v>
      </c>
      <c r="AD10" s="15">
        <f>IFERROR(AC10/64.9,0)</f>
        <v>0</v>
      </c>
      <c r="AE10" s="11">
        <v>13</v>
      </c>
      <c r="AF10" s="11">
        <v>23</v>
      </c>
      <c r="AG10" s="7">
        <f t="shared" si="10"/>
        <v>1516.0800000000002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>IFERROR(0/F10,0)</f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47</v>
      </c>
      <c r="C11" s="7"/>
      <c r="D11" s="7">
        <v>7</v>
      </c>
      <c r="E11" s="7">
        <v>4819</v>
      </c>
      <c r="F11" s="7">
        <v>4527</v>
      </c>
      <c r="G11" s="7">
        <v>15</v>
      </c>
      <c r="H11" s="9">
        <f t="shared" si="0"/>
        <v>3.3134526176275677E-3</v>
      </c>
      <c r="I11" s="9">
        <f>IFERROR((4819-F11)/4819,0)</f>
        <v>6.0593484125337209E-2</v>
      </c>
      <c r="J11" s="7">
        <v>29970</v>
      </c>
      <c r="K11" s="11">
        <f t="shared" si="1"/>
        <v>94.575404714569729</v>
      </c>
      <c r="L11" s="11">
        <f>K11-94.1687</f>
        <v>0.40670471456972734</v>
      </c>
      <c r="M11" s="11">
        <v>89</v>
      </c>
      <c r="N11" s="11">
        <f t="shared" si="2"/>
        <v>5.5754047145697285</v>
      </c>
      <c r="O11" s="11">
        <f>IFERROR(830806/4819,0)</f>
        <v>172.40215812409213</v>
      </c>
      <c r="P11" s="11">
        <v>180</v>
      </c>
      <c r="Q11" s="11">
        <f t="shared" si="3"/>
        <v>-7.597841875907875</v>
      </c>
      <c r="R11" s="7">
        <v>5496</v>
      </c>
      <c r="S11" s="11">
        <f t="shared" si="4"/>
        <v>173.43557701410583</v>
      </c>
      <c r="T11" s="13">
        <f t="shared" si="5"/>
        <v>5.4530567685589517</v>
      </c>
      <c r="U11" s="7">
        <v>5040</v>
      </c>
      <c r="V11" s="11">
        <f t="shared" si="6"/>
        <v>159.04572564612326</v>
      </c>
      <c r="W11" s="11">
        <f t="shared" si="7"/>
        <v>0.91703056768558955</v>
      </c>
      <c r="X11" s="11">
        <v>362.76</v>
      </c>
      <c r="Y11" s="11">
        <f t="shared" si="8"/>
        <v>183.38338338338335</v>
      </c>
      <c r="Z11" s="11">
        <f t="shared" si="9"/>
        <v>66.524156156156138</v>
      </c>
      <c r="AA11" s="7">
        <v>1940</v>
      </c>
      <c r="AB11" s="15">
        <f>IFERROR(AA11/1950,0)</f>
        <v>0.99487179487179489</v>
      </c>
      <c r="AC11" s="11">
        <v>0</v>
      </c>
      <c r="AD11" s="15">
        <f>IFERROR(AC11/63.1,0)</f>
        <v>0</v>
      </c>
      <c r="AE11" s="11">
        <v>11</v>
      </c>
      <c r="AF11" s="11">
        <v>24</v>
      </c>
      <c r="AG11" s="7">
        <f t="shared" si="10"/>
        <v>1766.7900000000013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>IFERROR(0/F11,0)</f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38136</v>
      </c>
      <c r="G12" s="17">
        <f>SUM(G6:G11)</f>
        <v>98</v>
      </c>
      <c r="H12" s="18">
        <f t="shared" si="0"/>
        <v>2.5697503671071953E-3</v>
      </c>
      <c r="I12" s="18"/>
      <c r="J12" s="17">
        <f>SUM(J6:J11)</f>
        <v>210450</v>
      </c>
      <c r="K12" s="19">
        <f t="shared" si="1"/>
        <v>78.834397195001344</v>
      </c>
      <c r="L12" s="19"/>
      <c r="M12" s="19">
        <f>IFERROR(SUMPRODUCT($F6:$F11,M6:M11)/$F12, 0)</f>
        <v>83.418135095447866</v>
      </c>
      <c r="N12" s="19">
        <f t="shared" si="2"/>
        <v>-4.583737900446522</v>
      </c>
      <c r="O12" s="19">
        <f>IFERROR(SUMPRODUCT($E6:$E11,O6:O11)/$E12, 0)</f>
        <v>287.45581647007901</v>
      </c>
      <c r="P12" s="19">
        <f>IFERROR(SUMPRODUCT($E6:$E11,P6:P11)/$E12, 0)</f>
        <v>37.028460123363274</v>
      </c>
      <c r="Q12" s="19">
        <f>IFERROR(SUMPRODUCT($E6:$E11,Q6:Q11)/$E12, 0)</f>
        <v>250.42735634671573</v>
      </c>
      <c r="R12" s="17">
        <f>SUM(R6:R11)</f>
        <v>35172</v>
      </c>
      <c r="S12" s="19">
        <f>IFERROR(R12/D12/$F12*1000,0)</f>
        <v>131.75402319518113</v>
      </c>
      <c r="T12" s="20">
        <f t="shared" si="5"/>
        <v>5.9834527465029002</v>
      </c>
      <c r="U12" s="17">
        <f>SUM(U6:U11)</f>
        <v>15120</v>
      </c>
      <c r="V12" s="19">
        <f>IFERROR(U12/D12/$F12*1000,0)</f>
        <v>56.639395846444309</v>
      </c>
      <c r="W12" s="19">
        <f t="shared" si="7"/>
        <v>0.42988741044012291</v>
      </c>
      <c r="X12" s="19">
        <f>IFERROR(SUMPRODUCT(R6:R11,X6:X11)/R12,0)</f>
        <v>366.55593625611345</v>
      </c>
      <c r="Y12" s="19">
        <f>IFERROR(($F12*S12)/($F12*K12)*100,0)</f>
        <v>167.12758374910902</v>
      </c>
      <c r="Z12" s="19">
        <f t="shared" si="9"/>
        <v>61.261607935376666</v>
      </c>
      <c r="AA12" s="17"/>
      <c r="AB12" s="21">
        <f>IFERROR(SUMPRODUCT($F6:$F11,AB6:AB11)/$F12,0)</f>
        <v>1.0190812713255077</v>
      </c>
      <c r="AC12" s="19"/>
      <c r="AD12" s="21">
        <f>AVERAGE(AD6:AD11)</f>
        <v>0</v>
      </c>
      <c r="AE12" s="19"/>
      <c r="AF12" s="19"/>
      <c r="AG12" s="17">
        <f>SUM(AG6:AG11)</f>
        <v>-12236.38000000001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86</v>
      </c>
      <c r="C14" s="6">
        <v>23</v>
      </c>
      <c r="D14" s="6">
        <v>7</v>
      </c>
      <c r="E14" s="6">
        <v>21388</v>
      </c>
      <c r="F14" s="6">
        <v>16421</v>
      </c>
      <c r="G14" s="6">
        <v>86</v>
      </c>
      <c r="H14" s="8">
        <f t="shared" ref="H14:H28" si="11">IFERROR(G14/F14,0)</f>
        <v>5.2371962730649781E-3</v>
      </c>
      <c r="I14" s="8">
        <f>IFERROR((21388-F14)/21388,0)</f>
        <v>0.23223302786609315</v>
      </c>
      <c r="J14" s="6">
        <v>81860</v>
      </c>
      <c r="K14" s="10">
        <f t="shared" ref="K14:K28" si="12">IFERROR(J14/D14/F14*100,0)</f>
        <v>71.215429719783899</v>
      </c>
      <c r="L14" s="10">
        <f>K14-68.9578</f>
        <v>2.2576297197838926</v>
      </c>
      <c r="M14" s="10">
        <v>80</v>
      </c>
      <c r="N14" s="10">
        <f t="shared" ref="N14:N28" si="13">K14-M14</f>
        <v>-8.7845702802161014</v>
      </c>
      <c r="O14" s="10">
        <f>IFERROR(5650540/21388,0)</f>
        <v>264.19207031980551</v>
      </c>
      <c r="P14" s="10">
        <v>0</v>
      </c>
      <c r="Q14" s="10">
        <f t="shared" ref="Q14:Q27" si="14">IFERROR(O14-P14,0)</f>
        <v>264.19207031980551</v>
      </c>
      <c r="R14" s="6">
        <v>11190</v>
      </c>
      <c r="S14" s="10">
        <f t="shared" ref="S14:S27" si="15">IFERROR(R14/D14/F14*1000,0)</f>
        <v>97.3492131156098</v>
      </c>
      <c r="T14" s="12">
        <f t="shared" ref="T14:T28" si="16">IFERROR(J14/R14,0)</f>
        <v>7.3154602323503131</v>
      </c>
      <c r="U14" s="6">
        <v>21150</v>
      </c>
      <c r="V14" s="10">
        <f t="shared" ref="V14:V27" si="17">IFERROR(U14/D14/F14*1000,0)</f>
        <v>183.9978424839274</v>
      </c>
      <c r="W14" s="10">
        <f t="shared" ref="W14:W28" si="18">IFERROR(V14/S14,0)</f>
        <v>1.890080428954424</v>
      </c>
      <c r="X14" s="10">
        <v>295.97000000000003</v>
      </c>
      <c r="Y14" s="10">
        <f t="shared" ref="Y14:Y27" si="19">IFERROR((F14*S14)/(F14*K14)*100,0)</f>
        <v>136.69679941363302</v>
      </c>
      <c r="Z14" s="10">
        <f t="shared" ref="Z14:Z28" si="20">IFERROR(Y14*X14/1000,0)</f>
        <v>40.458151722452968</v>
      </c>
      <c r="AA14" s="6">
        <v>2000</v>
      </c>
      <c r="AB14" s="14">
        <f>IFERROR(AA14/1580,0)</f>
        <v>1.2658227848101267</v>
      </c>
      <c r="AC14" s="10">
        <v>0</v>
      </c>
      <c r="AD14" s="14">
        <f>IFERROR(AC14/63.6,0)</f>
        <v>0</v>
      </c>
      <c r="AE14" s="10">
        <v>20</v>
      </c>
      <c r="AF14" s="10">
        <v>26</v>
      </c>
      <c r="AG14" s="6">
        <f t="shared" ref="AG14:AG27" si="21">IF(M14=0,0,IFERROR(N14/100*7*F14,0))</f>
        <v>-10097.600000000002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46</v>
      </c>
      <c r="C15" s="7"/>
      <c r="D15" s="7">
        <v>7</v>
      </c>
      <c r="E15" s="7">
        <v>10225</v>
      </c>
      <c r="F15" s="7">
        <v>8645</v>
      </c>
      <c r="G15" s="7">
        <v>78</v>
      </c>
      <c r="H15" s="9">
        <f t="shared" si="11"/>
        <v>9.0225563909774441E-3</v>
      </c>
      <c r="I15" s="9">
        <f>IFERROR((10225-F15)/10225,0)</f>
        <v>0.15452322738386309</v>
      </c>
      <c r="J15" s="7">
        <v>49560</v>
      </c>
      <c r="K15" s="11">
        <f t="shared" si="12"/>
        <v>81.897050318102941</v>
      </c>
      <c r="L15" s="11">
        <f>K15-82.9335</f>
        <v>-1.0364496818970537</v>
      </c>
      <c r="M15" s="11">
        <v>90</v>
      </c>
      <c r="N15" s="11">
        <f t="shared" si="13"/>
        <v>-8.1029496818970586</v>
      </c>
      <c r="O15" s="11">
        <f>IFERROR(1492910/10225,0)</f>
        <v>146.00586797066015</v>
      </c>
      <c r="P15" s="11">
        <v>174</v>
      </c>
      <c r="Q15" s="11">
        <f t="shared" si="14"/>
        <v>-27.994132029339852</v>
      </c>
      <c r="R15" s="7">
        <v>8540</v>
      </c>
      <c r="S15" s="11">
        <f t="shared" si="15"/>
        <v>141.12203585887798</v>
      </c>
      <c r="T15" s="13">
        <f t="shared" si="16"/>
        <v>5.8032786885245899</v>
      </c>
      <c r="U15" s="7">
        <v>12680</v>
      </c>
      <c r="V15" s="11">
        <f t="shared" si="17"/>
        <v>209.53482607617946</v>
      </c>
      <c r="W15" s="11">
        <f t="shared" si="18"/>
        <v>1.4847775175644027</v>
      </c>
      <c r="X15" s="11">
        <v>297.65428571429999</v>
      </c>
      <c r="Y15" s="11">
        <f t="shared" si="19"/>
        <v>172.31638418079103</v>
      </c>
      <c r="Z15" s="11">
        <f t="shared" si="20"/>
        <v>51.290710250204256</v>
      </c>
      <c r="AA15" s="7">
        <v>0</v>
      </c>
      <c r="AB15" s="15">
        <f>IFERROR(AA15/1950,0)</f>
        <v>0</v>
      </c>
      <c r="AC15" s="11">
        <v>0</v>
      </c>
      <c r="AD15" s="15">
        <f>IFERROR(AC15/63,0)</f>
        <v>0</v>
      </c>
      <c r="AE15" s="11">
        <v>15</v>
      </c>
      <c r="AF15" s="11">
        <v>30</v>
      </c>
      <c r="AG15" s="7">
        <f t="shared" si="21"/>
        <v>-4903.5000000000045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75</v>
      </c>
      <c r="C16" s="7"/>
      <c r="D16" s="7">
        <v>7</v>
      </c>
      <c r="E16" s="7">
        <v>56050</v>
      </c>
      <c r="F16" s="7">
        <v>48858</v>
      </c>
      <c r="G16" s="7">
        <v>204</v>
      </c>
      <c r="H16" s="9">
        <f t="shared" si="11"/>
        <v>4.1753653444676405E-3</v>
      </c>
      <c r="I16" s="9">
        <f>IFERROR((56050-F16)/56050,0)</f>
        <v>0.12831400535236395</v>
      </c>
      <c r="J16" s="7">
        <v>301460</v>
      </c>
      <c r="K16" s="11">
        <f t="shared" si="12"/>
        <v>88.144652432998242</v>
      </c>
      <c r="L16" s="11">
        <f>K16-89.863</f>
        <v>-1.7183475670017572</v>
      </c>
      <c r="M16" s="11">
        <v>86.8</v>
      </c>
      <c r="N16" s="11">
        <f t="shared" si="13"/>
        <v>1.3446524329982452</v>
      </c>
      <c r="O16" s="11">
        <f>IFERROR(18988401/56050,0)</f>
        <v>338.77611061552187</v>
      </c>
      <c r="P16" s="11">
        <v>344</v>
      </c>
      <c r="Q16" s="11">
        <f t="shared" si="14"/>
        <v>-5.2238893844781273</v>
      </c>
      <c r="R16" s="7">
        <v>38590</v>
      </c>
      <c r="S16" s="11">
        <f t="shared" si="15"/>
        <v>112.83427776120887</v>
      </c>
      <c r="T16" s="13">
        <f t="shared" si="16"/>
        <v>7.8118683596786731</v>
      </c>
      <c r="U16" s="7">
        <v>64600</v>
      </c>
      <c r="V16" s="11">
        <f t="shared" si="17"/>
        <v>188.88557510686948</v>
      </c>
      <c r="W16" s="11">
        <f t="shared" si="18"/>
        <v>1.6740088105726874</v>
      </c>
      <c r="X16" s="11">
        <v>301.22714285709998</v>
      </c>
      <c r="Y16" s="11">
        <f t="shared" si="19"/>
        <v>128.01034963179197</v>
      </c>
      <c r="Z16" s="11">
        <f t="shared" si="20"/>
        <v>38.56019187572312</v>
      </c>
      <c r="AA16" s="7">
        <v>1798</v>
      </c>
      <c r="AB16" s="15">
        <f>IFERROR(AA16/1715,0)</f>
        <v>1.0483965014577259</v>
      </c>
      <c r="AC16" s="11">
        <v>0</v>
      </c>
      <c r="AD16" s="15">
        <f>IFERROR(AC16/63.9,0)</f>
        <v>0</v>
      </c>
      <c r="AE16" s="11">
        <v>21</v>
      </c>
      <c r="AF16" s="11">
        <v>26</v>
      </c>
      <c r="AG16" s="7">
        <f t="shared" si="21"/>
        <v>4598.7919999999785</v>
      </c>
      <c r="AH16" s="7">
        <v>73</v>
      </c>
      <c r="AI16" s="7">
        <v>12.602739725999999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IFERROR(1500/F16,0)</f>
        <v>3.070121576814442E-2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68</v>
      </c>
      <c r="C17" s="7"/>
      <c r="D17" s="7">
        <v>7</v>
      </c>
      <c r="E17" s="7">
        <v>51536</v>
      </c>
      <c r="F17" s="7">
        <v>46910</v>
      </c>
      <c r="G17" s="7">
        <v>137</v>
      </c>
      <c r="H17" s="9">
        <f t="shared" si="11"/>
        <v>2.9204860370923044E-3</v>
      </c>
      <c r="I17" s="9">
        <f>IFERROR((51536-F17)/51536,0)</f>
        <v>8.9762496119217633E-2</v>
      </c>
      <c r="J17" s="7">
        <v>275900</v>
      </c>
      <c r="K17" s="11">
        <f t="shared" si="12"/>
        <v>84.021073788713963</v>
      </c>
      <c r="L17" s="11">
        <f>K17-86.1023</f>
        <v>-2.0812262112860367</v>
      </c>
      <c r="M17" s="11">
        <v>89</v>
      </c>
      <c r="N17" s="11">
        <f t="shared" si="13"/>
        <v>-4.9789262112860371</v>
      </c>
      <c r="O17" s="11">
        <f>IFERROR(15082122/51536,0)</f>
        <v>292.65216547656007</v>
      </c>
      <c r="P17" s="11">
        <v>304</v>
      </c>
      <c r="Q17" s="11">
        <f t="shared" si="14"/>
        <v>-11.347834523439928</v>
      </c>
      <c r="R17" s="7">
        <v>39110</v>
      </c>
      <c r="S17" s="11">
        <f t="shared" si="15"/>
        <v>119.10345037610013</v>
      </c>
      <c r="T17" s="13">
        <f t="shared" si="16"/>
        <v>7.0544617744822293</v>
      </c>
      <c r="U17" s="7">
        <v>68530</v>
      </c>
      <c r="V17" s="11">
        <f t="shared" si="17"/>
        <v>208.69750586228949</v>
      </c>
      <c r="W17" s="11">
        <f t="shared" si="18"/>
        <v>1.7522372794681667</v>
      </c>
      <c r="X17" s="11">
        <v>283.77714285709999</v>
      </c>
      <c r="Y17" s="11">
        <f t="shared" si="19"/>
        <v>141.75425878941644</v>
      </c>
      <c r="Z17" s="11">
        <f t="shared" si="20"/>
        <v>40.226618547086552</v>
      </c>
      <c r="AA17" s="7">
        <v>1709</v>
      </c>
      <c r="AB17" s="15">
        <f>IFERROR(AA17/1725,0)</f>
        <v>0.99072463768115937</v>
      </c>
      <c r="AC17" s="11">
        <v>0</v>
      </c>
      <c r="AD17" s="15">
        <f>IFERROR(AC17/63.6,0)</f>
        <v>0</v>
      </c>
      <c r="AE17" s="11">
        <v>22</v>
      </c>
      <c r="AF17" s="11">
        <v>26</v>
      </c>
      <c r="AG17" s="7">
        <f t="shared" si="21"/>
        <v>-16349.299999999957</v>
      </c>
      <c r="AH17" s="7">
        <v>22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IFERROR(1000/F17,0)</f>
        <v>2.1317416329140908E-2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62</v>
      </c>
      <c r="B18" s="5">
        <v>47</v>
      </c>
      <c r="C18" s="7"/>
      <c r="D18" s="7">
        <v>7</v>
      </c>
      <c r="E18" s="7">
        <v>52424</v>
      </c>
      <c r="F18" s="7">
        <v>48325</v>
      </c>
      <c r="G18" s="7">
        <v>203</v>
      </c>
      <c r="H18" s="9">
        <f t="shared" si="11"/>
        <v>4.2007242628039317E-3</v>
      </c>
      <c r="I18" s="9">
        <f>IFERROR((52424-F18)/52424,0)</f>
        <v>7.8189378910422713E-2</v>
      </c>
      <c r="J18" s="7">
        <v>298820</v>
      </c>
      <c r="K18" s="11">
        <f t="shared" si="12"/>
        <v>88.336412681989501</v>
      </c>
      <c r="L18" s="11">
        <f>K18-86.7717</f>
        <v>1.564712681989505</v>
      </c>
      <c r="M18" s="11">
        <v>94.6</v>
      </c>
      <c r="N18" s="11">
        <f t="shared" si="13"/>
        <v>-6.2635873180104937</v>
      </c>
      <c r="O18" s="11">
        <f>IFERROR(8623020/52424,0)</f>
        <v>164.48611323058142</v>
      </c>
      <c r="P18" s="11">
        <v>176</v>
      </c>
      <c r="Q18" s="11">
        <f t="shared" si="14"/>
        <v>-11.513886769418576</v>
      </c>
      <c r="R18" s="7">
        <v>37214</v>
      </c>
      <c r="S18" s="11">
        <f t="shared" si="15"/>
        <v>110.01108565516222</v>
      </c>
      <c r="T18" s="13">
        <f t="shared" si="16"/>
        <v>8.0297737410651902</v>
      </c>
      <c r="U18" s="7">
        <v>62464</v>
      </c>
      <c r="V18" s="11">
        <f t="shared" si="17"/>
        <v>184.65449708077747</v>
      </c>
      <c r="W18" s="11">
        <f t="shared" si="18"/>
        <v>1.6785080883538452</v>
      </c>
      <c r="X18" s="11">
        <v>298.3</v>
      </c>
      <c r="Y18" s="11">
        <f t="shared" si="19"/>
        <v>124.53651027374339</v>
      </c>
      <c r="Z18" s="11">
        <f t="shared" si="20"/>
        <v>37.149241014657655</v>
      </c>
      <c r="AA18" s="7">
        <v>1721</v>
      </c>
      <c r="AB18" s="15">
        <f>IFERROR(AA18/1720,0)</f>
        <v>1.0005813953488372</v>
      </c>
      <c r="AC18" s="11">
        <v>62.11</v>
      </c>
      <c r="AD18" s="15">
        <f>IFERROR(AC18/62.45,0)</f>
        <v>0.9945556445156124</v>
      </c>
      <c r="AE18" s="11">
        <v>19</v>
      </c>
      <c r="AF18" s="11">
        <v>26</v>
      </c>
      <c r="AG18" s="7">
        <f t="shared" si="21"/>
        <v>-21188.149999999998</v>
      </c>
      <c r="AH18" s="7">
        <v>28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IFERROR(1000/F18,0)</f>
        <v>2.0693222969477496E-2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63</v>
      </c>
      <c r="B19" s="5">
        <v>37</v>
      </c>
      <c r="C19" s="7"/>
      <c r="D19" s="7">
        <v>7</v>
      </c>
      <c r="E19" s="7">
        <v>50525</v>
      </c>
      <c r="F19" s="7">
        <v>48914</v>
      </c>
      <c r="G19" s="7">
        <v>111</v>
      </c>
      <c r="H19" s="9">
        <f t="shared" si="11"/>
        <v>2.2692889561270802E-3</v>
      </c>
      <c r="I19" s="9">
        <f>IFERROR((50525-F19)/50525,0)</f>
        <v>3.1885205343889167E-2</v>
      </c>
      <c r="J19" s="7">
        <v>320960</v>
      </c>
      <c r="K19" s="11">
        <f t="shared" si="12"/>
        <v>93.73886529711038</v>
      </c>
      <c r="L19" s="11">
        <f>K19-93.3401</f>
        <v>0.39876529711037279</v>
      </c>
      <c r="M19" s="11">
        <v>94</v>
      </c>
      <c r="N19" s="11">
        <f t="shared" si="13"/>
        <v>-0.26113470288962048</v>
      </c>
      <c r="O19" s="11">
        <f>IFERROR(5237470/50525,0)</f>
        <v>103.66095992083127</v>
      </c>
      <c r="P19" s="11">
        <v>113</v>
      </c>
      <c r="Q19" s="11">
        <f t="shared" si="14"/>
        <v>-9.3390400791687256</v>
      </c>
      <c r="R19" s="7">
        <v>40005</v>
      </c>
      <c r="S19" s="11">
        <f t="shared" si="15"/>
        <v>116.83771517356995</v>
      </c>
      <c r="T19" s="13">
        <f t="shared" si="16"/>
        <v>8.0229971253593302</v>
      </c>
      <c r="U19" s="7">
        <v>71099</v>
      </c>
      <c r="V19" s="11">
        <f t="shared" si="17"/>
        <v>207.65016150795273</v>
      </c>
      <c r="W19" s="11">
        <f t="shared" si="18"/>
        <v>1.7772528433945756</v>
      </c>
      <c r="X19" s="11">
        <v>254.76142857139999</v>
      </c>
      <c r="Y19" s="11">
        <f t="shared" si="19"/>
        <v>124.6416999002991</v>
      </c>
      <c r="Z19" s="11">
        <f t="shared" si="20"/>
        <v>31.753897526167922</v>
      </c>
      <c r="AA19" s="7">
        <v>1638</v>
      </c>
      <c r="AB19" s="15">
        <f>IFERROR(AA19/1560,0)</f>
        <v>1.05</v>
      </c>
      <c r="AC19" s="11">
        <v>61.23</v>
      </c>
      <c r="AD19" s="15">
        <f>IFERROR(AC19/60.3,0)</f>
        <v>1.0154228855721392</v>
      </c>
      <c r="AE19" s="11">
        <v>16</v>
      </c>
      <c r="AF19" s="11">
        <v>26</v>
      </c>
      <c r="AG19" s="7">
        <f t="shared" si="21"/>
        <v>-894.12000000000273</v>
      </c>
      <c r="AH19" s="7">
        <v>28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IFERROR(700/F19,0)</f>
        <v>1.4310831254855461E-2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64</v>
      </c>
      <c r="B20" s="5">
        <v>56</v>
      </c>
      <c r="C20" s="7"/>
      <c r="D20" s="7">
        <v>7</v>
      </c>
      <c r="E20" s="7">
        <v>50845</v>
      </c>
      <c r="F20" s="7">
        <v>48330</v>
      </c>
      <c r="G20" s="7">
        <v>101</v>
      </c>
      <c r="H20" s="9">
        <f t="shared" si="11"/>
        <v>2.0897992965032072E-3</v>
      </c>
      <c r="I20" s="9">
        <f>IFERROR((50845-F20)/50845,0)</f>
        <v>4.9464057429442425E-2</v>
      </c>
      <c r="J20" s="7">
        <v>310800</v>
      </c>
      <c r="K20" s="11">
        <f t="shared" si="12"/>
        <v>91.868404717566733</v>
      </c>
      <c r="L20" s="11">
        <f>K20-91.96</f>
        <v>-9.159528243326065E-2</v>
      </c>
      <c r="M20" s="11">
        <v>92.5</v>
      </c>
      <c r="N20" s="11">
        <f t="shared" si="13"/>
        <v>-0.6315952824332669</v>
      </c>
      <c r="O20" s="11">
        <f>IFERROR(11581660/50845,0)</f>
        <v>227.78365621005014</v>
      </c>
      <c r="P20" s="11">
        <v>232</v>
      </c>
      <c r="Q20" s="11">
        <f t="shared" si="14"/>
        <v>-4.2163437899498604</v>
      </c>
      <c r="R20" s="7">
        <v>40769</v>
      </c>
      <c r="S20" s="11">
        <f t="shared" si="15"/>
        <v>120.5078182731814</v>
      </c>
      <c r="T20" s="13">
        <f t="shared" si="16"/>
        <v>7.6234393779587428</v>
      </c>
      <c r="U20" s="7">
        <v>68900</v>
      </c>
      <c r="V20" s="11">
        <f t="shared" si="17"/>
        <v>203.65936567053885</v>
      </c>
      <c r="W20" s="11">
        <f t="shared" si="18"/>
        <v>1.6900095660918835</v>
      </c>
      <c r="X20" s="11">
        <v>284.41428571429998</v>
      </c>
      <c r="Y20" s="11">
        <f t="shared" si="19"/>
        <v>131.17438867438869</v>
      </c>
      <c r="Z20" s="11">
        <f t="shared" si="20"/>
        <v>37.307870058836222</v>
      </c>
      <c r="AA20" s="7">
        <v>1672</v>
      </c>
      <c r="AB20" s="15">
        <f>IFERROR(AA20/1725,0)</f>
        <v>0.96927536231884059</v>
      </c>
      <c r="AC20" s="11">
        <v>62.73</v>
      </c>
      <c r="AD20" s="15">
        <f>IFERROR(AC20/63,0)</f>
        <v>0.99571428571428566</v>
      </c>
      <c r="AE20" s="11">
        <v>18</v>
      </c>
      <c r="AF20" s="11">
        <v>26</v>
      </c>
      <c r="AG20" s="7">
        <f t="shared" si="21"/>
        <v>-2136.749999999985</v>
      </c>
      <c r="AH20" s="7">
        <v>31</v>
      </c>
      <c r="AI20" s="7">
        <v>23.2258064516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IFERROR(1200/F20,0)</f>
        <v>2.4829298572315334E-2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65</v>
      </c>
      <c r="B21" s="5">
        <v>23</v>
      </c>
      <c r="C21" s="7"/>
      <c r="D21" s="7">
        <v>7</v>
      </c>
      <c r="E21" s="7">
        <v>21024</v>
      </c>
      <c r="F21" s="7">
        <v>20732</v>
      </c>
      <c r="G21" s="7">
        <v>106</v>
      </c>
      <c r="H21" s="9">
        <f t="shared" si="11"/>
        <v>5.1128689947906618E-3</v>
      </c>
      <c r="I21" s="9">
        <f>IFERROR((21024-F21)/21024,0)</f>
        <v>1.3888888888888888E-2</v>
      </c>
      <c r="J21" s="7">
        <v>76860</v>
      </c>
      <c r="K21" s="11">
        <f t="shared" si="12"/>
        <v>52.961605247925917</v>
      </c>
      <c r="L21" s="11">
        <f>K21-48.4966</f>
        <v>4.4650052479259159</v>
      </c>
      <c r="M21" s="11">
        <v>93</v>
      </c>
      <c r="N21" s="11">
        <f t="shared" si="13"/>
        <v>-40.038394752074083</v>
      </c>
      <c r="O21" s="11">
        <f>IFERROR(208380/21024,0)</f>
        <v>9.9115296803652964</v>
      </c>
      <c r="P21" s="11">
        <v>25</v>
      </c>
      <c r="Q21" s="11">
        <f t="shared" si="14"/>
        <v>-15.088470319634704</v>
      </c>
      <c r="R21" s="7">
        <v>18050</v>
      </c>
      <c r="S21" s="11">
        <f t="shared" si="15"/>
        <v>124.37639535845207</v>
      </c>
      <c r="T21" s="13">
        <f t="shared" si="16"/>
        <v>4.2581717451523549</v>
      </c>
      <c r="U21" s="7">
        <v>17620</v>
      </c>
      <c r="V21" s="11">
        <f t="shared" si="17"/>
        <v>121.41341197872165</v>
      </c>
      <c r="W21" s="11">
        <f t="shared" si="18"/>
        <v>0.97617728531855974</v>
      </c>
      <c r="X21" s="11">
        <v>295.97000000000003</v>
      </c>
      <c r="Y21" s="11">
        <f t="shared" si="19"/>
        <v>234.84257090814461</v>
      </c>
      <c r="Z21" s="11">
        <f t="shared" si="20"/>
        <v>69.506355711683568</v>
      </c>
      <c r="AA21" s="7">
        <v>1770</v>
      </c>
      <c r="AB21" s="15">
        <f>IFERROR(AA21/1800,0)</f>
        <v>0.98333333333333328</v>
      </c>
      <c r="AC21" s="11">
        <v>0</v>
      </c>
      <c r="AD21" s="15">
        <f>IFERROR(AC21/55.5,0)</f>
        <v>0</v>
      </c>
      <c r="AE21" s="11">
        <v>19</v>
      </c>
      <c r="AF21" s="11">
        <v>26</v>
      </c>
      <c r="AG21" s="7">
        <f t="shared" si="21"/>
        <v>-58105.32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47</v>
      </c>
      <c r="C22" s="7"/>
      <c r="D22" s="7">
        <v>7</v>
      </c>
      <c r="E22" s="7">
        <v>21875</v>
      </c>
      <c r="F22" s="7">
        <v>20944</v>
      </c>
      <c r="G22" s="7">
        <v>34</v>
      </c>
      <c r="H22" s="9">
        <f t="shared" si="11"/>
        <v>1.6233766233766235E-3</v>
      </c>
      <c r="I22" s="9">
        <f>IFERROR((21875-F22)/21875,0)</f>
        <v>4.2560000000000001E-2</v>
      </c>
      <c r="J22" s="7">
        <v>135000</v>
      </c>
      <c r="K22" s="11">
        <f t="shared" si="12"/>
        <v>92.082287460438721</v>
      </c>
      <c r="L22" s="11">
        <f>K22-90.8298</f>
        <v>1.2524874604387151</v>
      </c>
      <c r="M22" s="11">
        <v>89</v>
      </c>
      <c r="N22" s="11">
        <f t="shared" si="13"/>
        <v>3.0822874604387209</v>
      </c>
      <c r="O22" s="11">
        <f>IFERROR(3910290/21875,0)</f>
        <v>178.75611428571429</v>
      </c>
      <c r="P22" s="11">
        <v>180</v>
      </c>
      <c r="Q22" s="11">
        <f t="shared" si="14"/>
        <v>-1.2438857142857103</v>
      </c>
      <c r="R22" s="7">
        <v>17780</v>
      </c>
      <c r="S22" s="11">
        <f t="shared" si="15"/>
        <v>121.27578304048893</v>
      </c>
      <c r="T22" s="13">
        <f t="shared" si="16"/>
        <v>7.5928008998875143</v>
      </c>
      <c r="U22" s="7">
        <v>31231</v>
      </c>
      <c r="V22" s="11">
        <f t="shared" si="17"/>
        <v>213.02384590199716</v>
      </c>
      <c r="W22" s="11">
        <f t="shared" si="18"/>
        <v>1.7565241844769404</v>
      </c>
      <c r="X22" s="11">
        <v>292.89142857140001</v>
      </c>
      <c r="Y22" s="11">
        <f t="shared" si="19"/>
        <v>131.7037037037037</v>
      </c>
      <c r="Z22" s="11">
        <f t="shared" si="20"/>
        <v>38.574885925922167</v>
      </c>
      <c r="AA22" s="7">
        <v>2097</v>
      </c>
      <c r="AB22" s="15">
        <f>IFERROR(AA22/1950,0)</f>
        <v>1.0753846153846154</v>
      </c>
      <c r="AC22" s="11">
        <v>0</v>
      </c>
      <c r="AD22" s="15">
        <f>IFERROR(AC22/63.1,0)</f>
        <v>0</v>
      </c>
      <c r="AE22" s="11">
        <v>19</v>
      </c>
      <c r="AF22" s="11">
        <v>26</v>
      </c>
      <c r="AG22" s="7">
        <f t="shared" si="21"/>
        <v>4518.88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IFERROR(425/F22,0)</f>
        <v>2.0292207792207792E-2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67</v>
      </c>
      <c r="B23" s="5">
        <v>106</v>
      </c>
      <c r="C23" s="7">
        <v>39</v>
      </c>
      <c r="D23" s="7">
        <v>7</v>
      </c>
      <c r="E23" s="7">
        <v>51833</v>
      </c>
      <c r="F23" s="7">
        <v>39351</v>
      </c>
      <c r="G23" s="7">
        <v>247</v>
      </c>
      <c r="H23" s="9">
        <f t="shared" si="11"/>
        <v>6.2768417575156917E-3</v>
      </c>
      <c r="I23" s="9">
        <f>IFERROR((51833-F23)/51833,0)</f>
        <v>0.24081183801825093</v>
      </c>
      <c r="J23" s="7">
        <v>157040</v>
      </c>
      <c r="K23" s="11">
        <f t="shared" si="12"/>
        <v>57.010713105856816</v>
      </c>
      <c r="L23" s="11">
        <f>K23-59.0578</f>
        <v>-2.0470868941431846</v>
      </c>
      <c r="M23" s="11">
        <v>70</v>
      </c>
      <c r="N23" s="11">
        <f t="shared" si="13"/>
        <v>-12.989286894143184</v>
      </c>
      <c r="O23" s="11">
        <f>IFERROR(21285588/51833,0)</f>
        <v>410.65707174965758</v>
      </c>
      <c r="P23" s="11">
        <v>0</v>
      </c>
      <c r="Q23" s="11">
        <f t="shared" si="14"/>
        <v>410.65707174965758</v>
      </c>
      <c r="R23" s="7">
        <v>33853</v>
      </c>
      <c r="S23" s="11">
        <f t="shared" si="15"/>
        <v>122.89758474099405</v>
      </c>
      <c r="T23" s="13">
        <f t="shared" si="16"/>
        <v>4.6388798629368146</v>
      </c>
      <c r="U23" s="7">
        <v>54092</v>
      </c>
      <c r="V23" s="11">
        <f t="shared" si="17"/>
        <v>196.37184751158983</v>
      </c>
      <c r="W23" s="11">
        <f t="shared" si="18"/>
        <v>1.5978495258913539</v>
      </c>
      <c r="X23" s="11">
        <v>280.28285714290001</v>
      </c>
      <c r="Y23" s="11">
        <f t="shared" si="19"/>
        <v>215.56928171166581</v>
      </c>
      <c r="Z23" s="11">
        <f t="shared" si="20"/>
        <v>60.420374190388394</v>
      </c>
      <c r="AA23" s="7">
        <v>1637</v>
      </c>
      <c r="AB23" s="15">
        <f>IFERROR(AA23/0,0)</f>
        <v>0</v>
      </c>
      <c r="AC23" s="11">
        <v>0</v>
      </c>
      <c r="AD23" s="15">
        <f>IFERROR(AC23/0,0)</f>
        <v>0</v>
      </c>
      <c r="AE23" s="11">
        <v>19</v>
      </c>
      <c r="AF23" s="11">
        <v>26</v>
      </c>
      <c r="AG23" s="7">
        <f t="shared" si="21"/>
        <v>-35779.899999999994</v>
      </c>
      <c r="AH23" s="7">
        <v>38</v>
      </c>
      <c r="AI23" s="7">
        <v>19.4736842105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IFERROR(1200/F23,0)</f>
        <v>3.0494777769307008E-2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81</v>
      </c>
      <c r="B24" s="5">
        <v>104</v>
      </c>
      <c r="C24" s="7">
        <v>38</v>
      </c>
      <c r="D24" s="7">
        <v>7</v>
      </c>
      <c r="E24" s="7">
        <v>21623</v>
      </c>
      <c r="F24" s="7">
        <v>17728</v>
      </c>
      <c r="G24" s="7">
        <v>54</v>
      </c>
      <c r="H24" s="9">
        <f t="shared" si="11"/>
        <v>3.0460288808664259E-3</v>
      </c>
      <c r="I24" s="9">
        <f>IFERROR((21623-F24)/21623,0)</f>
        <v>0.18013226656800629</v>
      </c>
      <c r="J24" s="7">
        <v>81540</v>
      </c>
      <c r="K24" s="11">
        <f t="shared" si="12"/>
        <v>65.707194430118619</v>
      </c>
      <c r="L24" s="11">
        <f>K24-67.243</f>
        <v>-1.5358055698813757</v>
      </c>
      <c r="M24" s="11">
        <v>68</v>
      </c>
      <c r="N24" s="11">
        <f t="shared" si="13"/>
        <v>-2.2928055698813807</v>
      </c>
      <c r="O24" s="11">
        <f>IFERROR(9044765/21623,0)</f>
        <v>418.2937150256671</v>
      </c>
      <c r="P24" s="11">
        <v>0</v>
      </c>
      <c r="Q24" s="11">
        <f t="shared" si="14"/>
        <v>418.2937150256671</v>
      </c>
      <c r="R24" s="7">
        <v>14349</v>
      </c>
      <c r="S24" s="11">
        <f t="shared" si="15"/>
        <v>115.62822331098504</v>
      </c>
      <c r="T24" s="13">
        <f t="shared" si="16"/>
        <v>5.6826259669663388</v>
      </c>
      <c r="U24" s="7">
        <v>27045</v>
      </c>
      <c r="V24" s="11">
        <f t="shared" si="17"/>
        <v>217.93611397627643</v>
      </c>
      <c r="W24" s="11">
        <f t="shared" si="18"/>
        <v>1.884800334518085</v>
      </c>
      <c r="X24" s="11">
        <v>275.14285714290003</v>
      </c>
      <c r="Y24" s="11">
        <f t="shared" si="19"/>
        <v>175.97498160412064</v>
      </c>
      <c r="Z24" s="11">
        <f t="shared" si="20"/>
        <v>48.418259224227029</v>
      </c>
      <c r="AA24" s="7">
        <v>2112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19</v>
      </c>
      <c r="AF24" s="11">
        <v>26</v>
      </c>
      <c r="AG24" s="7">
        <f t="shared" si="21"/>
        <v>-2845.2799999999984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IFERROR(480/F24,0)</f>
        <v>2.7075812274368231E-2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68</v>
      </c>
      <c r="B25" s="5">
        <v>37</v>
      </c>
      <c r="C25" s="7"/>
      <c r="D25" s="7">
        <v>7</v>
      </c>
      <c r="E25" s="7">
        <v>21339</v>
      </c>
      <c r="F25" s="7">
        <v>20820</v>
      </c>
      <c r="G25" s="7">
        <v>37</v>
      </c>
      <c r="H25" s="9">
        <f t="shared" si="11"/>
        <v>1.7771373679154659E-3</v>
      </c>
      <c r="I25" s="9">
        <f>IFERROR((21339-F25)/21339,0)</f>
        <v>2.432166455785182E-2</v>
      </c>
      <c r="J25" s="7">
        <v>132840</v>
      </c>
      <c r="K25" s="11">
        <f t="shared" si="12"/>
        <v>91.148620831617961</v>
      </c>
      <c r="L25" s="11">
        <f>K25-90.3705</f>
        <v>0.77812083161795442</v>
      </c>
      <c r="M25" s="11">
        <v>93.5</v>
      </c>
      <c r="N25" s="11">
        <f t="shared" si="13"/>
        <v>-2.3513791683820386</v>
      </c>
      <c r="O25" s="11">
        <f>IFERROR(2355870/21339,0)</f>
        <v>110.40208069731477</v>
      </c>
      <c r="P25" s="11">
        <v>117</v>
      </c>
      <c r="Q25" s="11">
        <f t="shared" si="14"/>
        <v>-6.5979193026852272</v>
      </c>
      <c r="R25" s="7">
        <v>16360</v>
      </c>
      <c r="S25" s="11">
        <f t="shared" si="15"/>
        <v>112.25470015095377</v>
      </c>
      <c r="T25" s="13">
        <f t="shared" si="16"/>
        <v>8.1198044009779959</v>
      </c>
      <c r="U25" s="7">
        <v>35548</v>
      </c>
      <c r="V25" s="11">
        <f t="shared" si="17"/>
        <v>243.91381912995746</v>
      </c>
      <c r="W25" s="11">
        <f t="shared" si="18"/>
        <v>2.1728606356968214</v>
      </c>
      <c r="X25" s="11">
        <v>273.59428571429999</v>
      </c>
      <c r="Y25" s="11">
        <f t="shared" si="19"/>
        <v>123.15567600120445</v>
      </c>
      <c r="Z25" s="11">
        <f t="shared" si="20"/>
        <v>33.69468920721129</v>
      </c>
      <c r="AA25" s="7">
        <v>1842</v>
      </c>
      <c r="AB25" s="15">
        <f>IFERROR(AA25/1920,0)</f>
        <v>0.95937499999999998</v>
      </c>
      <c r="AC25" s="11">
        <v>0</v>
      </c>
      <c r="AD25" s="15">
        <f>IFERROR(AC25/62,0)</f>
        <v>0</v>
      </c>
      <c r="AE25" s="11">
        <v>16</v>
      </c>
      <c r="AF25" s="11">
        <v>26</v>
      </c>
      <c r="AG25" s="7">
        <f t="shared" si="21"/>
        <v>-3426.8999999999828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IFERROR(350/F25,0)</f>
        <v>1.6810758885686838E-2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69</v>
      </c>
      <c r="B26" s="5">
        <v>24</v>
      </c>
      <c r="C26" s="7"/>
      <c r="D26" s="7">
        <v>7</v>
      </c>
      <c r="E26" s="7">
        <v>64976</v>
      </c>
      <c r="F26" s="7">
        <v>64362</v>
      </c>
      <c r="G26" s="7">
        <v>123</v>
      </c>
      <c r="H26" s="9">
        <f t="shared" si="11"/>
        <v>1.9110655355644634E-3</v>
      </c>
      <c r="I26" s="9">
        <f>IFERROR((64976-F26)/64976,0)</f>
        <v>9.4496429450874175E-3</v>
      </c>
      <c r="J26" s="7">
        <v>419560</v>
      </c>
      <c r="K26" s="11">
        <f t="shared" si="12"/>
        <v>93.125047166251591</v>
      </c>
      <c r="L26" s="11">
        <f>K26-93.0936</f>
        <v>3.1447166251595604E-2</v>
      </c>
      <c r="M26" s="11">
        <v>92.5</v>
      </c>
      <c r="N26" s="11">
        <f t="shared" si="13"/>
        <v>0.62504716625159062</v>
      </c>
      <c r="O26" s="11">
        <f>IFERROR(1887860/64976,0)</f>
        <v>29.054727899532136</v>
      </c>
      <c r="P26" s="11">
        <v>27</v>
      </c>
      <c r="Q26" s="11">
        <f t="shared" si="14"/>
        <v>2.0547278995321356</v>
      </c>
      <c r="R26" s="7">
        <v>46900</v>
      </c>
      <c r="S26" s="11">
        <f t="shared" si="15"/>
        <v>104.09869177464964</v>
      </c>
      <c r="T26" s="13">
        <f t="shared" si="16"/>
        <v>8.9458422174840084</v>
      </c>
      <c r="U26" s="7">
        <v>102750</v>
      </c>
      <c r="V26" s="11">
        <f t="shared" si="17"/>
        <v>228.06269893060235</v>
      </c>
      <c r="W26" s="11">
        <f t="shared" si="18"/>
        <v>2.1908315565031984</v>
      </c>
      <c r="X26" s="11">
        <v>296.52</v>
      </c>
      <c r="Y26" s="11">
        <f t="shared" si="19"/>
        <v>111.7837734769759</v>
      </c>
      <c r="Z26" s="11">
        <f t="shared" si="20"/>
        <v>33.146124511392891</v>
      </c>
      <c r="AA26" s="7">
        <v>1435</v>
      </c>
      <c r="AB26" s="15">
        <f>IFERROR(AA26/1480,0)</f>
        <v>0.96959459459459463</v>
      </c>
      <c r="AC26" s="11">
        <v>0</v>
      </c>
      <c r="AD26" s="15">
        <f>IFERROR(AC26/52.6,0)</f>
        <v>0</v>
      </c>
      <c r="AE26" s="11">
        <v>19</v>
      </c>
      <c r="AF26" s="11">
        <v>26</v>
      </c>
      <c r="AG26" s="7">
        <f t="shared" si="21"/>
        <v>2816.0499999999415</v>
      </c>
      <c r="AH26" s="7">
        <v>16</v>
      </c>
      <c r="AI26" s="7">
        <v>17.5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ht="15" thickBot="1" x14ac:dyDescent="0.35">
      <c r="A27" s="5" t="s">
        <v>70</v>
      </c>
      <c r="B27" s="5">
        <v>95</v>
      </c>
      <c r="C27" s="7">
        <v>23</v>
      </c>
      <c r="D27" s="7">
        <v>7</v>
      </c>
      <c r="E27" s="7">
        <v>47224</v>
      </c>
      <c r="F27" s="7">
        <v>36724</v>
      </c>
      <c r="G27" s="7">
        <v>91</v>
      </c>
      <c r="H27" s="9">
        <f t="shared" si="11"/>
        <v>2.4779435791308134E-3</v>
      </c>
      <c r="I27" s="9">
        <f>IFERROR((47224-F27)/47224,0)</f>
        <v>0.22234457055734372</v>
      </c>
      <c r="J27" s="7">
        <v>174220</v>
      </c>
      <c r="K27" s="11">
        <f t="shared" si="12"/>
        <v>67.771951390293623</v>
      </c>
      <c r="L27" s="11">
        <f>K27-68.0778</f>
        <v>-0.30584860970637351</v>
      </c>
      <c r="M27" s="11">
        <v>76</v>
      </c>
      <c r="N27" s="11">
        <f t="shared" si="13"/>
        <v>-8.2280486097063772</v>
      </c>
      <c r="O27" s="11">
        <f>IFERROR(16944880/47224,0)</f>
        <v>358.81924445197359</v>
      </c>
      <c r="P27" s="11">
        <v>0</v>
      </c>
      <c r="Q27" s="11">
        <f t="shared" si="14"/>
        <v>358.81924445197359</v>
      </c>
      <c r="R27" s="7">
        <v>31320</v>
      </c>
      <c r="S27" s="11">
        <f t="shared" si="15"/>
        <v>121.83546765836279</v>
      </c>
      <c r="T27" s="13">
        <f t="shared" si="16"/>
        <v>5.5625798212005106</v>
      </c>
      <c r="U27" s="7">
        <v>50700</v>
      </c>
      <c r="V27" s="11">
        <f t="shared" si="17"/>
        <v>197.22408078796272</v>
      </c>
      <c r="W27" s="11">
        <f t="shared" si="18"/>
        <v>1.6187739463601529</v>
      </c>
      <c r="X27" s="11">
        <v>280.97857142859999</v>
      </c>
      <c r="Y27" s="11">
        <f t="shared" si="19"/>
        <v>179.77270118241307</v>
      </c>
      <c r="Z27" s="11">
        <f t="shared" si="20"/>
        <v>50.512276760095013</v>
      </c>
      <c r="AA27" s="7">
        <v>1563</v>
      </c>
      <c r="AB27" s="15">
        <f>IFERROR(AA27/1580,0)</f>
        <v>0.98924050632911398</v>
      </c>
      <c r="AC27" s="11">
        <v>0</v>
      </c>
      <c r="AD27" s="15">
        <f>IFERROR(AC27/63.7,0)</f>
        <v>0</v>
      </c>
      <c r="AE27" s="11">
        <v>13</v>
      </c>
      <c r="AF27" s="11">
        <v>24</v>
      </c>
      <c r="AG27" s="7">
        <f t="shared" si="21"/>
        <v>-21151.679999999993</v>
      </c>
      <c r="AH27" s="7">
        <v>46</v>
      </c>
      <c r="AI27" s="7">
        <v>21.7391304348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IFERROR(840/F27,0)</f>
        <v>2.2873325345822895E-2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16" t="s">
        <v>73</v>
      </c>
      <c r="B28" s="16"/>
      <c r="C28" s="17"/>
      <c r="D28" s="17">
        <f>AVERAGE(D14:D27)</f>
        <v>7</v>
      </c>
      <c r="E28" s="17">
        <f>SUM(E14:E27)</f>
        <v>542887</v>
      </c>
      <c r="F28" s="17">
        <f>SUM(F14:F27)</f>
        <v>487064</v>
      </c>
      <c r="G28" s="17">
        <f>SUM(G14:G27)</f>
        <v>1612</v>
      </c>
      <c r="H28" s="18">
        <f t="shared" si="11"/>
        <v>3.3096266609726854E-3</v>
      </c>
      <c r="I28" s="18"/>
      <c r="J28" s="17">
        <f>SUM(J14:J27)</f>
        <v>2816420</v>
      </c>
      <c r="K28" s="19">
        <f t="shared" si="12"/>
        <v>82.606333928542099</v>
      </c>
      <c r="L28" s="19"/>
      <c r="M28" s="19">
        <f>IFERROR(SUMPRODUCT($F14:$F27,M14:M27)/$F28, 0)</f>
        <v>87.444207332095985</v>
      </c>
      <c r="N28" s="19">
        <f t="shared" si="13"/>
        <v>-4.8378734035538855</v>
      </c>
      <c r="O28" s="19">
        <f>IFERROR(SUMPRODUCT($E14:$E27,O14:O27)/$E28, 0)</f>
        <v>225.2655819719389</v>
      </c>
      <c r="P28" s="19">
        <f>IFERROR(SUMPRODUCT($E14:$E27,P14:P27)/$E28, 0)</f>
        <v>132.94368441314674</v>
      </c>
      <c r="Q28" s="19">
        <f>IFERROR(SUMPRODUCT($E14:$E27,Q14:Q27)/$E28, 0)</f>
        <v>92.321897558792159</v>
      </c>
      <c r="R28" s="17">
        <f>SUM(R14:R27)</f>
        <v>394030</v>
      </c>
      <c r="S28" s="19">
        <f>IFERROR(R28/D28/$F28*1000,0)</f>
        <v>115.5700277581591</v>
      </c>
      <c r="T28" s="20">
        <f t="shared" si="16"/>
        <v>7.1477298682841406</v>
      </c>
      <c r="U28" s="17">
        <f>SUM(U14:U27)</f>
        <v>688409</v>
      </c>
      <c r="V28" s="19">
        <f>IFERROR(U28/D28/$F28*1000,0)</f>
        <v>201.91215704125713</v>
      </c>
      <c r="W28" s="19">
        <f t="shared" si="18"/>
        <v>1.747097936705327</v>
      </c>
      <c r="X28" s="19">
        <f>IFERROR(SUMPRODUCT(R14:R27,X14:X27)/R28,0)</f>
        <v>285.85146424311148</v>
      </c>
      <c r="Y28" s="19">
        <f>IFERROR(($F28*S28)/($F28*K28)*100,0)</f>
        <v>139.90455968925087</v>
      </c>
      <c r="Z28" s="19">
        <f t="shared" si="20"/>
        <v>39.99192324146015</v>
      </c>
      <c r="AA28" s="17"/>
      <c r="AB28" s="21">
        <f>IFERROR(SUMPRODUCT($F14:$F27,AB14:AB27)/$F28,0)</f>
        <v>0.87598102993718208</v>
      </c>
      <c r="AC28" s="19"/>
      <c r="AD28" s="21">
        <f>AVERAGE(AD14:AD27)</f>
        <v>0.21469234398585982</v>
      </c>
      <c r="AE28" s="19"/>
      <c r="AF28" s="19"/>
      <c r="AG28" s="17">
        <f>SUM(AG14:AG27)</f>
        <v>-164944.77800000002</v>
      </c>
      <c r="AH28" s="17">
        <f>SUM(AH14:AH27)</f>
        <v>282</v>
      </c>
      <c r="AI28" s="17">
        <f>IFERROR(SUMPRODUCT(AH14:AH27,AI14:AI27)/AH28, 0)</f>
        <v>18.510638297863125</v>
      </c>
      <c r="AJ28" s="19">
        <f>AVERAGE(AJ14:AJ27)</f>
        <v>0</v>
      </c>
      <c r="AK28" s="19">
        <f>AVERAGE(AK14:AK27)</f>
        <v>0</v>
      </c>
      <c r="AL28" s="19">
        <f>AVERAGE(AL14:AL27)</f>
        <v>0</v>
      </c>
      <c r="AM28" s="19">
        <f>AVERAGE(AM14:AM27)</f>
        <v>0</v>
      </c>
      <c r="AN28" s="19">
        <f>AVERAGE(AN14:AN27)</f>
        <v>0</v>
      </c>
      <c r="AO28" s="20"/>
      <c r="AP28" s="19"/>
      <c r="AQ28" s="17"/>
      <c r="AR28" s="17"/>
      <c r="AS28" s="17"/>
      <c r="AT28" s="17"/>
    </row>
    <row r="29" spans="1:46" ht="15" thickBot="1" x14ac:dyDescent="0.35"/>
    <row r="30" spans="1:46" ht="15" thickBot="1" x14ac:dyDescent="0.35">
      <c r="A30" s="23" t="s">
        <v>74</v>
      </c>
      <c r="B30" s="23"/>
      <c r="C30" s="23"/>
      <c r="D30" s="23">
        <f>IFERROR($F$12/$F30*D$12,0)+IFERROR($F$28/$F30*D$28,0)</f>
        <v>7</v>
      </c>
      <c r="E30" s="23">
        <f>E12+E28</f>
        <v>589092</v>
      </c>
      <c r="F30" s="23">
        <f>F12+F28</f>
        <v>525200</v>
      </c>
      <c r="G30" s="23">
        <f>G12+G28</f>
        <v>1710</v>
      </c>
      <c r="H30" s="24">
        <f>IFERROR(G30/F30,0)</f>
        <v>3.255902513328256E-3</v>
      </c>
      <c r="I30" s="23"/>
      <c r="J30" s="23">
        <f>J12+J28</f>
        <v>3026870</v>
      </c>
      <c r="K30" s="25">
        <f>IFERROR(J30/D30/F30*100,0)</f>
        <v>82.332444782939831</v>
      </c>
      <c r="L30" s="23"/>
      <c r="M30" s="25">
        <f>IFERROR($F$12/$F30*M$12,0)+IFERROR($F$28/$F30*M$28,0)</f>
        <v>87.151864813404416</v>
      </c>
      <c r="N30" s="25">
        <f>K30-M30</f>
        <v>-4.8194200304645847</v>
      </c>
      <c r="O30" s="23">
        <f>IFERROR($E$12/$E30*O$12,0)+IFERROR($E$28/$E30*O$28,0)</f>
        <v>230.14342751217126</v>
      </c>
      <c r="P30" s="23">
        <f>IFERROR($E$12/$E30*P$12,0)+IFERROR($E$28/$E30*P$28,0)</f>
        <v>125.42064397411609</v>
      </c>
      <c r="Q30" s="23">
        <f>IFERROR($E$12/$E30*Q$12,0)+IFERROR($E$28/$E30*Q$28,0)</f>
        <v>104.72278353805518</v>
      </c>
      <c r="R30" s="23">
        <f>R12+R28</f>
        <v>429202</v>
      </c>
      <c r="S30" s="25">
        <f>IFERROR(R30/D30/$F30*1000,0)</f>
        <v>116.74518550756174</v>
      </c>
      <c r="T30" s="26">
        <f>IFERROR(J30/R30,0)</f>
        <v>7.0523203526544611</v>
      </c>
      <c r="U30" s="23">
        <f>U12+U28</f>
        <v>703529</v>
      </c>
      <c r="V30" s="25">
        <f>IFERROR(U30/D30/$F30*1000,0)</f>
        <v>191.36356218039384</v>
      </c>
      <c r="W30" s="25">
        <f>IFERROR(V30/S30,0)</f>
        <v>1.6391559219202145</v>
      </c>
      <c r="X30" s="25">
        <f>IFERROR($F$12/$F30*X$12,0)+IFERROR($F$28/$F30*X$28,0)</f>
        <v>291.71160465569307</v>
      </c>
      <c r="Y30" s="25">
        <f>IFERROR(($F30*S30)/($F30*K30)*100,0)</f>
        <v>141.79730216362117</v>
      </c>
      <c r="Z30" s="25">
        <f>IFERROR(Y30*X30/1000,0)</f>
        <v>41.363918549998111</v>
      </c>
      <c r="AA30" s="23"/>
      <c r="AB30" s="27"/>
      <c r="AC30" s="23"/>
      <c r="AD30" s="27"/>
      <c r="AE30" s="23"/>
      <c r="AF30" s="23"/>
      <c r="AG30" s="23">
        <f>AG12+AG28</f>
        <v>-177181.15800000002</v>
      </c>
      <c r="AH30" s="23">
        <f>AH12+AH28</f>
        <v>282</v>
      </c>
      <c r="AI30" s="23">
        <f>IFERROR(AH$12/AH30*AI$12,0)+IFERROR(AH$28/AH30*AI$28,0)</f>
        <v>18.510638297863125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2" spans="1:46" x14ac:dyDescent="0.3">
      <c r="A32" s="31" t="s">
        <v>75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x14ac:dyDescent="0.3">
      <c r="A33" s="32"/>
      <c r="B33" s="32" t="s">
        <v>76</v>
      </c>
      <c r="C33" s="32"/>
      <c r="D33" s="32" t="s">
        <v>77</v>
      </c>
      <c r="E33" s="32" t="s">
        <v>78</v>
      </c>
      <c r="F33" s="32" t="s">
        <v>79</v>
      </c>
      <c r="G33" s="32" t="s">
        <v>50</v>
      </c>
      <c r="H33" s="32" t="s">
        <v>51</v>
      </c>
      <c r="I33" s="32" t="s">
        <v>49</v>
      </c>
      <c r="J33" s="32" t="s">
        <v>52</v>
      </c>
      <c r="K33" s="32" t="s">
        <v>53</v>
      </c>
      <c r="L33" s="32" t="s">
        <v>54</v>
      </c>
      <c r="M33" s="32" t="s">
        <v>56</v>
      </c>
      <c r="N33" s="32" t="s">
        <v>65</v>
      </c>
      <c r="O33" s="32" t="s">
        <v>58</v>
      </c>
      <c r="P33" s="32" t="s">
        <v>59</v>
      </c>
      <c r="Q33" s="32" t="s">
        <v>80</v>
      </c>
      <c r="R33" s="32" t="s">
        <v>60</v>
      </c>
      <c r="S33" s="32" t="s">
        <v>69</v>
      </c>
      <c r="T33" s="32" t="s">
        <v>61</v>
      </c>
      <c r="U33" s="32" t="s">
        <v>70</v>
      </c>
      <c r="V33" s="32" t="s">
        <v>71</v>
      </c>
      <c r="W33" s="32" t="s">
        <v>72</v>
      </c>
      <c r="X33" s="32" t="s">
        <v>62</v>
      </c>
      <c r="Y33" s="32" t="s">
        <v>66</v>
      </c>
      <c r="Z33" s="32" t="s">
        <v>67</v>
      </c>
      <c r="AA33" s="32" t="s">
        <v>81</v>
      </c>
      <c r="AB33" s="32" t="s">
        <v>63</v>
      </c>
      <c r="AC33" s="32" t="s">
        <v>68</v>
      </c>
      <c r="AD33" s="32" t="s">
        <v>64</v>
      </c>
    </row>
    <row r="34" spans="1:30" x14ac:dyDescent="0.3">
      <c r="B34" s="4">
        <v>202501</v>
      </c>
      <c r="C34" s="4"/>
      <c r="D34" s="8">
        <v>2.8E-3</v>
      </c>
      <c r="E34" s="8">
        <v>5.1000000000000004E-3</v>
      </c>
      <c r="F34" s="8">
        <v>2.5999999999999999E-3</v>
      </c>
      <c r="G34" s="8">
        <v>7.7999999999999996E-3</v>
      </c>
      <c r="H34" s="8">
        <v>4.4999999999999997E-3</v>
      </c>
      <c r="I34" s="8">
        <v>3.5000000000000001E-3</v>
      </c>
      <c r="J34" s="8">
        <v>3.2000000000000002E-3</v>
      </c>
      <c r="K34" s="8">
        <v>4.7999999999999996E-3</v>
      </c>
      <c r="L34" s="8">
        <v>1.9E-3</v>
      </c>
      <c r="M34" s="8">
        <v>2.3999999999999998E-3</v>
      </c>
      <c r="N34" s="8">
        <v>2E-3</v>
      </c>
      <c r="O34" s="8">
        <v>5.7999999999999996E-3</v>
      </c>
      <c r="P34" s="8">
        <v>2.3999999999999998E-3</v>
      </c>
      <c r="Q34" s="8">
        <v>3.3999999999999998E-3</v>
      </c>
      <c r="R34" s="8">
        <v>1.6999999999999999E-3</v>
      </c>
      <c r="S34" s="8"/>
      <c r="T34" s="8">
        <v>2.5000000000000001E-3</v>
      </c>
      <c r="U34" s="8">
        <v>5.3E-3</v>
      </c>
      <c r="V34" s="8">
        <v>6.3E-3</v>
      </c>
      <c r="W34" s="8">
        <v>2.7000000000000001E-3</v>
      </c>
      <c r="X34" s="8">
        <v>1.5E-3</v>
      </c>
      <c r="Y34" s="8">
        <v>1.4E-3</v>
      </c>
      <c r="Z34" s="8">
        <v>2.8E-3</v>
      </c>
      <c r="AA34" s="8">
        <v>1.6999999999999999E-3</v>
      </c>
      <c r="AB34" s="8"/>
      <c r="AC34" s="8"/>
      <c r="AD34" s="8">
        <v>6.9999999999999999E-4</v>
      </c>
    </row>
    <row r="35" spans="1:30" x14ac:dyDescent="0.3">
      <c r="B35" s="5">
        <v>202502</v>
      </c>
      <c r="C35" s="5"/>
      <c r="D35" s="9">
        <v>2.8999999999999998E-3</v>
      </c>
      <c r="E35" s="9">
        <v>4.4000000000000003E-3</v>
      </c>
      <c r="F35" s="9">
        <v>2.7000000000000001E-3</v>
      </c>
      <c r="G35" s="9">
        <v>6.3E-3</v>
      </c>
      <c r="H35" s="9">
        <v>4.4999999999999997E-3</v>
      </c>
      <c r="I35" s="9">
        <v>4.4000000000000003E-3</v>
      </c>
      <c r="J35" s="9">
        <v>3.2000000000000002E-3</v>
      </c>
      <c r="K35" s="9">
        <v>2.7000000000000001E-3</v>
      </c>
      <c r="L35" s="9">
        <v>2.0999999999999999E-3</v>
      </c>
      <c r="M35" s="9">
        <v>3.3999999999999998E-3</v>
      </c>
      <c r="N35" s="9">
        <v>1.9E-3</v>
      </c>
      <c r="O35" s="9">
        <v>1.32E-2</v>
      </c>
      <c r="P35" s="9">
        <v>2.3999999999999998E-3</v>
      </c>
      <c r="Q35" s="9">
        <v>4.1999999999999997E-3</v>
      </c>
      <c r="R35" s="9">
        <v>1.6999999999999999E-3</v>
      </c>
      <c r="S35" s="9"/>
      <c r="T35" s="9">
        <v>2.5000000000000001E-3</v>
      </c>
      <c r="U35" s="9">
        <v>5.7999999999999996E-3</v>
      </c>
      <c r="V35" s="9">
        <v>3.5999999999999999E-3</v>
      </c>
      <c r="W35" s="9">
        <v>2.3E-3</v>
      </c>
      <c r="X35" s="9">
        <v>1.5E-3</v>
      </c>
      <c r="Y35" s="9">
        <v>1E-3</v>
      </c>
      <c r="Z35" s="9">
        <v>3.0000000000000001E-3</v>
      </c>
      <c r="AA35" s="9">
        <v>1.8E-3</v>
      </c>
      <c r="AB35" s="9"/>
      <c r="AC35" s="9"/>
      <c r="AD35" s="9">
        <v>1E-3</v>
      </c>
    </row>
    <row r="36" spans="1:30" x14ac:dyDescent="0.3">
      <c r="B36" s="5">
        <v>202503</v>
      </c>
      <c r="C36" s="5"/>
      <c r="D36" s="9">
        <v>2.8E-3</v>
      </c>
      <c r="E36" s="9">
        <v>4.8999999999999998E-3</v>
      </c>
      <c r="F36" s="9">
        <v>2.5999999999999999E-3</v>
      </c>
      <c r="G36" s="9">
        <v>5.8999999999999999E-3</v>
      </c>
      <c r="H36" s="9">
        <v>5.8999999999999999E-3</v>
      </c>
      <c r="I36" s="9">
        <v>3.5999999999999999E-3</v>
      </c>
      <c r="J36" s="9">
        <v>3.3999999999999998E-3</v>
      </c>
      <c r="K36" s="9">
        <v>3.2000000000000002E-3</v>
      </c>
      <c r="L36" s="9">
        <v>3.0000000000000001E-3</v>
      </c>
      <c r="M36" s="9">
        <v>2.2000000000000001E-3</v>
      </c>
      <c r="N36" s="9">
        <v>1.6000000000000001E-3</v>
      </c>
      <c r="O36" s="9">
        <v>9.7999999999999997E-3</v>
      </c>
      <c r="P36" s="9">
        <v>2.5000000000000001E-3</v>
      </c>
      <c r="Q36" s="9">
        <v>3.3E-3</v>
      </c>
      <c r="R36" s="9">
        <v>1.8E-3</v>
      </c>
      <c r="S36" s="9"/>
      <c r="T36" s="9">
        <v>2.5000000000000001E-3</v>
      </c>
      <c r="U36" s="9">
        <v>5.4999999999999997E-3</v>
      </c>
      <c r="V36" s="9">
        <v>3.5000000000000001E-3</v>
      </c>
      <c r="W36" s="9">
        <v>2.5000000000000001E-3</v>
      </c>
      <c r="X36" s="9">
        <v>1.6999999999999999E-3</v>
      </c>
      <c r="Y36" s="9">
        <v>6.9999999999999999E-4</v>
      </c>
      <c r="Z36" s="9">
        <v>2.8E-3</v>
      </c>
      <c r="AA36" s="9">
        <v>1.4E-3</v>
      </c>
      <c r="AB36" s="9"/>
      <c r="AC36" s="9"/>
      <c r="AD36" s="9">
        <v>1.6000000000000001E-3</v>
      </c>
    </row>
    <row r="37" spans="1:30" x14ac:dyDescent="0.3">
      <c r="B37" s="5">
        <v>202504</v>
      </c>
      <c r="C37" s="5"/>
      <c r="D37" s="9">
        <v>2.5999999999999999E-3</v>
      </c>
      <c r="E37" s="9">
        <v>5.1000000000000004E-3</v>
      </c>
      <c r="F37" s="9">
        <v>2.3999999999999998E-3</v>
      </c>
      <c r="G37" s="9">
        <v>5.8999999999999999E-3</v>
      </c>
      <c r="H37" s="9">
        <v>5.7999999999999996E-3</v>
      </c>
      <c r="I37" s="9">
        <v>6.3E-3</v>
      </c>
      <c r="J37" s="9">
        <v>5.0000000000000001E-3</v>
      </c>
      <c r="K37" s="9">
        <v>4.1000000000000003E-3</v>
      </c>
      <c r="L37" s="9">
        <v>1.9E-3</v>
      </c>
      <c r="M37" s="9">
        <v>2.3999999999999998E-3</v>
      </c>
      <c r="N37" s="9">
        <v>2.2000000000000001E-3</v>
      </c>
      <c r="O37" s="9">
        <v>7.3000000000000001E-3</v>
      </c>
      <c r="P37" s="9">
        <v>2.5000000000000001E-3</v>
      </c>
      <c r="Q37" s="9">
        <v>4.1000000000000003E-3</v>
      </c>
      <c r="R37" s="9">
        <v>1.6999999999999999E-3</v>
      </c>
      <c r="S37" s="9"/>
      <c r="T37" s="9">
        <v>2.5999999999999999E-3</v>
      </c>
      <c r="U37" s="9">
        <v>3.2000000000000002E-3</v>
      </c>
      <c r="V37" s="9">
        <v>3.7000000000000002E-3</v>
      </c>
      <c r="W37" s="9">
        <v>2.5000000000000001E-3</v>
      </c>
      <c r="X37" s="9">
        <v>1.6000000000000001E-3</v>
      </c>
      <c r="Y37" s="9">
        <v>8.9999999999999998E-4</v>
      </c>
      <c r="Z37" s="9">
        <v>3.5000000000000001E-3</v>
      </c>
      <c r="AA37" s="9">
        <v>1.6000000000000001E-3</v>
      </c>
      <c r="AB37" s="9"/>
      <c r="AC37" s="9"/>
      <c r="AD37" s="9">
        <v>8.9999999999999998E-4</v>
      </c>
    </row>
    <row r="38" spans="1:30" x14ac:dyDescent="0.3">
      <c r="B38" s="5">
        <v>202505</v>
      </c>
      <c r="C38" s="5"/>
      <c r="D38" s="9">
        <v>2.5999999999999999E-3</v>
      </c>
      <c r="E38" s="9">
        <v>4.1000000000000003E-3</v>
      </c>
      <c r="F38" s="9">
        <v>2.5000000000000001E-3</v>
      </c>
      <c r="G38" s="9">
        <v>5.3E-3</v>
      </c>
      <c r="H38" s="9">
        <v>4.7000000000000002E-3</v>
      </c>
      <c r="I38" s="9">
        <v>2.7000000000000001E-3</v>
      </c>
      <c r="J38" s="9">
        <v>1.6000000000000001E-3</v>
      </c>
      <c r="K38" s="9">
        <v>3.0000000000000001E-3</v>
      </c>
      <c r="L38" s="9">
        <v>2.8E-3</v>
      </c>
      <c r="M38" s="9">
        <v>2.5000000000000001E-3</v>
      </c>
      <c r="N38" s="9">
        <v>2.7000000000000001E-3</v>
      </c>
      <c r="O38" s="9">
        <v>4.5999999999999999E-3</v>
      </c>
      <c r="P38" s="9">
        <v>4.1000000000000003E-3</v>
      </c>
      <c r="Q38" s="9">
        <v>4.1000000000000003E-3</v>
      </c>
      <c r="R38" s="9">
        <v>1.6999999999999999E-3</v>
      </c>
      <c r="S38" s="9"/>
      <c r="T38" s="9">
        <v>2.3E-3</v>
      </c>
      <c r="U38" s="9">
        <v>2.2000000000000001E-3</v>
      </c>
      <c r="V38" s="9">
        <v>4.4000000000000003E-3</v>
      </c>
      <c r="W38" s="9">
        <v>2.3E-3</v>
      </c>
      <c r="X38" s="9">
        <v>1.6000000000000001E-3</v>
      </c>
      <c r="Y38" s="9">
        <v>8.9999999999999998E-4</v>
      </c>
      <c r="Z38" s="9">
        <v>3.0999999999999999E-3</v>
      </c>
      <c r="AA38" s="9">
        <v>1.5E-3</v>
      </c>
      <c r="AB38" s="9"/>
      <c r="AC38" s="9"/>
      <c r="AD38" s="9">
        <v>8.9999999999999998E-4</v>
      </c>
    </row>
    <row r="39" spans="1:30" x14ac:dyDescent="0.3">
      <c r="B39" s="5">
        <v>202506</v>
      </c>
      <c r="C39" s="5"/>
      <c r="D39" s="9">
        <v>1.9E-3</v>
      </c>
      <c r="E39" s="9">
        <v>4.4999999999999997E-3</v>
      </c>
      <c r="F39" s="9">
        <v>1.6999999999999999E-3</v>
      </c>
      <c r="G39" s="9">
        <v>5.8999999999999999E-3</v>
      </c>
      <c r="H39" s="9">
        <v>5.4000000000000003E-3</v>
      </c>
      <c r="I39" s="9">
        <v>4.4999999999999997E-3</v>
      </c>
      <c r="J39" s="9">
        <v>2.5000000000000001E-3</v>
      </c>
      <c r="K39" s="9">
        <v>3.0000000000000001E-3</v>
      </c>
      <c r="L39" s="9">
        <v>1.2999999999999999E-3</v>
      </c>
      <c r="M39" s="9">
        <v>3.7000000000000002E-3</v>
      </c>
      <c r="N39" s="9">
        <v>2.5000000000000001E-3</v>
      </c>
      <c r="O39" s="9">
        <v>4.0000000000000001E-3</v>
      </c>
      <c r="P39" s="9">
        <v>2.7000000000000001E-3</v>
      </c>
      <c r="Q39" s="9">
        <v>3.8E-3</v>
      </c>
      <c r="R39" s="9">
        <v>1.5E-3</v>
      </c>
      <c r="S39" s="9"/>
      <c r="T39" s="9">
        <v>1.6999999999999999E-3</v>
      </c>
      <c r="U39" s="9">
        <v>3.0000000000000001E-3</v>
      </c>
      <c r="V39" s="9">
        <v>3.5999999999999999E-3</v>
      </c>
      <c r="W39" s="9">
        <v>1.8E-3</v>
      </c>
      <c r="X39" s="9">
        <v>8.9999999999999998E-4</v>
      </c>
      <c r="Y39" s="9">
        <v>5.9999999999999995E-4</v>
      </c>
      <c r="Z39" s="9">
        <v>1.6999999999999999E-3</v>
      </c>
      <c r="AA39" s="9">
        <v>1E-3</v>
      </c>
      <c r="AB39" s="9">
        <v>0</v>
      </c>
      <c r="AC39" s="9">
        <v>0</v>
      </c>
      <c r="AD39" s="9">
        <v>5.0000000000000001E-4</v>
      </c>
    </row>
    <row r="40" spans="1:30" x14ac:dyDescent="0.3">
      <c r="B40" s="5">
        <v>202507</v>
      </c>
      <c r="C40" s="5"/>
      <c r="D40" s="9">
        <v>2.3999999999999998E-3</v>
      </c>
      <c r="E40" s="9">
        <v>4.5999999999999999E-3</v>
      </c>
      <c r="F40" s="9">
        <v>2.2000000000000001E-3</v>
      </c>
      <c r="G40" s="9">
        <v>5.7999999999999996E-3</v>
      </c>
      <c r="H40" s="9">
        <v>4.3E-3</v>
      </c>
      <c r="I40" s="9">
        <v>4.4999999999999997E-3</v>
      </c>
      <c r="J40" s="9">
        <v>2.5000000000000001E-3</v>
      </c>
      <c r="K40" s="9">
        <v>5.1000000000000004E-3</v>
      </c>
      <c r="L40" s="9">
        <v>3.8E-3</v>
      </c>
      <c r="M40" s="9">
        <v>8.0999999999999996E-3</v>
      </c>
      <c r="N40" s="9">
        <v>2.8E-3</v>
      </c>
      <c r="O40" s="9">
        <v>4.4999999999999997E-3</v>
      </c>
      <c r="P40" s="9">
        <v>2E-3</v>
      </c>
      <c r="Q40" s="9">
        <v>4.8999999999999998E-3</v>
      </c>
      <c r="R40" s="9">
        <v>1.4E-3</v>
      </c>
      <c r="S40" s="9"/>
      <c r="T40" s="9">
        <v>1.9E-3</v>
      </c>
      <c r="U40" s="9">
        <v>4.3E-3</v>
      </c>
      <c r="V40" s="9">
        <v>4.1999999999999997E-3</v>
      </c>
      <c r="W40" s="9">
        <v>4.4000000000000003E-3</v>
      </c>
      <c r="X40" s="9">
        <v>1.1000000000000001E-3</v>
      </c>
      <c r="Y40" s="9">
        <v>5.0000000000000001E-4</v>
      </c>
      <c r="Z40" s="9">
        <v>2.0999999999999999E-3</v>
      </c>
      <c r="AA40" s="9">
        <v>1.1999999999999999E-3</v>
      </c>
      <c r="AB40" s="9">
        <v>8.9999999999999998E-4</v>
      </c>
      <c r="AC40" s="9">
        <v>8.0000000000000004E-4</v>
      </c>
      <c r="AD40" s="9">
        <v>6.9999999999999999E-4</v>
      </c>
    </row>
    <row r="41" spans="1:30" x14ac:dyDescent="0.3">
      <c r="B41" s="5">
        <v>202508</v>
      </c>
      <c r="C41" s="5"/>
      <c r="D41" s="9">
        <v>2E-3</v>
      </c>
      <c r="E41" s="9">
        <v>4.4000000000000003E-3</v>
      </c>
      <c r="F41" s="9">
        <v>1.8E-3</v>
      </c>
      <c r="G41" s="9">
        <v>6.6E-3</v>
      </c>
      <c r="H41" s="9">
        <v>3.8E-3</v>
      </c>
      <c r="I41" s="9">
        <v>2.7000000000000001E-3</v>
      </c>
      <c r="J41" s="9">
        <v>3.2000000000000002E-3</v>
      </c>
      <c r="K41" s="9">
        <v>4.1999999999999997E-3</v>
      </c>
      <c r="L41" s="9">
        <v>2.0999999999999999E-3</v>
      </c>
      <c r="M41" s="9">
        <v>2.5999999999999999E-3</v>
      </c>
      <c r="N41" s="9">
        <v>2.8999999999999998E-3</v>
      </c>
      <c r="O41" s="9">
        <v>5.1999999999999998E-3</v>
      </c>
      <c r="P41" s="9">
        <v>1.9E-3</v>
      </c>
      <c r="Q41" s="9">
        <v>2.3999999999999998E-3</v>
      </c>
      <c r="R41" s="9">
        <v>1.2999999999999999E-3</v>
      </c>
      <c r="S41" s="9"/>
      <c r="T41" s="9">
        <v>1.9E-3</v>
      </c>
      <c r="U41" s="9">
        <v>3.0999999999999999E-3</v>
      </c>
      <c r="V41" s="9">
        <v>3.2000000000000002E-3</v>
      </c>
      <c r="W41" s="9">
        <v>2.3E-3</v>
      </c>
      <c r="X41" s="9">
        <v>1.1000000000000001E-3</v>
      </c>
      <c r="Y41" s="9">
        <v>5.0000000000000001E-4</v>
      </c>
      <c r="Z41" s="9">
        <v>2.8E-3</v>
      </c>
      <c r="AA41" s="9">
        <v>1.2999999999999999E-3</v>
      </c>
      <c r="AB41" s="9">
        <v>1.1999999999999999E-3</v>
      </c>
      <c r="AC41" s="9">
        <v>6.9999999999999999E-4</v>
      </c>
      <c r="AD41" s="9">
        <v>5.9999999999999995E-4</v>
      </c>
    </row>
    <row r="42" spans="1:30" x14ac:dyDescent="0.3">
      <c r="B42" s="5">
        <v>202509</v>
      </c>
      <c r="C42" s="5"/>
      <c r="D42" s="9">
        <v>3.0000000000000001E-3</v>
      </c>
      <c r="E42" s="9">
        <v>8.8000000000000005E-3</v>
      </c>
      <c r="F42" s="9">
        <v>2.5000000000000001E-3</v>
      </c>
      <c r="G42" s="9">
        <v>1.7299999999999999E-2</v>
      </c>
      <c r="H42" s="9">
        <v>5.7000000000000002E-3</v>
      </c>
      <c r="I42" s="9">
        <v>9.1999999999999998E-3</v>
      </c>
      <c r="J42" s="9">
        <v>5.1000000000000004E-3</v>
      </c>
      <c r="K42" s="9">
        <v>4.4000000000000003E-3</v>
      </c>
      <c r="L42" s="9">
        <v>3.8999999999999998E-3</v>
      </c>
      <c r="M42" s="9">
        <v>2.0999999999999999E-3</v>
      </c>
      <c r="N42" s="9">
        <v>5.1999999999999998E-3</v>
      </c>
      <c r="O42" s="9">
        <v>5.0000000000000001E-3</v>
      </c>
      <c r="P42" s="9">
        <v>2.7000000000000001E-3</v>
      </c>
      <c r="Q42" s="9">
        <v>4.8999999999999998E-3</v>
      </c>
      <c r="R42" s="9">
        <v>2E-3</v>
      </c>
      <c r="S42" s="9"/>
      <c r="T42" s="9">
        <v>2.5000000000000001E-3</v>
      </c>
      <c r="U42" s="9">
        <v>3.0999999999999999E-3</v>
      </c>
      <c r="V42" s="9">
        <v>4.5999999999999999E-3</v>
      </c>
      <c r="W42" s="9">
        <v>2.8E-3</v>
      </c>
      <c r="X42" s="9">
        <v>1.6999999999999999E-3</v>
      </c>
      <c r="Y42" s="9">
        <v>1E-3</v>
      </c>
      <c r="Z42" s="9">
        <v>3.5999999999999999E-3</v>
      </c>
      <c r="AA42" s="9">
        <v>1.6000000000000001E-3</v>
      </c>
      <c r="AB42" s="9">
        <v>2.3E-3</v>
      </c>
      <c r="AC42" s="9">
        <v>1.1999999999999999E-3</v>
      </c>
      <c r="AD42" s="9">
        <v>1.1999999999999999E-3</v>
      </c>
    </row>
    <row r="43" spans="1:30" x14ac:dyDescent="0.3">
      <c r="B43" s="5">
        <v>202510</v>
      </c>
      <c r="C43" s="5"/>
      <c r="D43" s="9">
        <v>2.8E-3</v>
      </c>
      <c r="E43" s="9">
        <v>8.0000000000000002E-3</v>
      </c>
      <c r="F43" s="9">
        <v>2.3999999999999998E-3</v>
      </c>
      <c r="G43" s="9">
        <v>1.47E-2</v>
      </c>
      <c r="H43" s="9">
        <v>7.1000000000000004E-3</v>
      </c>
      <c r="I43" s="9">
        <v>1.12E-2</v>
      </c>
      <c r="J43" s="9">
        <v>2.8E-3</v>
      </c>
      <c r="K43" s="9">
        <v>2.0999999999999999E-3</v>
      </c>
      <c r="L43" s="9">
        <v>3.0000000000000001E-3</v>
      </c>
      <c r="M43" s="9">
        <v>2.5000000000000001E-3</v>
      </c>
      <c r="N43" s="9">
        <v>3.3999999999999998E-3</v>
      </c>
      <c r="O43" s="9">
        <v>5.5999999999999999E-3</v>
      </c>
      <c r="P43" s="9">
        <v>2.8999999999999998E-3</v>
      </c>
      <c r="Q43" s="9">
        <v>4.1999999999999997E-3</v>
      </c>
      <c r="R43" s="9">
        <v>2.3E-3</v>
      </c>
      <c r="S43" s="9"/>
      <c r="T43" s="9">
        <v>2.5000000000000001E-3</v>
      </c>
      <c r="U43" s="9">
        <v>2.5999999999999999E-3</v>
      </c>
      <c r="V43" s="9">
        <v>3.3999999999999998E-3</v>
      </c>
      <c r="W43" s="9">
        <v>2.5000000000000001E-3</v>
      </c>
      <c r="X43" s="9">
        <v>2E-3</v>
      </c>
      <c r="Y43" s="9">
        <v>1E-3</v>
      </c>
      <c r="Z43" s="9">
        <v>3.5000000000000001E-3</v>
      </c>
      <c r="AA43" s="9">
        <v>1.6999999999999999E-3</v>
      </c>
      <c r="AB43" s="9">
        <v>1.6999999999999999E-3</v>
      </c>
      <c r="AC43" s="9">
        <v>1.6000000000000001E-3</v>
      </c>
      <c r="AD43" s="9">
        <v>1.2999999999999999E-3</v>
      </c>
    </row>
    <row r="44" spans="1:30" x14ac:dyDescent="0.3">
      <c r="B44" s="5">
        <v>202511</v>
      </c>
      <c r="C44" s="5"/>
      <c r="D44" s="9">
        <v>2.3E-3</v>
      </c>
      <c r="E44" s="9">
        <v>3.5999999999999999E-3</v>
      </c>
      <c r="F44" s="9">
        <v>2.2000000000000001E-3</v>
      </c>
      <c r="G44" s="9">
        <v>5.0000000000000001E-3</v>
      </c>
      <c r="H44" s="9">
        <v>4.1000000000000003E-3</v>
      </c>
      <c r="I44" s="9">
        <v>6.6E-3</v>
      </c>
      <c r="J44" s="9">
        <v>1.9E-3</v>
      </c>
      <c r="K44" s="9">
        <v>2.0999999999999999E-3</v>
      </c>
      <c r="L44" s="9">
        <v>1.2999999999999999E-3</v>
      </c>
      <c r="M44" s="9">
        <v>2E-3</v>
      </c>
      <c r="N44" s="9">
        <v>2.5999999999999999E-3</v>
      </c>
      <c r="O44" s="9">
        <v>3.5000000000000001E-3</v>
      </c>
      <c r="P44" s="9">
        <v>2.5000000000000001E-3</v>
      </c>
      <c r="Q44" s="9">
        <v>3.5000000000000001E-3</v>
      </c>
      <c r="R44" s="9">
        <v>2.3E-3</v>
      </c>
      <c r="S44" s="9"/>
      <c r="T44" s="9">
        <v>3.0000000000000001E-3</v>
      </c>
      <c r="U44" s="9">
        <v>2.3E-3</v>
      </c>
      <c r="V44" s="9">
        <v>3.0999999999999999E-3</v>
      </c>
      <c r="W44" s="9">
        <v>2.8E-3</v>
      </c>
      <c r="X44" s="9">
        <v>1.9E-3</v>
      </c>
      <c r="Y44" s="9">
        <v>8.9999999999999998E-4</v>
      </c>
      <c r="Z44" s="9">
        <v>3.5000000000000001E-3</v>
      </c>
      <c r="AA44" s="9">
        <v>1.5E-3</v>
      </c>
      <c r="AB44" s="9">
        <v>1.1000000000000001E-3</v>
      </c>
      <c r="AC44" s="9">
        <v>1.1999999999999999E-3</v>
      </c>
      <c r="AD44" s="9">
        <v>1.4E-3</v>
      </c>
    </row>
    <row r="45" spans="1:30" x14ac:dyDescent="0.3">
      <c r="B45" s="5">
        <v>202512</v>
      </c>
      <c r="C45" s="5"/>
      <c r="D45" s="9">
        <v>2.5000000000000001E-3</v>
      </c>
      <c r="E45" s="9">
        <v>3.0999999999999999E-3</v>
      </c>
      <c r="F45" s="9">
        <v>2.3999999999999998E-3</v>
      </c>
      <c r="G45" s="9">
        <v>3.3999999999999998E-3</v>
      </c>
      <c r="H45" s="9">
        <v>3.2000000000000002E-3</v>
      </c>
      <c r="I45" s="9">
        <v>4.7000000000000002E-3</v>
      </c>
      <c r="J45" s="9">
        <v>8.9999999999999998E-4</v>
      </c>
      <c r="K45" s="9">
        <v>4.1999999999999997E-3</v>
      </c>
      <c r="L45" s="9">
        <v>2.5999999999999999E-3</v>
      </c>
      <c r="M45" s="9">
        <v>1.9E-3</v>
      </c>
      <c r="N45" s="9">
        <v>3.2000000000000002E-3</v>
      </c>
      <c r="O45" s="9">
        <v>4.4000000000000003E-3</v>
      </c>
      <c r="P45" s="9">
        <v>3.7000000000000002E-3</v>
      </c>
      <c r="Q45" s="9">
        <v>3.2000000000000002E-3</v>
      </c>
      <c r="R45" s="9">
        <v>2.5999999999999999E-3</v>
      </c>
      <c r="S45" s="9"/>
      <c r="T45" s="9">
        <v>3.3999999999999998E-3</v>
      </c>
      <c r="U45" s="9">
        <v>2.5000000000000001E-3</v>
      </c>
      <c r="V45" s="9">
        <v>3.0999999999999999E-3</v>
      </c>
      <c r="W45" s="9">
        <v>3.2000000000000002E-3</v>
      </c>
      <c r="X45" s="9">
        <v>1.5E-3</v>
      </c>
      <c r="Y45" s="9">
        <v>8.0000000000000004E-4</v>
      </c>
      <c r="Z45" s="9">
        <v>3.8999999999999998E-3</v>
      </c>
      <c r="AA45" s="9">
        <v>3.5999999999999999E-3</v>
      </c>
      <c r="AB45" s="9">
        <v>1.1000000000000001E-3</v>
      </c>
      <c r="AC45" s="9">
        <v>1E-3</v>
      </c>
      <c r="AD45" s="9">
        <v>8.9999999999999998E-4</v>
      </c>
    </row>
    <row r="46" spans="1:30" x14ac:dyDescent="0.3">
      <c r="B46" s="5">
        <v>202513</v>
      </c>
      <c r="C46" s="5"/>
      <c r="D46" s="9">
        <v>2.5000000000000001E-3</v>
      </c>
      <c r="E46" s="9">
        <v>3.0000000000000001E-3</v>
      </c>
      <c r="F46" s="9">
        <v>2.5000000000000001E-3</v>
      </c>
      <c r="G46" s="9">
        <v>3.0000000000000001E-3</v>
      </c>
      <c r="H46" s="9">
        <v>2.8999999999999998E-3</v>
      </c>
      <c r="I46" s="9">
        <v>4.7000000000000002E-3</v>
      </c>
      <c r="J46" s="9">
        <v>2.5999999999999999E-3</v>
      </c>
      <c r="K46" s="9">
        <v>4.4999999999999997E-3</v>
      </c>
      <c r="L46" s="9">
        <v>1.6999999999999999E-3</v>
      </c>
      <c r="M46" s="9">
        <v>2E-3</v>
      </c>
      <c r="N46" s="9">
        <v>3.5999999999999999E-3</v>
      </c>
      <c r="O46" s="9">
        <v>5.3E-3</v>
      </c>
      <c r="P46" s="9">
        <v>2.5000000000000001E-3</v>
      </c>
      <c r="Q46" s="9">
        <v>3.8E-3</v>
      </c>
      <c r="R46" s="9">
        <v>3.0000000000000001E-3</v>
      </c>
      <c r="S46" s="9"/>
      <c r="T46" s="9">
        <v>3.5999999999999999E-3</v>
      </c>
      <c r="U46" s="9">
        <v>2.5000000000000001E-3</v>
      </c>
      <c r="V46" s="9">
        <v>3.5000000000000001E-3</v>
      </c>
      <c r="W46" s="9">
        <v>3.0999999999999999E-3</v>
      </c>
      <c r="X46" s="9">
        <v>2E-3</v>
      </c>
      <c r="Y46" s="9">
        <v>1.1000000000000001E-3</v>
      </c>
      <c r="Z46" s="9">
        <v>3.7000000000000002E-3</v>
      </c>
      <c r="AA46" s="9">
        <v>1.8E-3</v>
      </c>
      <c r="AB46" s="9">
        <v>1.6999999999999999E-3</v>
      </c>
      <c r="AC46" s="9">
        <v>8.9999999999999998E-4</v>
      </c>
      <c r="AD46" s="9">
        <v>1E-3</v>
      </c>
    </row>
    <row r="47" spans="1:30" x14ac:dyDescent="0.3">
      <c r="B47" s="5">
        <v>202514</v>
      </c>
      <c r="C47" s="5"/>
      <c r="D47" s="9">
        <v>2.5999999999999999E-3</v>
      </c>
      <c r="E47" s="9">
        <v>4.1999999999999997E-3</v>
      </c>
      <c r="F47" s="9">
        <v>2.5000000000000001E-3</v>
      </c>
      <c r="G47" s="9">
        <v>4.8999999999999998E-3</v>
      </c>
      <c r="H47" s="9">
        <v>3.2000000000000002E-3</v>
      </c>
      <c r="I47" s="9">
        <v>2.8E-3</v>
      </c>
      <c r="J47" s="9">
        <v>6.1000000000000004E-3</v>
      </c>
      <c r="K47" s="9">
        <v>7.1000000000000004E-3</v>
      </c>
      <c r="L47" s="9">
        <v>8.9999999999999998E-4</v>
      </c>
      <c r="M47" s="9">
        <v>2.0999999999999999E-3</v>
      </c>
      <c r="N47" s="9">
        <v>3.7000000000000002E-3</v>
      </c>
      <c r="O47" s="9">
        <v>3.8999999999999998E-3</v>
      </c>
      <c r="P47" s="9">
        <v>2.5000000000000001E-3</v>
      </c>
      <c r="Q47" s="9">
        <v>-1</v>
      </c>
      <c r="R47" s="9">
        <v>2.8E-3</v>
      </c>
      <c r="S47" s="9"/>
      <c r="T47" s="9">
        <v>3.5999999999999999E-3</v>
      </c>
      <c r="U47" s="9">
        <v>2.0999999999999999E-3</v>
      </c>
      <c r="V47" s="9">
        <v>3.2000000000000002E-3</v>
      </c>
      <c r="W47" s="9">
        <v>3.2000000000000002E-3</v>
      </c>
      <c r="X47" s="9">
        <v>2.3999999999999998E-3</v>
      </c>
      <c r="Y47" s="9">
        <v>1.1999999999999999E-3</v>
      </c>
      <c r="Z47" s="9">
        <v>4.7999999999999996E-3</v>
      </c>
      <c r="AA47" s="9">
        <v>1.6999999999999999E-3</v>
      </c>
      <c r="AB47" s="9">
        <v>1.6999999999999999E-3</v>
      </c>
      <c r="AC47" s="9">
        <v>1.1000000000000001E-3</v>
      </c>
      <c r="AD47" s="9">
        <v>1.1000000000000001E-3</v>
      </c>
    </row>
    <row r="48" spans="1:30" x14ac:dyDescent="0.3">
      <c r="B48" s="5">
        <v>202515</v>
      </c>
      <c r="C48" s="5"/>
      <c r="D48" s="9">
        <v>2.5000000000000001E-3</v>
      </c>
      <c r="E48" s="9">
        <v>3.3E-3</v>
      </c>
      <c r="F48" s="9">
        <v>2.3999999999999998E-3</v>
      </c>
      <c r="G48" s="9">
        <v>5.1000000000000004E-3</v>
      </c>
      <c r="H48" s="9">
        <v>2.8E-3</v>
      </c>
      <c r="I48" s="9">
        <v>1.9E-3</v>
      </c>
      <c r="J48" s="9">
        <v>2.3999999999999998E-3</v>
      </c>
      <c r="K48" s="9">
        <v>3.0999999999999999E-3</v>
      </c>
      <c r="L48" s="9">
        <v>1.5E-3</v>
      </c>
      <c r="M48" s="9">
        <v>1.8E-3</v>
      </c>
      <c r="N48" s="9"/>
      <c r="O48" s="9">
        <v>5.3E-3</v>
      </c>
      <c r="P48" s="9">
        <v>2.5000000000000001E-3</v>
      </c>
      <c r="Q48" s="9"/>
      <c r="R48" s="9">
        <v>2.5000000000000001E-3</v>
      </c>
      <c r="S48" s="9"/>
      <c r="T48" s="9">
        <v>3.7000000000000002E-3</v>
      </c>
      <c r="U48" s="9">
        <v>2.5999999999999999E-3</v>
      </c>
      <c r="V48" s="9">
        <v>2.8999999999999998E-3</v>
      </c>
      <c r="W48" s="9">
        <v>3.5999999999999999E-3</v>
      </c>
      <c r="X48" s="9">
        <v>2.5999999999999999E-3</v>
      </c>
      <c r="Y48" s="9">
        <v>8.0000000000000004E-4</v>
      </c>
      <c r="Z48" s="9">
        <v>3.7000000000000002E-3</v>
      </c>
      <c r="AA48" s="9">
        <v>1.9E-3</v>
      </c>
      <c r="AB48" s="9">
        <v>1.4E-3</v>
      </c>
      <c r="AC48" s="9">
        <v>8.9999999999999998E-4</v>
      </c>
      <c r="AD48" s="9">
        <v>1.4E-3</v>
      </c>
    </row>
    <row r="49" spans="2:30" x14ac:dyDescent="0.3">
      <c r="B49" s="5">
        <v>202516</v>
      </c>
      <c r="C49" s="5"/>
      <c r="D49" s="9">
        <v>2.7000000000000001E-3</v>
      </c>
      <c r="E49" s="9">
        <v>2.8E-3</v>
      </c>
      <c r="F49" s="9">
        <v>2.5999999999999999E-3</v>
      </c>
      <c r="G49" s="9">
        <v>3.8999999999999998E-3</v>
      </c>
      <c r="H49" s="9">
        <v>2.5000000000000001E-3</v>
      </c>
      <c r="I49" s="9">
        <v>2.8999999999999998E-3</v>
      </c>
      <c r="J49" s="9">
        <v>1.9E-3</v>
      </c>
      <c r="K49" s="9">
        <v>2.2000000000000001E-3</v>
      </c>
      <c r="L49" s="9">
        <v>2.5999999999999999E-3</v>
      </c>
      <c r="M49" s="9">
        <v>1.9E-3</v>
      </c>
      <c r="N49" s="9"/>
      <c r="O49" s="9">
        <v>5.0000000000000001E-3</v>
      </c>
      <c r="P49" s="9">
        <v>2.5000000000000001E-3</v>
      </c>
      <c r="Q49" s="9"/>
      <c r="R49" s="9">
        <v>2.8E-3</v>
      </c>
      <c r="S49" s="9"/>
      <c r="T49" s="9">
        <v>4.0000000000000001E-3</v>
      </c>
      <c r="U49" s="9">
        <v>2.3E-3</v>
      </c>
      <c r="V49" s="9">
        <v>3.0999999999999999E-3</v>
      </c>
      <c r="W49" s="9">
        <v>3.5999999999999999E-3</v>
      </c>
      <c r="X49" s="9">
        <v>3.3999999999999998E-3</v>
      </c>
      <c r="Y49" s="9">
        <v>1.1999999999999999E-3</v>
      </c>
      <c r="Z49" s="9">
        <v>4.3E-3</v>
      </c>
      <c r="AA49" s="9">
        <v>2.2000000000000001E-3</v>
      </c>
      <c r="AB49" s="9">
        <v>1.6000000000000001E-3</v>
      </c>
      <c r="AC49" s="9">
        <v>1.2999999999999999E-3</v>
      </c>
      <c r="AD49" s="9">
        <v>1.2999999999999999E-3</v>
      </c>
    </row>
    <row r="50" spans="2:30" x14ac:dyDescent="0.3">
      <c r="B50" s="5">
        <v>202517</v>
      </c>
      <c r="C50" s="5"/>
      <c r="D50" s="9">
        <v>2.8E-3</v>
      </c>
      <c r="E50" s="9">
        <v>2.5999999999999999E-3</v>
      </c>
      <c r="F50" s="9">
        <v>2.8E-3</v>
      </c>
      <c r="G50" s="9">
        <v>2.8E-3</v>
      </c>
      <c r="H50" s="9">
        <v>2.8999999999999998E-3</v>
      </c>
      <c r="I50" s="9">
        <v>3.8E-3</v>
      </c>
      <c r="J50" s="9">
        <v>1.4E-3</v>
      </c>
      <c r="K50" s="9">
        <v>2.3999999999999998E-3</v>
      </c>
      <c r="L50" s="9">
        <v>1.6999999999999999E-3</v>
      </c>
      <c r="M50" s="9">
        <v>1.2999999999999999E-3</v>
      </c>
      <c r="N50" s="9"/>
      <c r="O50" s="9">
        <v>8.2000000000000007E-3</v>
      </c>
      <c r="P50" s="9">
        <v>3.0999999999999999E-3</v>
      </c>
      <c r="Q50" s="9"/>
      <c r="R50" s="9">
        <v>2.8E-3</v>
      </c>
      <c r="S50" s="9"/>
      <c r="T50" s="9">
        <v>3.8999999999999998E-3</v>
      </c>
      <c r="U50" s="9">
        <v>2.8999999999999998E-3</v>
      </c>
      <c r="V50" s="9">
        <v>3.5999999999999999E-3</v>
      </c>
      <c r="W50" s="9">
        <v>2.7000000000000001E-3</v>
      </c>
      <c r="X50" s="9">
        <v>3.3E-3</v>
      </c>
      <c r="Y50" s="9">
        <v>8.9999999999999998E-4</v>
      </c>
      <c r="Z50" s="9">
        <v>4.1999999999999997E-3</v>
      </c>
      <c r="AA50" s="9">
        <v>2E-3</v>
      </c>
      <c r="AB50" s="9">
        <v>2.2000000000000001E-3</v>
      </c>
      <c r="AC50" s="9">
        <v>8.9999999999999998E-4</v>
      </c>
      <c r="AD50" s="9">
        <v>1.2999999999999999E-3</v>
      </c>
    </row>
    <row r="51" spans="2:30" x14ac:dyDescent="0.3">
      <c r="B51" s="5">
        <v>202518</v>
      </c>
      <c r="C51" s="5"/>
      <c r="D51" s="9">
        <v>3.7000000000000002E-3</v>
      </c>
      <c r="E51" s="9">
        <v>2.5999999999999999E-3</v>
      </c>
      <c r="F51" s="9">
        <v>3.7000000000000002E-3</v>
      </c>
      <c r="G51" s="9">
        <v>3.0999999999999999E-3</v>
      </c>
      <c r="H51" s="9">
        <v>2.2000000000000001E-3</v>
      </c>
      <c r="I51" s="9">
        <v>8.6999999999999994E-3</v>
      </c>
      <c r="J51" s="9">
        <v>2.5999999999999999E-3</v>
      </c>
      <c r="K51" s="9">
        <v>2.3999999999999998E-3</v>
      </c>
      <c r="L51" s="9">
        <v>1.6999999999999999E-3</v>
      </c>
      <c r="M51" s="9">
        <v>1.4E-3</v>
      </c>
      <c r="N51" s="9"/>
      <c r="O51" s="9">
        <v>4.8999999999999998E-3</v>
      </c>
      <c r="P51" s="9">
        <v>4.1999999999999997E-3</v>
      </c>
      <c r="Q51" s="9"/>
      <c r="R51" s="9">
        <v>3.0000000000000001E-3</v>
      </c>
      <c r="S51" s="9"/>
      <c r="T51" s="9">
        <v>4.1999999999999997E-3</v>
      </c>
      <c r="U51" s="9">
        <v>2.0999999999999999E-3</v>
      </c>
      <c r="V51" s="9">
        <v>3.3E-3</v>
      </c>
      <c r="W51" s="9">
        <v>3.7000000000000002E-3</v>
      </c>
      <c r="X51" s="9">
        <v>4.1999999999999997E-3</v>
      </c>
      <c r="Y51" s="9">
        <v>9.1999999999999998E-3</v>
      </c>
      <c r="Z51" s="9">
        <v>9.4000000000000004E-3</v>
      </c>
      <c r="AA51" s="9">
        <v>1.9E-3</v>
      </c>
      <c r="AB51" s="9">
        <v>1.8E-3</v>
      </c>
      <c r="AC51" s="9">
        <v>1.6000000000000001E-3</v>
      </c>
      <c r="AD51" s="9">
        <v>1.8E-3</v>
      </c>
    </row>
    <row r="52" spans="2:30" x14ac:dyDescent="0.3">
      <c r="B52" s="5">
        <v>202519</v>
      </c>
      <c r="C52" s="5"/>
      <c r="D52" s="9">
        <v>2.8999999999999998E-3</v>
      </c>
      <c r="E52" s="9">
        <v>2.3E-3</v>
      </c>
      <c r="F52" s="9">
        <v>2.8999999999999998E-3</v>
      </c>
      <c r="G52" s="9">
        <v>2.5000000000000001E-3</v>
      </c>
      <c r="H52" s="9">
        <v>2.0999999999999999E-3</v>
      </c>
      <c r="I52" s="9">
        <v>1E-3</v>
      </c>
      <c r="J52" s="9">
        <v>2.0999999999999999E-3</v>
      </c>
      <c r="K52" s="9">
        <v>4.3E-3</v>
      </c>
      <c r="L52" s="9">
        <v>1.2999999999999999E-3</v>
      </c>
      <c r="M52" s="9">
        <v>1.6999999999999999E-3</v>
      </c>
      <c r="N52" s="9"/>
      <c r="O52" s="9">
        <v>5.1999999999999998E-3</v>
      </c>
      <c r="P52" s="9">
        <v>3.2000000000000002E-3</v>
      </c>
      <c r="Q52" s="9"/>
      <c r="R52" s="9">
        <v>2.5999999999999999E-3</v>
      </c>
      <c r="S52" s="9">
        <v>1.1999999999999999E-3</v>
      </c>
      <c r="T52" s="9">
        <v>3.8999999999999998E-3</v>
      </c>
      <c r="U52" s="9">
        <v>3.3999999999999998E-3</v>
      </c>
      <c r="V52" s="9">
        <v>4.1000000000000003E-3</v>
      </c>
      <c r="W52" s="9">
        <v>3.5000000000000001E-3</v>
      </c>
      <c r="X52" s="9">
        <v>4.4999999999999997E-3</v>
      </c>
      <c r="Y52" s="9">
        <v>2E-3</v>
      </c>
      <c r="Z52" s="9">
        <v>4.8999999999999998E-3</v>
      </c>
      <c r="AA52" s="9">
        <v>3.0000000000000001E-3</v>
      </c>
      <c r="AB52" s="9">
        <v>1.9E-3</v>
      </c>
      <c r="AC52" s="9">
        <v>1E-3</v>
      </c>
      <c r="AD52" s="9">
        <v>2E-3</v>
      </c>
    </row>
    <row r="53" spans="2:30" x14ac:dyDescent="0.3">
      <c r="B53" s="5">
        <v>202520</v>
      </c>
      <c r="C53" s="5"/>
      <c r="D53" s="9">
        <v>2.7000000000000001E-3</v>
      </c>
      <c r="E53" s="9">
        <v>2.2000000000000001E-3</v>
      </c>
      <c r="F53" s="9">
        <v>2.7000000000000001E-3</v>
      </c>
      <c r="G53" s="9">
        <v>2.8E-3</v>
      </c>
      <c r="H53" s="9">
        <v>1.8E-3</v>
      </c>
      <c r="I53" s="9">
        <v>2.8999999999999998E-3</v>
      </c>
      <c r="J53" s="9">
        <v>2.0999999999999999E-3</v>
      </c>
      <c r="K53" s="9">
        <v>3.3999999999999998E-3</v>
      </c>
      <c r="L53" s="9">
        <v>8.9999999999999998E-4</v>
      </c>
      <c r="M53" s="9">
        <v>3.5000000000000001E-3</v>
      </c>
      <c r="N53" s="9">
        <v>6.9999999999999999E-4</v>
      </c>
      <c r="O53" s="9">
        <v>4.4000000000000003E-3</v>
      </c>
      <c r="P53" s="9">
        <v>3.5999999999999999E-3</v>
      </c>
      <c r="Q53" s="9"/>
      <c r="R53" s="9">
        <v>2.7000000000000001E-3</v>
      </c>
      <c r="S53" s="9">
        <v>1.1999999999999999E-3</v>
      </c>
      <c r="T53" s="9">
        <v>3.8E-3</v>
      </c>
      <c r="U53" s="9">
        <v>2.8E-3</v>
      </c>
      <c r="V53" s="9">
        <v>4.0000000000000001E-3</v>
      </c>
      <c r="W53" s="9">
        <v>2.3E-3</v>
      </c>
      <c r="X53" s="9">
        <v>4.3E-3</v>
      </c>
      <c r="Y53" s="9">
        <v>1.1999999999999999E-3</v>
      </c>
      <c r="Z53" s="9">
        <v>4.0000000000000001E-3</v>
      </c>
      <c r="AA53" s="9">
        <v>2.5000000000000001E-3</v>
      </c>
      <c r="AB53" s="9">
        <v>1.9E-3</v>
      </c>
      <c r="AC53" s="9">
        <v>1.4E-3</v>
      </c>
      <c r="AD53" s="9">
        <v>1.8E-3</v>
      </c>
    </row>
    <row r="54" spans="2:30" x14ac:dyDescent="0.3">
      <c r="B54" s="5">
        <v>202521</v>
      </c>
      <c r="C54" s="5"/>
      <c r="D54" s="9">
        <v>3.8E-3</v>
      </c>
      <c r="E54" s="9">
        <v>2.0999999999999999E-3</v>
      </c>
      <c r="F54" s="9">
        <v>3.8999999999999998E-3</v>
      </c>
      <c r="G54" s="9">
        <v>2.8999999999999998E-3</v>
      </c>
      <c r="H54" s="9">
        <v>1.9E-3</v>
      </c>
      <c r="I54" s="9">
        <v>2.8999999999999998E-3</v>
      </c>
      <c r="J54" s="9">
        <v>2.0000000000000001E-4</v>
      </c>
      <c r="K54" s="9">
        <v>2.7000000000000001E-3</v>
      </c>
      <c r="L54" s="9">
        <v>1.5E-3</v>
      </c>
      <c r="M54" s="9">
        <v>2E-3</v>
      </c>
      <c r="N54" s="9">
        <v>8.9999999999999998E-4</v>
      </c>
      <c r="O54" s="9">
        <v>5.7000000000000002E-3</v>
      </c>
      <c r="P54" s="9">
        <v>3.7000000000000002E-3</v>
      </c>
      <c r="Q54" s="9"/>
      <c r="R54" s="9">
        <v>3.0999999999999999E-3</v>
      </c>
      <c r="S54" s="9">
        <v>1.5E-3</v>
      </c>
      <c r="T54" s="9">
        <v>4.1000000000000003E-3</v>
      </c>
      <c r="U54" s="9">
        <v>2.3999999999999998E-3</v>
      </c>
      <c r="V54" s="9">
        <v>0</v>
      </c>
      <c r="W54" s="9">
        <v>0</v>
      </c>
      <c r="X54" s="9">
        <v>1.4200000000000001E-2</v>
      </c>
      <c r="Y54" s="9">
        <v>1.4E-3</v>
      </c>
      <c r="Z54" s="9">
        <v>3.8E-3</v>
      </c>
      <c r="AA54" s="9">
        <v>1.6999999999999999E-3</v>
      </c>
      <c r="AB54" s="9">
        <v>2.0999999999999999E-3</v>
      </c>
      <c r="AC54" s="9">
        <v>1.1000000000000001E-3</v>
      </c>
      <c r="AD54" s="9">
        <v>4.4000000000000003E-3</v>
      </c>
    </row>
    <row r="55" spans="2:30" x14ac:dyDescent="0.3">
      <c r="B55" s="5">
        <v>202522</v>
      </c>
      <c r="C55" s="5"/>
      <c r="D55" s="9">
        <v>2.7000000000000001E-3</v>
      </c>
      <c r="E55" s="9">
        <v>2.2000000000000001E-3</v>
      </c>
      <c r="F55" s="9">
        <v>2.8E-3</v>
      </c>
      <c r="G55" s="9">
        <v>2.3999999999999998E-3</v>
      </c>
      <c r="H55" s="9">
        <v>2E-3</v>
      </c>
      <c r="I55" s="9">
        <v>3.8999999999999998E-3</v>
      </c>
      <c r="J55" s="9">
        <v>6.9999999999999999E-4</v>
      </c>
      <c r="K55" s="9">
        <v>3.7000000000000002E-3</v>
      </c>
      <c r="L55" s="9">
        <v>2.2000000000000001E-3</v>
      </c>
      <c r="M55" s="9">
        <v>2.5000000000000001E-3</v>
      </c>
      <c r="N55" s="9">
        <v>2.2000000000000001E-3</v>
      </c>
      <c r="O55" s="9">
        <v>8.3999999999999995E-3</v>
      </c>
      <c r="P55" s="9">
        <v>3.3999999999999998E-3</v>
      </c>
      <c r="Q55" s="9"/>
      <c r="R55" s="9">
        <v>3.0000000000000001E-3</v>
      </c>
      <c r="S55" s="9">
        <v>1.6999999999999999E-3</v>
      </c>
      <c r="T55" s="9">
        <v>2.9999999999999997E-4</v>
      </c>
      <c r="U55" s="9">
        <v>3.2000000000000002E-3</v>
      </c>
      <c r="V55" s="9"/>
      <c r="W55" s="9"/>
      <c r="X55" s="9">
        <v>5.7999999999999996E-3</v>
      </c>
      <c r="Y55" s="9">
        <v>1.2999999999999999E-3</v>
      </c>
      <c r="Z55" s="9">
        <v>4.1000000000000003E-3</v>
      </c>
      <c r="AA55" s="9">
        <v>2.5000000000000001E-3</v>
      </c>
      <c r="AB55" s="9">
        <v>1.9E-3</v>
      </c>
      <c r="AC55" s="9">
        <v>1.1999999999999999E-3</v>
      </c>
      <c r="AD55" s="9">
        <v>2.3E-3</v>
      </c>
    </row>
    <row r="56" spans="2:30" x14ac:dyDescent="0.3">
      <c r="B56" s="5">
        <v>202523</v>
      </c>
      <c r="C56" s="5"/>
      <c r="D56" s="9">
        <v>3.0000000000000001E-3</v>
      </c>
      <c r="E56" s="9">
        <v>1.9E-3</v>
      </c>
      <c r="F56" s="9">
        <v>3.0999999999999999E-3</v>
      </c>
      <c r="G56" s="9">
        <v>1.6999999999999999E-3</v>
      </c>
      <c r="H56" s="9">
        <v>1.1000000000000001E-3</v>
      </c>
      <c r="I56" s="9">
        <v>1E-3</v>
      </c>
      <c r="J56" s="9">
        <v>2.2000000000000001E-3</v>
      </c>
      <c r="K56" s="9">
        <v>1.6999999999999999E-3</v>
      </c>
      <c r="L56" s="9">
        <v>4.7999999999999996E-3</v>
      </c>
      <c r="M56" s="9">
        <v>2.5000000000000001E-3</v>
      </c>
      <c r="N56" s="9">
        <v>5.1999999999999998E-3</v>
      </c>
      <c r="O56" s="9">
        <v>9.4999999999999998E-3</v>
      </c>
      <c r="P56" s="9">
        <v>3.5000000000000001E-3</v>
      </c>
      <c r="Q56" s="9"/>
      <c r="R56" s="9">
        <v>3.0000000000000001E-3</v>
      </c>
      <c r="S56" s="9">
        <v>1.9E-3</v>
      </c>
      <c r="T56" s="9"/>
      <c r="U56" s="9">
        <v>2.5999999999999999E-3</v>
      </c>
      <c r="V56" s="9"/>
      <c r="W56" s="9"/>
      <c r="X56" s="9">
        <v>3.8E-3</v>
      </c>
      <c r="Y56" s="9">
        <v>1.6000000000000001E-3</v>
      </c>
      <c r="Z56" s="9">
        <v>6.1999999999999998E-3</v>
      </c>
      <c r="AA56" s="9">
        <v>3.5000000000000001E-3</v>
      </c>
      <c r="AB56" s="9">
        <v>1.9E-3</v>
      </c>
      <c r="AC56" s="9">
        <v>1.4E-3</v>
      </c>
      <c r="AD56" s="9">
        <v>2.3999999999999998E-3</v>
      </c>
    </row>
    <row r="57" spans="2:30" ht="15" thickBot="1" x14ac:dyDescent="0.35">
      <c r="B57" s="5">
        <v>202524</v>
      </c>
      <c r="C57" s="5"/>
      <c r="D57" s="9">
        <v>3.3E-3</v>
      </c>
      <c r="E57" s="9">
        <v>2.5999999999999999E-3</v>
      </c>
      <c r="F57" s="9">
        <v>3.3E-3</v>
      </c>
      <c r="G57" s="9">
        <v>2.3999999999999998E-3</v>
      </c>
      <c r="H57" s="9">
        <v>2.0999999999999999E-3</v>
      </c>
      <c r="I57" s="9">
        <v>5.8999999999999999E-3</v>
      </c>
      <c r="J57" s="9">
        <v>3.0999999999999999E-3</v>
      </c>
      <c r="K57" s="9">
        <v>2.3999999999999998E-3</v>
      </c>
      <c r="L57" s="9">
        <v>3.3E-3</v>
      </c>
      <c r="M57" s="9">
        <v>5.1999999999999998E-3</v>
      </c>
      <c r="N57" s="9">
        <v>5.1000000000000004E-3</v>
      </c>
      <c r="O57" s="9">
        <v>8.9999999999999993E-3</v>
      </c>
      <c r="P57" s="9">
        <v>4.1999999999999997E-3</v>
      </c>
      <c r="Q57" s="9"/>
      <c r="R57" s="9">
        <v>2.8999999999999998E-3</v>
      </c>
      <c r="S57" s="9">
        <v>1.9E-3</v>
      </c>
      <c r="T57" s="9"/>
      <c r="U57" s="9">
        <v>2.5000000000000001E-3</v>
      </c>
      <c r="V57" s="9"/>
      <c r="W57" s="9"/>
      <c r="X57" s="9">
        <v>4.1999999999999997E-3</v>
      </c>
      <c r="Y57" s="9">
        <v>1.6000000000000001E-3</v>
      </c>
      <c r="Z57" s="9">
        <v>6.3E-3</v>
      </c>
      <c r="AA57" s="9">
        <v>3.0000000000000001E-3</v>
      </c>
      <c r="AB57" s="9">
        <v>2.3E-3</v>
      </c>
      <c r="AC57" s="9">
        <v>1.8E-3</v>
      </c>
      <c r="AD57" s="9">
        <v>2.0999999999999999E-3</v>
      </c>
    </row>
    <row r="58" spans="2:30" ht="15" thickBot="1" x14ac:dyDescent="0.35">
      <c r="B58" s="22" t="s">
        <v>82</v>
      </c>
      <c r="C58" s="22"/>
      <c r="D58" s="24">
        <f t="shared" ref="D58:AD58" si="22">AVERAGE(D34:D57)</f>
        <v>2.7416666666666666E-3</v>
      </c>
      <c r="E58" s="24">
        <f t="shared" si="22"/>
        <v>3.8499999999999997E-3</v>
      </c>
      <c r="F58" s="24">
        <f t="shared" si="22"/>
        <v>2.633333333333333E-3</v>
      </c>
      <c r="G58" s="24">
        <f t="shared" si="22"/>
        <v>5.308333333333335E-3</v>
      </c>
      <c r="H58" s="24">
        <f t="shared" si="22"/>
        <v>3.604166666666667E-3</v>
      </c>
      <c r="I58" s="24">
        <f t="shared" si="22"/>
        <v>4.4291666666666663E-3</v>
      </c>
      <c r="J58" s="24">
        <f t="shared" si="22"/>
        <v>2.6124999999999998E-3</v>
      </c>
      <c r="K58" s="24">
        <f t="shared" si="22"/>
        <v>3.4499999999999986E-3</v>
      </c>
      <c r="L58" s="24">
        <f t="shared" si="22"/>
        <v>2.2416666666666665E-3</v>
      </c>
      <c r="M58" s="24">
        <f t="shared" si="22"/>
        <v>2.6541666666666671E-3</v>
      </c>
      <c r="N58" s="24">
        <f t="shared" si="22"/>
        <v>2.8631578947368418E-3</v>
      </c>
      <c r="O58" s="24">
        <f t="shared" si="22"/>
        <v>6.154166666666668E-3</v>
      </c>
      <c r="P58" s="24">
        <f t="shared" si="22"/>
        <v>2.9666666666666665E-3</v>
      </c>
      <c r="Q58" s="24">
        <f t="shared" si="22"/>
        <v>-6.7871428571428569E-2</v>
      </c>
      <c r="R58" s="24">
        <f t="shared" si="22"/>
        <v>2.3416666666666668E-3</v>
      </c>
      <c r="S58" s="24">
        <f t="shared" si="22"/>
        <v>1.5666666666666667E-3</v>
      </c>
      <c r="T58" s="24">
        <f t="shared" si="22"/>
        <v>2.9272727272727271E-3</v>
      </c>
      <c r="U58" s="24">
        <f t="shared" si="22"/>
        <v>3.0958333333333328E-3</v>
      </c>
      <c r="V58" s="24">
        <f t="shared" si="22"/>
        <v>3.5428571428571432E-3</v>
      </c>
      <c r="W58" s="24">
        <f t="shared" si="22"/>
        <v>2.7523809523809528E-3</v>
      </c>
      <c r="X58" s="24">
        <f t="shared" si="22"/>
        <v>3.0333333333333328E-3</v>
      </c>
      <c r="Y58" s="24">
        <f t="shared" si="22"/>
        <v>1.4041666666666664E-3</v>
      </c>
      <c r="Z58" s="24">
        <f t="shared" si="22"/>
        <v>3.9875000000000006E-3</v>
      </c>
      <c r="AA58" s="24">
        <f t="shared" si="22"/>
        <v>1.9833333333333339E-3</v>
      </c>
      <c r="AB58" s="24">
        <f t="shared" si="22"/>
        <v>1.6157894736842104E-3</v>
      </c>
      <c r="AC58" s="24">
        <f t="shared" si="22"/>
        <v>1.1105263157894733E-3</v>
      </c>
      <c r="AD58" s="24">
        <f t="shared" si="22"/>
        <v>1.4416666666666666E-3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T59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45823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127</v>
      </c>
      <c r="C6" s="7">
        <v>17</v>
      </c>
      <c r="D6" s="7">
        <v>7</v>
      </c>
      <c r="E6" s="7">
        <v>1197</v>
      </c>
      <c r="F6" s="7">
        <v>1012</v>
      </c>
      <c r="G6" s="7">
        <v>7</v>
      </c>
      <c r="H6" s="9">
        <f t="shared" ref="H6:H12" si="0">IFERROR(G6/F6,0)</f>
        <v>6.91699604743083E-3</v>
      </c>
      <c r="I6" s="9">
        <f>IFERROR((1197-F6)/1197,0)</f>
        <v>0.15455304928989139</v>
      </c>
      <c r="J6" s="7">
        <v>3840</v>
      </c>
      <c r="K6" s="11">
        <f t="shared" ref="K6:K12" si="1">IFERROR(J6/D6/F6*100,0)</f>
        <v>54.206662902315074</v>
      </c>
      <c r="L6" s="11">
        <f>K6-55.096</f>
        <v>-0.88933709768492264</v>
      </c>
      <c r="M6" s="11">
        <v>84</v>
      </c>
      <c r="N6" s="11">
        <f t="shared" ref="N6:N12" si="2">K6-M6</f>
        <v>-29.793337097684926</v>
      </c>
      <c r="O6" s="11">
        <f>IFERROR(157640/1197,0)</f>
        <v>131.69590643274853</v>
      </c>
      <c r="P6" s="11">
        <v>0</v>
      </c>
      <c r="Q6" s="11">
        <f t="shared" ref="Q6:Q11" si="3">IFERROR(O6-P6,0)</f>
        <v>131.69590643274853</v>
      </c>
      <c r="R6" s="7">
        <v>889</v>
      </c>
      <c r="S6" s="11">
        <f t="shared" ref="S6:S11" si="4">IFERROR(R6/D6/F6*1000,0)</f>
        <v>125.49407114624506</v>
      </c>
      <c r="T6" s="13">
        <f t="shared" ref="T6:T12" si="5">IFERROR(J6/R6,0)</f>
        <v>4.3194600674915637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231.51041666666669</v>
      </c>
      <c r="Z6" s="11">
        <f t="shared" ref="Z6:Z12" si="9">IFERROR(Y6*X6/1000,0)</f>
        <v>68.730812499999999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5</v>
      </c>
      <c r="AF6" s="11">
        <v>17</v>
      </c>
      <c r="AG6" s="7">
        <f t="shared" ref="AG6:AG11" si="10">IF(M6=0,0,IFERROR(N6/100*7*F6,0))</f>
        <v>-2110.56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87</v>
      </c>
      <c r="C7" s="7">
        <v>17</v>
      </c>
      <c r="D7" s="7">
        <v>7</v>
      </c>
      <c r="E7" s="7">
        <v>14440</v>
      </c>
      <c r="F7" s="7">
        <v>11180</v>
      </c>
      <c r="G7" s="7">
        <v>23</v>
      </c>
      <c r="H7" s="9">
        <f t="shared" si="0"/>
        <v>2.0572450805008947E-3</v>
      </c>
      <c r="I7" s="9">
        <f>IFERROR((14440-F7)/14440,0)</f>
        <v>0.2257617728531856</v>
      </c>
      <c r="J7" s="7">
        <v>59820</v>
      </c>
      <c r="K7" s="11">
        <f t="shared" si="1"/>
        <v>76.437515972399694</v>
      </c>
      <c r="L7" s="11">
        <f>K7-75.439</f>
        <v>0.99851597239970147</v>
      </c>
      <c r="M7" s="11">
        <v>84</v>
      </c>
      <c r="N7" s="11">
        <f t="shared" si="2"/>
        <v>-7.5624840276003056</v>
      </c>
      <c r="O7" s="11">
        <f>IFERROR(4834420/14440,0)</f>
        <v>334.79362880886424</v>
      </c>
      <c r="P7" s="11">
        <v>0</v>
      </c>
      <c r="Q7" s="11">
        <f t="shared" si="3"/>
        <v>334.79362880886424</v>
      </c>
      <c r="R7" s="7">
        <v>9730</v>
      </c>
      <c r="S7" s="11">
        <f t="shared" si="4"/>
        <v>124.32915921288014</v>
      </c>
      <c r="T7" s="13">
        <f t="shared" si="5"/>
        <v>6.1479958890030835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162.65463055834169</v>
      </c>
      <c r="Z7" s="11">
        <f t="shared" si="9"/>
        <v>60.694575392845195</v>
      </c>
      <c r="AA7" s="7">
        <v>0</v>
      </c>
      <c r="AB7" s="15">
        <f>IFERROR(AA7/1970,0)</f>
        <v>0</v>
      </c>
      <c r="AC7" s="11">
        <v>0</v>
      </c>
      <c r="AD7" s="15">
        <f>IFERROR(AC7/65,0)</f>
        <v>0</v>
      </c>
      <c r="AE7" s="11">
        <v>0</v>
      </c>
      <c r="AF7" s="11">
        <v>17</v>
      </c>
      <c r="AG7" s="7">
        <f t="shared" si="10"/>
        <v>-5918.4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87</v>
      </c>
      <c r="C8" s="7">
        <v>17</v>
      </c>
      <c r="D8" s="7">
        <v>7</v>
      </c>
      <c r="E8" s="7">
        <v>16063</v>
      </c>
      <c r="F8" s="7">
        <v>13107</v>
      </c>
      <c r="G8" s="7">
        <v>27</v>
      </c>
      <c r="H8" s="9">
        <f t="shared" si="0"/>
        <v>2.059967956054017E-3</v>
      </c>
      <c r="I8" s="9">
        <f>IFERROR((16063-F8)/16063,0)</f>
        <v>0.18402539998754902</v>
      </c>
      <c r="J8" s="7">
        <v>62670</v>
      </c>
      <c r="K8" s="11">
        <f t="shared" si="1"/>
        <v>68.305921590426053</v>
      </c>
      <c r="L8" s="11">
        <f>K8-68.5244</f>
        <v>-0.21847840957394737</v>
      </c>
      <c r="M8" s="11">
        <v>79</v>
      </c>
      <c r="N8" s="11">
        <f t="shared" si="2"/>
        <v>-10.694078409573947</v>
      </c>
      <c r="O8" s="11">
        <f>IFERROR(5034300/16063,0)</f>
        <v>313.40969930897091</v>
      </c>
      <c r="P8" s="11">
        <v>0</v>
      </c>
      <c r="Q8" s="11">
        <f t="shared" si="3"/>
        <v>313.40969930897091</v>
      </c>
      <c r="R8" s="7">
        <v>10150</v>
      </c>
      <c r="S8" s="11">
        <f t="shared" si="4"/>
        <v>110.62790875104905</v>
      </c>
      <c r="T8" s="13">
        <f t="shared" si="5"/>
        <v>6.1743842364532018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161.9594702409446</v>
      </c>
      <c r="Z8" s="11">
        <f t="shared" si="9"/>
        <v>59.925003989149502</v>
      </c>
      <c r="AA8" s="7">
        <v>0</v>
      </c>
      <c r="AB8" s="15">
        <f>IFERROR(AA8/1580,0)</f>
        <v>0</v>
      </c>
      <c r="AC8" s="11">
        <v>0</v>
      </c>
      <c r="AD8" s="15">
        <f>IFERROR(AC8/63.6,0)</f>
        <v>0</v>
      </c>
      <c r="AE8" s="11">
        <v>5</v>
      </c>
      <c r="AF8" s="11">
        <v>17</v>
      </c>
      <c r="AG8" s="7">
        <f t="shared" si="10"/>
        <v>-9811.7100000000009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48</v>
      </c>
      <c r="C9" s="7"/>
      <c r="D9" s="7">
        <v>7</v>
      </c>
      <c r="E9" s="7">
        <v>4686</v>
      </c>
      <c r="F9" s="7">
        <v>4151</v>
      </c>
      <c r="G9" s="7">
        <v>18</v>
      </c>
      <c r="H9" s="9">
        <f t="shared" si="0"/>
        <v>4.3363045049385693E-3</v>
      </c>
      <c r="I9" s="9">
        <f>IFERROR((4686-F9)/4686,0)</f>
        <v>0.11416986769099445</v>
      </c>
      <c r="J9" s="7">
        <v>29100</v>
      </c>
      <c r="K9" s="11">
        <f t="shared" si="1"/>
        <v>100.14798499500981</v>
      </c>
      <c r="L9" s="11">
        <f>K9-98.8932</f>
        <v>1.254784995009814</v>
      </c>
      <c r="M9" s="11">
        <v>89</v>
      </c>
      <c r="N9" s="11">
        <f t="shared" si="2"/>
        <v>11.147984995009807</v>
      </c>
      <c r="O9" s="11">
        <f>IFERROR(818010/4686,0)</f>
        <v>174.56466069142127</v>
      </c>
      <c r="P9" s="11">
        <v>186</v>
      </c>
      <c r="Q9" s="11">
        <f t="shared" si="3"/>
        <v>-11.435339308578733</v>
      </c>
      <c r="R9" s="7">
        <v>4635</v>
      </c>
      <c r="S9" s="11">
        <f t="shared" si="4"/>
        <v>159.5140585745259</v>
      </c>
      <c r="T9" s="13">
        <f t="shared" si="5"/>
        <v>6.2783171521035595</v>
      </c>
      <c r="U9" s="7">
        <v>5040</v>
      </c>
      <c r="V9" s="11">
        <f t="shared" si="6"/>
        <v>173.45218019754276</v>
      </c>
      <c r="W9" s="11">
        <f t="shared" si="7"/>
        <v>1.0873786407766992</v>
      </c>
      <c r="X9" s="11">
        <v>362.76</v>
      </c>
      <c r="Y9" s="11">
        <f t="shared" si="8"/>
        <v>159.2783505154639</v>
      </c>
      <c r="Z9" s="11">
        <f t="shared" si="9"/>
        <v>57.779814432989681</v>
      </c>
      <c r="AA9" s="7">
        <v>0</v>
      </c>
      <c r="AB9" s="15">
        <f>IFERROR(AA9/1950,0)</f>
        <v>0</v>
      </c>
      <c r="AC9" s="11">
        <v>0</v>
      </c>
      <c r="AD9" s="15">
        <f>IFERROR(AC9/63.2,0)</f>
        <v>0</v>
      </c>
      <c r="AE9" s="11">
        <v>12</v>
      </c>
      <c r="AF9" s="11">
        <v>23</v>
      </c>
      <c r="AG9" s="7">
        <f t="shared" si="10"/>
        <v>3239.27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87</v>
      </c>
      <c r="C10" s="7">
        <v>18</v>
      </c>
      <c r="D10" s="7">
        <v>7</v>
      </c>
      <c r="E10" s="7">
        <v>5000</v>
      </c>
      <c r="F10" s="7">
        <v>4068</v>
      </c>
      <c r="G10" s="7">
        <v>16</v>
      </c>
      <c r="H10" s="9">
        <f t="shared" si="0"/>
        <v>3.9331366764995086E-3</v>
      </c>
      <c r="I10" s="9">
        <f>IFERROR((5000-F10)/5000,0)</f>
        <v>0.18640000000000001</v>
      </c>
      <c r="J10" s="7">
        <v>25230</v>
      </c>
      <c r="K10" s="11">
        <f t="shared" si="1"/>
        <v>88.600927096502318</v>
      </c>
      <c r="L10" s="11">
        <f>K10-89.3032</f>
        <v>-0.70227290349768623</v>
      </c>
      <c r="M10" s="11">
        <v>83</v>
      </c>
      <c r="N10" s="11">
        <f t="shared" si="2"/>
        <v>5.6009270965023177</v>
      </c>
      <c r="O10" s="11">
        <f>IFERROR(1787380/5000,0)</f>
        <v>357.476</v>
      </c>
      <c r="P10" s="11">
        <v>0</v>
      </c>
      <c r="Q10" s="11">
        <f t="shared" si="3"/>
        <v>357.476</v>
      </c>
      <c r="R10" s="7">
        <v>4718</v>
      </c>
      <c r="S10" s="11">
        <f t="shared" si="4"/>
        <v>165.68338249754177</v>
      </c>
      <c r="T10" s="13">
        <f t="shared" si="5"/>
        <v>5.347604917337855</v>
      </c>
      <c r="U10" s="7">
        <v>5040</v>
      </c>
      <c r="V10" s="11">
        <f t="shared" si="6"/>
        <v>176.99115044247787</v>
      </c>
      <c r="W10" s="11">
        <f t="shared" si="7"/>
        <v>1.0682492581602374</v>
      </c>
      <c r="X10" s="11">
        <v>321.26571428570003</v>
      </c>
      <c r="Y10" s="11">
        <f t="shared" si="8"/>
        <v>186.99960364645261</v>
      </c>
      <c r="Z10" s="11">
        <f t="shared" si="9"/>
        <v>60.076561236620392</v>
      </c>
      <c r="AA10" s="7">
        <v>0</v>
      </c>
      <c r="AB10" s="15">
        <f>IFERROR(AA10/1970,0)</f>
        <v>0</v>
      </c>
      <c r="AC10" s="11">
        <v>0</v>
      </c>
      <c r="AD10" s="15">
        <f>IFERROR(AC10/65,0)</f>
        <v>0</v>
      </c>
      <c r="AE10" s="11">
        <v>15</v>
      </c>
      <c r="AF10" s="11">
        <v>20</v>
      </c>
      <c r="AG10" s="7">
        <f t="shared" si="10"/>
        <v>1594.92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48</v>
      </c>
      <c r="C11" s="7"/>
      <c r="D11" s="7">
        <v>7</v>
      </c>
      <c r="E11" s="7">
        <v>4819</v>
      </c>
      <c r="F11" s="7">
        <v>4507</v>
      </c>
      <c r="G11" s="7">
        <v>20</v>
      </c>
      <c r="H11" s="9">
        <f t="shared" si="0"/>
        <v>4.4375416019525179E-3</v>
      </c>
      <c r="I11" s="9">
        <f>IFERROR((4819-F11)/4819,0)</f>
        <v>6.4743722764058931E-2</v>
      </c>
      <c r="J11" s="7">
        <v>29640</v>
      </c>
      <c r="K11" s="11">
        <f t="shared" si="1"/>
        <v>93.949095058480466</v>
      </c>
      <c r="L11" s="11">
        <f>K11-94.5754</f>
        <v>-0.62630494151953542</v>
      </c>
      <c r="M11" s="11">
        <v>89</v>
      </c>
      <c r="N11" s="11">
        <f t="shared" si="2"/>
        <v>4.9490950584804665</v>
      </c>
      <c r="O11" s="11">
        <f>IFERROR(860446/4819,0)</f>
        <v>178.55281178667772</v>
      </c>
      <c r="P11" s="11">
        <v>186</v>
      </c>
      <c r="Q11" s="11">
        <f t="shared" si="3"/>
        <v>-7.4471882133222778</v>
      </c>
      <c r="R11" s="7">
        <v>5274</v>
      </c>
      <c r="S11" s="11">
        <f t="shared" si="4"/>
        <v>167.16853149069701</v>
      </c>
      <c r="T11" s="13">
        <f t="shared" si="5"/>
        <v>5.6200227531285556</v>
      </c>
      <c r="U11" s="7">
        <v>5040</v>
      </c>
      <c r="V11" s="11">
        <f t="shared" si="6"/>
        <v>159.75149767029066</v>
      </c>
      <c r="W11" s="11">
        <f t="shared" si="7"/>
        <v>0.95563139931740615</v>
      </c>
      <c r="X11" s="11">
        <v>362.76</v>
      </c>
      <c r="Y11" s="11">
        <f t="shared" si="8"/>
        <v>177.93522267206475</v>
      </c>
      <c r="Z11" s="11">
        <f t="shared" si="9"/>
        <v>64.547781376518202</v>
      </c>
      <c r="AA11" s="7">
        <v>0</v>
      </c>
      <c r="AB11" s="15">
        <f>IFERROR(AA11/1950,0)</f>
        <v>0</v>
      </c>
      <c r="AC11" s="11">
        <v>0</v>
      </c>
      <c r="AD11" s="15">
        <f>IFERROR(AC11/63.2,0)</f>
        <v>0</v>
      </c>
      <c r="AE11" s="11">
        <v>10</v>
      </c>
      <c r="AF11" s="11">
        <v>22</v>
      </c>
      <c r="AG11" s="7">
        <f t="shared" si="10"/>
        <v>1561.3900000000021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38025</v>
      </c>
      <c r="G12" s="17">
        <f>SUM(G6:G11)</f>
        <v>111</v>
      </c>
      <c r="H12" s="18">
        <f t="shared" si="0"/>
        <v>2.9191321499013809E-3</v>
      </c>
      <c r="I12" s="18"/>
      <c r="J12" s="17">
        <f>SUM(J6:J11)</f>
        <v>210300</v>
      </c>
      <c r="K12" s="19">
        <f t="shared" si="1"/>
        <v>79.008171315863621</v>
      </c>
      <c r="L12" s="19"/>
      <c r="M12" s="19">
        <f>IFERROR(SUMPRODUCT($F6:$F11,M6:M11)/$F12, 0)</f>
        <v>83.308007889546346</v>
      </c>
      <c r="N12" s="19">
        <f t="shared" si="2"/>
        <v>-4.2998365736827253</v>
      </c>
      <c r="O12" s="19">
        <f>IFERROR(SUMPRODUCT($E6:$E11,O6:O11)/$E12, 0)</f>
        <v>292.00727194026621</v>
      </c>
      <c r="P12" s="19">
        <f>IFERROR(SUMPRODUCT($E6:$E11,P6:P11)/$E12, 0)</f>
        <v>38.262742127475384</v>
      </c>
      <c r="Q12" s="19">
        <f>IFERROR(SUMPRODUCT($E6:$E11,Q6:Q11)/$E12, 0)</f>
        <v>253.74452981279083</v>
      </c>
      <c r="R12" s="17">
        <f>SUM(R6:R11)</f>
        <v>35396</v>
      </c>
      <c r="S12" s="19">
        <f>IFERROR(R12/D12/$F12*1000,0)</f>
        <v>132.98018221095143</v>
      </c>
      <c r="T12" s="20">
        <f t="shared" si="5"/>
        <v>5.9413493050062156</v>
      </c>
      <c r="U12" s="17">
        <f>SUM(U6:U11)</f>
        <v>15120</v>
      </c>
      <c r="V12" s="19">
        <f>IFERROR(U12/D12/$F12*1000,0)</f>
        <v>56.80473372781065</v>
      </c>
      <c r="W12" s="19">
        <f t="shared" si="7"/>
        <v>0.42716691151542552</v>
      </c>
      <c r="X12" s="19">
        <f>IFERROR(SUMPRODUCT(R6:R11,X6:X11)/R12,0)</f>
        <v>360.50673239913925</v>
      </c>
      <c r="Y12" s="19">
        <f>IFERROR(($F12*S12)/($F12*K12)*100,0)</f>
        <v>168.31193533048025</v>
      </c>
      <c r="Z12" s="19">
        <f t="shared" si="9"/>
        <v>60.677585829766677</v>
      </c>
      <c r="AA12" s="17"/>
      <c r="AB12" s="21">
        <f>IFERROR(SUMPRODUCT($F6:$F11,AB6:AB11)/$F12,0)</f>
        <v>0</v>
      </c>
      <c r="AC12" s="19"/>
      <c r="AD12" s="21">
        <f>AVERAGE(AD6:AD11)</f>
        <v>0</v>
      </c>
      <c r="AE12" s="19"/>
      <c r="AF12" s="19"/>
      <c r="AG12" s="17">
        <f>SUM(AG6:AG11)</f>
        <v>-11445.089999999997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87</v>
      </c>
      <c r="C14" s="6">
        <v>24</v>
      </c>
      <c r="D14" s="6">
        <v>7</v>
      </c>
      <c r="E14" s="6">
        <v>21388</v>
      </c>
      <c r="F14" s="6">
        <v>16317</v>
      </c>
      <c r="G14" s="6">
        <v>104</v>
      </c>
      <c r="H14" s="8">
        <f t="shared" ref="H14:H28" si="12">IFERROR(G14/F14,0)</f>
        <v>6.3737206594349453E-3</v>
      </c>
      <c r="I14" s="8">
        <f>IFERROR((21388-F14)/21388,0)</f>
        <v>0.23709556760800449</v>
      </c>
      <c r="J14" s="6">
        <v>82880</v>
      </c>
      <c r="K14" s="10">
        <f t="shared" ref="K14:K28" si="13">IFERROR(J14/D14/F14*100,0)</f>
        <v>72.562358276643991</v>
      </c>
      <c r="L14" s="10">
        <f>K14-71.2154</f>
        <v>1.3469582766439885</v>
      </c>
      <c r="M14" s="10">
        <v>79</v>
      </c>
      <c r="N14" s="10">
        <f t="shared" ref="N14:N28" si="14">K14-M14</f>
        <v>-6.437641723356009</v>
      </c>
      <c r="O14" s="10">
        <f>IFERROR(5733420/21388,0)</f>
        <v>268.06714045259025</v>
      </c>
      <c r="P14" s="10">
        <v>0</v>
      </c>
      <c r="Q14" s="10">
        <f t="shared" ref="Q14:Q27" si="15">IFERROR(O14-P14,0)</f>
        <v>268.06714045259025</v>
      </c>
      <c r="R14" s="6">
        <v>11140</v>
      </c>
      <c r="S14" s="10">
        <f t="shared" ref="S14:S27" si="16">IFERROR(R14/D14/F14*1000,0)</f>
        <v>97.531934266628141</v>
      </c>
      <c r="T14" s="12">
        <f t="shared" ref="T14:T28" si="17">IFERROR(J14/R14,0)</f>
        <v>7.4398563734290848</v>
      </c>
      <c r="U14" s="6">
        <v>21200</v>
      </c>
      <c r="V14" s="10">
        <f t="shared" ref="V14:V27" si="18">IFERROR(U14/D14/F14*1000,0)</f>
        <v>185.60834887365499</v>
      </c>
      <c r="W14" s="10">
        <f t="shared" ref="W14:W28" si="19">IFERROR(V14/S14,0)</f>
        <v>1.9030520646319569</v>
      </c>
      <c r="X14" s="10">
        <v>289.2328571429</v>
      </c>
      <c r="Y14" s="10">
        <f t="shared" ref="Y14:Y27" si="20">IFERROR((F14*S14)/(F14*K14)*100,0)</f>
        <v>134.4111969111969</v>
      </c>
      <c r="Z14" s="10">
        <f t="shared" ref="Z14:Z28" si="21">IFERROR(Y14*X14/1000,0)</f>
        <v>38.876134514622414</v>
      </c>
      <c r="AA14" s="6">
        <v>2020</v>
      </c>
      <c r="AB14" s="14">
        <f>IFERROR(AA14/1580,0)</f>
        <v>1.2784810126582278</v>
      </c>
      <c r="AC14" s="10">
        <v>0</v>
      </c>
      <c r="AD14" s="14">
        <f>IFERROR(AC14/63.6,0)</f>
        <v>0</v>
      </c>
      <c r="AE14" s="10">
        <v>19</v>
      </c>
      <c r="AF14" s="10">
        <v>26</v>
      </c>
      <c r="AG14" s="6">
        <f t="shared" ref="AG14:AG27" si="22">IF(M14=0,0,IFERROR(N14/100*7*F14,0))</f>
        <v>-7353.01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47</v>
      </c>
      <c r="C15" s="7"/>
      <c r="D15" s="7">
        <v>7</v>
      </c>
      <c r="E15" s="7">
        <v>10225</v>
      </c>
      <c r="F15" s="7">
        <v>8562</v>
      </c>
      <c r="G15" s="7">
        <v>83</v>
      </c>
      <c r="H15" s="9">
        <f t="shared" si="12"/>
        <v>9.6939967297360423E-3</v>
      </c>
      <c r="I15" s="9">
        <f>IFERROR((10225-F15)/10225,0)</f>
        <v>0.16264058679706603</v>
      </c>
      <c r="J15" s="7">
        <v>49170</v>
      </c>
      <c r="K15" s="11">
        <f t="shared" si="13"/>
        <v>82.040244268695574</v>
      </c>
      <c r="L15" s="11">
        <f>K15-81.8971</f>
        <v>0.14314426869557906</v>
      </c>
      <c r="M15" s="11">
        <v>89</v>
      </c>
      <c r="N15" s="11">
        <f t="shared" si="14"/>
        <v>-6.9597557313044263</v>
      </c>
      <c r="O15" s="11">
        <f>IFERROR(1542080/10225,0)</f>
        <v>150.81466992665037</v>
      </c>
      <c r="P15" s="11">
        <v>180</v>
      </c>
      <c r="Q15" s="11">
        <f t="shared" si="15"/>
        <v>-29.185330073349633</v>
      </c>
      <c r="R15" s="7">
        <v>8130</v>
      </c>
      <c r="S15" s="11">
        <f t="shared" si="16"/>
        <v>135.6492141355491</v>
      </c>
      <c r="T15" s="13">
        <f t="shared" si="17"/>
        <v>6.0479704797047971</v>
      </c>
      <c r="U15" s="7">
        <v>12660</v>
      </c>
      <c r="V15" s="11">
        <f t="shared" si="18"/>
        <v>211.23235559115028</v>
      </c>
      <c r="W15" s="11">
        <f t="shared" si="19"/>
        <v>1.5571955719557198</v>
      </c>
      <c r="X15" s="11">
        <v>296.12571428569998</v>
      </c>
      <c r="Y15" s="11">
        <f t="shared" si="20"/>
        <v>165.34472239170225</v>
      </c>
      <c r="Z15" s="11">
        <f t="shared" si="21"/>
        <v>48.962824021613606</v>
      </c>
      <c r="AA15" s="7">
        <v>2000</v>
      </c>
      <c r="AB15" s="15">
        <f>IFERROR(AA15/1950,0)</f>
        <v>1.0256410256410255</v>
      </c>
      <c r="AC15" s="11">
        <v>0</v>
      </c>
      <c r="AD15" s="15">
        <f>IFERROR(AC15/63.1,0)</f>
        <v>0</v>
      </c>
      <c r="AE15" s="11">
        <v>13</v>
      </c>
      <c r="AF15" s="11">
        <v>23</v>
      </c>
      <c r="AG15" s="7">
        <f t="shared" si="22"/>
        <v>-4171.2599999999948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76</v>
      </c>
      <c r="C16" s="7"/>
      <c r="D16" s="7">
        <v>7</v>
      </c>
      <c r="E16" s="7">
        <v>56050</v>
      </c>
      <c r="F16" s="7">
        <v>48694</v>
      </c>
      <c r="G16" s="7">
        <v>164</v>
      </c>
      <c r="H16" s="9">
        <f t="shared" si="12"/>
        <v>3.3679714133158091E-3</v>
      </c>
      <c r="I16" s="9">
        <f>IFERROR((56050-F16)/56050,0)</f>
        <v>0.13123996431757359</v>
      </c>
      <c r="J16" s="7">
        <v>306800</v>
      </c>
      <c r="K16" s="11">
        <f t="shared" si="13"/>
        <v>90.008155888962563</v>
      </c>
      <c r="L16" s="11">
        <f>K16-88.1447</f>
        <v>1.8634558889625623</v>
      </c>
      <c r="M16" s="11">
        <v>86.45</v>
      </c>
      <c r="N16" s="11">
        <f t="shared" si="14"/>
        <v>3.5581558889625597</v>
      </c>
      <c r="O16" s="11">
        <f>IFERROR(19295201/56050,0)</f>
        <v>344.24979482604817</v>
      </c>
      <c r="P16" s="11">
        <v>350</v>
      </c>
      <c r="Q16" s="11">
        <f t="shared" si="15"/>
        <v>-5.7502051739518265</v>
      </c>
      <c r="R16" s="7">
        <v>40930</v>
      </c>
      <c r="S16" s="11">
        <f t="shared" si="16"/>
        <v>120.07932922213942</v>
      </c>
      <c r="T16" s="13">
        <f t="shared" si="17"/>
        <v>7.4957244075250431</v>
      </c>
      <c r="U16" s="7">
        <v>64100</v>
      </c>
      <c r="V16" s="11">
        <f t="shared" si="18"/>
        <v>188.05484982015972</v>
      </c>
      <c r="W16" s="11">
        <f t="shared" si="19"/>
        <v>1.5660884436843392</v>
      </c>
      <c r="X16" s="11">
        <v>301.5528571429</v>
      </c>
      <c r="Y16" s="11">
        <f t="shared" si="20"/>
        <v>133.40938722294655</v>
      </c>
      <c r="Z16" s="11">
        <f t="shared" si="21"/>
        <v>40.229981886763028</v>
      </c>
      <c r="AA16" s="7">
        <v>1800</v>
      </c>
      <c r="AB16" s="15">
        <f>IFERROR(AA16/1710,0)</f>
        <v>1.0526315789473684</v>
      </c>
      <c r="AC16" s="11">
        <v>0</v>
      </c>
      <c r="AD16" s="15">
        <f>IFERROR(AC16/63.95,0)</f>
        <v>0</v>
      </c>
      <c r="AE16" s="11">
        <v>21</v>
      </c>
      <c r="AF16" s="11">
        <v>26</v>
      </c>
      <c r="AG16" s="7">
        <f t="shared" si="22"/>
        <v>12128.259</v>
      </c>
      <c r="AH16" s="7">
        <v>52</v>
      </c>
      <c r="AI16" s="7">
        <v>6.1538461538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IFERROR(840/F16,0)</f>
        <v>1.7250585287715118E-2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69</v>
      </c>
      <c r="C17" s="7"/>
      <c r="D17" s="7">
        <v>7</v>
      </c>
      <c r="E17" s="7">
        <v>51536</v>
      </c>
      <c r="F17" s="7">
        <v>46771</v>
      </c>
      <c r="G17" s="7">
        <v>139</v>
      </c>
      <c r="H17" s="9">
        <f t="shared" si="12"/>
        <v>2.971927048812298E-3</v>
      </c>
      <c r="I17" s="9">
        <f>IFERROR((51536-F17)/51536,0)</f>
        <v>9.2459639863396462E-2</v>
      </c>
      <c r="J17" s="7">
        <v>270860</v>
      </c>
      <c r="K17" s="11">
        <f t="shared" si="13"/>
        <v>82.731362840832389</v>
      </c>
      <c r="L17" s="11">
        <f>K17-84.0211</f>
        <v>-1.2897371591676148</v>
      </c>
      <c r="M17" s="11">
        <v>88.7</v>
      </c>
      <c r="N17" s="11">
        <f t="shared" si="14"/>
        <v>-5.9686371591676135</v>
      </c>
      <c r="O17" s="11">
        <f>IFERROR(15352982/51536,0)</f>
        <v>297.90790903446134</v>
      </c>
      <c r="P17" s="11">
        <v>310</v>
      </c>
      <c r="Q17" s="11">
        <f t="shared" si="15"/>
        <v>-12.092090965538659</v>
      </c>
      <c r="R17" s="7">
        <v>39380</v>
      </c>
      <c r="S17" s="11">
        <f t="shared" si="16"/>
        <v>120.28210398995715</v>
      </c>
      <c r="T17" s="13">
        <f t="shared" si="17"/>
        <v>6.8781107160995427</v>
      </c>
      <c r="U17" s="7">
        <v>69948</v>
      </c>
      <c r="V17" s="11">
        <f t="shared" si="18"/>
        <v>213.64887277525452</v>
      </c>
      <c r="W17" s="11">
        <f t="shared" si="19"/>
        <v>1.776231589639411</v>
      </c>
      <c r="X17" s="11">
        <v>295.81</v>
      </c>
      <c r="Y17" s="11">
        <f t="shared" si="20"/>
        <v>145.38876172192275</v>
      </c>
      <c r="Z17" s="11">
        <f t="shared" si="21"/>
        <v>43.00744960496197</v>
      </c>
      <c r="AA17" s="7">
        <v>1712</v>
      </c>
      <c r="AB17" s="15">
        <f>IFERROR(AA17/1725,0)</f>
        <v>0.99246376811594206</v>
      </c>
      <c r="AC17" s="11">
        <v>0</v>
      </c>
      <c r="AD17" s="15">
        <f>IFERROR(AC17/63.6,0)</f>
        <v>0</v>
      </c>
      <c r="AE17" s="11">
        <v>23</v>
      </c>
      <c r="AF17" s="11">
        <v>25</v>
      </c>
      <c r="AG17" s="7">
        <f t="shared" si="22"/>
        <v>-19541.138999999992</v>
      </c>
      <c r="AH17" s="7">
        <v>23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62</v>
      </c>
      <c r="B18" s="5">
        <v>48</v>
      </c>
      <c r="C18" s="7"/>
      <c r="D18" s="7">
        <v>7</v>
      </c>
      <c r="E18" s="7">
        <v>52424</v>
      </c>
      <c r="F18" s="7">
        <v>48086</v>
      </c>
      <c r="G18" s="7">
        <v>239</v>
      </c>
      <c r="H18" s="9">
        <f t="shared" si="12"/>
        <v>4.9702616146071622E-3</v>
      </c>
      <c r="I18" s="9">
        <f>IFERROR((52424-F18)/52424,0)</f>
        <v>8.2748359529986271E-2</v>
      </c>
      <c r="J18" s="7">
        <v>302280</v>
      </c>
      <c r="K18" s="11">
        <f t="shared" si="13"/>
        <v>89.803387977492704</v>
      </c>
      <c r="L18" s="11">
        <f>K18-88.3364</f>
        <v>1.4669879774927068</v>
      </c>
      <c r="M18" s="11">
        <v>94.35</v>
      </c>
      <c r="N18" s="11">
        <f t="shared" si="14"/>
        <v>-4.5466120225072899</v>
      </c>
      <c r="O18" s="11">
        <f>IFERROR(8925300/52424,0)</f>
        <v>170.25217457652982</v>
      </c>
      <c r="P18" s="11">
        <v>182</v>
      </c>
      <c r="Q18" s="11">
        <f t="shared" si="15"/>
        <v>-11.747825423470175</v>
      </c>
      <c r="R18" s="7">
        <v>38516</v>
      </c>
      <c r="S18" s="11">
        <f t="shared" si="16"/>
        <v>114.4259392398144</v>
      </c>
      <c r="T18" s="13">
        <f t="shared" si="17"/>
        <v>7.8481669955343234</v>
      </c>
      <c r="U18" s="7">
        <v>59197</v>
      </c>
      <c r="V18" s="11">
        <f t="shared" si="18"/>
        <v>175.86645355642568</v>
      </c>
      <c r="W18" s="11">
        <f t="shared" si="19"/>
        <v>1.5369456849101668</v>
      </c>
      <c r="X18" s="11">
        <v>294.21285714290002</v>
      </c>
      <c r="Y18" s="11">
        <f t="shared" si="20"/>
        <v>127.41828768029644</v>
      </c>
      <c r="Z18" s="11">
        <f t="shared" si="21"/>
        <v>37.488098470675993</v>
      </c>
      <c r="AA18" s="7">
        <v>1712</v>
      </c>
      <c r="AB18" s="15">
        <f>IFERROR(AA18/1720,0)</f>
        <v>0.99534883720930234</v>
      </c>
      <c r="AC18" s="11">
        <v>62.23</v>
      </c>
      <c r="AD18" s="15">
        <f>IFERROR(AC18/62.55,0)</f>
        <v>0.99488409272581935</v>
      </c>
      <c r="AE18" s="11">
        <v>20</v>
      </c>
      <c r="AF18" s="11">
        <v>26</v>
      </c>
      <c r="AG18" s="7">
        <f t="shared" si="22"/>
        <v>-15303.986999999986</v>
      </c>
      <c r="AH18" s="7">
        <v>33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IFERROR(1400/F18,0)</f>
        <v>2.9114503181799277E-2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63</v>
      </c>
      <c r="B19" s="5">
        <v>38</v>
      </c>
      <c r="C19" s="7"/>
      <c r="D19" s="7">
        <v>7</v>
      </c>
      <c r="E19" s="7">
        <v>50525</v>
      </c>
      <c r="F19" s="7">
        <v>48777</v>
      </c>
      <c r="G19" s="7">
        <v>137</v>
      </c>
      <c r="H19" s="9">
        <f t="shared" si="12"/>
        <v>2.8087008221087807E-3</v>
      </c>
      <c r="I19" s="9">
        <f>IFERROR((50525-F19)/50525,0)</f>
        <v>3.4596734289955466E-2</v>
      </c>
      <c r="J19" s="7">
        <v>310980</v>
      </c>
      <c r="K19" s="11">
        <f t="shared" si="13"/>
        <v>91.079226450405486</v>
      </c>
      <c r="L19" s="11">
        <f>K19-93.7389</f>
        <v>-2.6596735495945154</v>
      </c>
      <c r="M19" s="11">
        <v>94</v>
      </c>
      <c r="N19" s="11">
        <f t="shared" si="14"/>
        <v>-2.9207735495945144</v>
      </c>
      <c r="O19" s="11">
        <f>IFERROR(5548450/50525,0)</f>
        <v>109.8159327065809</v>
      </c>
      <c r="P19" s="11">
        <v>120</v>
      </c>
      <c r="Q19" s="11">
        <f t="shared" si="15"/>
        <v>-10.184067293419105</v>
      </c>
      <c r="R19" s="7">
        <v>39964</v>
      </c>
      <c r="S19" s="11">
        <f t="shared" si="16"/>
        <v>117.04579734593879</v>
      </c>
      <c r="T19" s="13">
        <f t="shared" si="17"/>
        <v>7.7815033530177162</v>
      </c>
      <c r="U19" s="7">
        <v>70282</v>
      </c>
      <c r="V19" s="11">
        <f t="shared" si="18"/>
        <v>205.84057474395132</v>
      </c>
      <c r="W19" s="11">
        <f t="shared" si="19"/>
        <v>1.7586327694925434</v>
      </c>
      <c r="X19" s="11">
        <v>250.4385714286</v>
      </c>
      <c r="Y19" s="11">
        <f t="shared" si="20"/>
        <v>128.50987201749308</v>
      </c>
      <c r="Z19" s="11">
        <f t="shared" si="21"/>
        <v>32.183828762533189</v>
      </c>
      <c r="AA19" s="7">
        <v>1675</v>
      </c>
      <c r="AB19" s="15">
        <f>IFERROR(AA19/1570,0)</f>
        <v>1.0668789808917198</v>
      </c>
      <c r="AC19" s="11">
        <v>61.31</v>
      </c>
      <c r="AD19" s="15">
        <f>IFERROR(AC19/60.5,0)</f>
        <v>1.0133884297520661</v>
      </c>
      <c r="AE19" s="11">
        <v>19</v>
      </c>
      <c r="AF19" s="11">
        <v>25</v>
      </c>
      <c r="AG19" s="7">
        <f t="shared" si="22"/>
        <v>-9972.6600000000144</v>
      </c>
      <c r="AH19" s="7">
        <v>30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IFERROR(980/F19,0)</f>
        <v>2.0091436537712445E-2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64</v>
      </c>
      <c r="B20" s="5">
        <v>57</v>
      </c>
      <c r="C20" s="7"/>
      <c r="D20" s="7">
        <v>7</v>
      </c>
      <c r="E20" s="7">
        <v>50845</v>
      </c>
      <c r="F20" s="7">
        <v>48244</v>
      </c>
      <c r="G20" s="7">
        <v>86</v>
      </c>
      <c r="H20" s="9">
        <f t="shared" si="12"/>
        <v>1.7826050907884918E-3</v>
      </c>
      <c r="I20" s="9">
        <f>IFERROR((50845-F20)/50845,0)</f>
        <v>5.115547251450487E-2</v>
      </c>
      <c r="J20" s="7">
        <v>311800</v>
      </c>
      <c r="K20" s="11">
        <f t="shared" si="13"/>
        <v>92.328283605955448</v>
      </c>
      <c r="L20" s="11">
        <f>K20-91.8684</f>
        <v>0.4598836059554543</v>
      </c>
      <c r="M20" s="11">
        <v>92.15</v>
      </c>
      <c r="N20" s="11">
        <f t="shared" si="14"/>
        <v>0.17828360595544268</v>
      </c>
      <c r="O20" s="11">
        <f>IFERROR(11893460/50845,0)</f>
        <v>233.91601927426493</v>
      </c>
      <c r="P20" s="11">
        <v>238</v>
      </c>
      <c r="Q20" s="11">
        <f t="shared" si="15"/>
        <v>-4.0839807257350742</v>
      </c>
      <c r="R20" s="7">
        <v>40004</v>
      </c>
      <c r="S20" s="11">
        <f t="shared" si="16"/>
        <v>118.4573655347223</v>
      </c>
      <c r="T20" s="13">
        <f t="shared" si="17"/>
        <v>7.7942205779422054</v>
      </c>
      <c r="U20" s="7">
        <v>67800</v>
      </c>
      <c r="V20" s="11">
        <f t="shared" si="18"/>
        <v>200.76515806554775</v>
      </c>
      <c r="W20" s="11">
        <f t="shared" si="19"/>
        <v>1.6948305169483053</v>
      </c>
      <c r="X20" s="11">
        <v>294.14857142860001</v>
      </c>
      <c r="Y20" s="11">
        <f t="shared" si="20"/>
        <v>128.30019243104553</v>
      </c>
      <c r="Z20" s="11">
        <f t="shared" si="21"/>
        <v>37.739318317606518</v>
      </c>
      <c r="AA20" s="7">
        <v>1653</v>
      </c>
      <c r="AB20" s="15">
        <f>IFERROR(AA20/1725,0)</f>
        <v>0.95826086956521739</v>
      </c>
      <c r="AC20" s="11">
        <v>62.81</v>
      </c>
      <c r="AD20" s="15">
        <f>IFERROR(AC20/63.05,0)</f>
        <v>0.99619349722442518</v>
      </c>
      <c r="AE20" s="11">
        <v>19</v>
      </c>
      <c r="AF20" s="11">
        <v>25</v>
      </c>
      <c r="AG20" s="7">
        <f t="shared" si="22"/>
        <v>602.07800000000634</v>
      </c>
      <c r="AH20" s="7">
        <v>35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IFERROR(1400/F20,0)</f>
        <v>2.9019152640742889E-2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65</v>
      </c>
      <c r="B21" s="5">
        <v>24</v>
      </c>
      <c r="C21" s="7"/>
      <c r="D21" s="7">
        <v>7</v>
      </c>
      <c r="E21" s="7">
        <v>21024</v>
      </c>
      <c r="F21" s="7">
        <v>20640</v>
      </c>
      <c r="G21" s="7">
        <v>92</v>
      </c>
      <c r="H21" s="9">
        <f t="shared" si="12"/>
        <v>4.4573643410852713E-3</v>
      </c>
      <c r="I21" s="9">
        <f>IFERROR((21024-F21)/21024,0)</f>
        <v>1.8264840182648401E-2</v>
      </c>
      <c r="J21" s="7">
        <v>85500</v>
      </c>
      <c r="K21" s="11">
        <f t="shared" si="13"/>
        <v>59.177740863787378</v>
      </c>
      <c r="L21" s="11">
        <f>K21-52.9616</f>
        <v>6.2161408637873805</v>
      </c>
      <c r="M21" s="11">
        <v>93.5</v>
      </c>
      <c r="N21" s="11">
        <f t="shared" si="14"/>
        <v>-34.322259136212622</v>
      </c>
      <c r="O21" s="11">
        <f>IFERROR(293880/21024,0)</f>
        <v>13.978310502283104</v>
      </c>
      <c r="P21" s="11">
        <v>32</v>
      </c>
      <c r="Q21" s="11">
        <f t="shared" si="15"/>
        <v>-18.021689497716896</v>
      </c>
      <c r="R21" s="7">
        <v>17480</v>
      </c>
      <c r="S21" s="11">
        <f t="shared" si="16"/>
        <v>120.9856035437431</v>
      </c>
      <c r="T21" s="13">
        <f t="shared" si="17"/>
        <v>4.8913043478260869</v>
      </c>
      <c r="U21" s="7">
        <v>17530</v>
      </c>
      <c r="V21" s="11">
        <f t="shared" si="18"/>
        <v>121.33167220376522</v>
      </c>
      <c r="W21" s="11">
        <f t="shared" si="19"/>
        <v>1.0028604118993134</v>
      </c>
      <c r="X21" s="11">
        <v>289.2328571429</v>
      </c>
      <c r="Y21" s="11">
        <f t="shared" si="20"/>
        <v>204.44444444444449</v>
      </c>
      <c r="Z21" s="11">
        <f t="shared" si="21"/>
        <v>59.132050793659566</v>
      </c>
      <c r="AA21" s="7">
        <v>1770</v>
      </c>
      <c r="AB21" s="15">
        <f>IFERROR(AA21/1840,0)</f>
        <v>0.96195652173913049</v>
      </c>
      <c r="AC21" s="11">
        <v>0</v>
      </c>
      <c r="AD21" s="15">
        <f>IFERROR(AC21/56.6,0)</f>
        <v>0</v>
      </c>
      <c r="AE21" s="11">
        <v>19</v>
      </c>
      <c r="AF21" s="11">
        <v>26</v>
      </c>
      <c r="AG21" s="7">
        <f t="shared" si="22"/>
        <v>-49588.799999999996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48</v>
      </c>
      <c r="C22" s="7"/>
      <c r="D22" s="7">
        <v>7</v>
      </c>
      <c r="E22" s="7">
        <v>21875</v>
      </c>
      <c r="F22" s="7">
        <v>20918</v>
      </c>
      <c r="G22" s="7">
        <v>26</v>
      </c>
      <c r="H22" s="9">
        <f t="shared" si="12"/>
        <v>1.2429486566593365E-3</v>
      </c>
      <c r="I22" s="9">
        <f>IFERROR((21875-F22)/21875,0)</f>
        <v>4.3748571428571428E-2</v>
      </c>
      <c r="J22" s="7">
        <v>132300</v>
      </c>
      <c r="K22" s="11">
        <f t="shared" si="13"/>
        <v>90.352806195621</v>
      </c>
      <c r="L22" s="11">
        <f>K22-92.0823</f>
        <v>-1.729493804379004</v>
      </c>
      <c r="M22" s="11">
        <v>89</v>
      </c>
      <c r="N22" s="11">
        <f t="shared" si="14"/>
        <v>1.3528061956209996</v>
      </c>
      <c r="O22" s="11">
        <f>IFERROR(4042590/21875,0)</f>
        <v>184.80411428571429</v>
      </c>
      <c r="P22" s="11">
        <v>186</v>
      </c>
      <c r="Q22" s="11">
        <f t="shared" si="15"/>
        <v>-1.1958857142857084</v>
      </c>
      <c r="R22" s="7">
        <v>18185</v>
      </c>
      <c r="S22" s="11">
        <f t="shared" si="16"/>
        <v>124.1924248425826</v>
      </c>
      <c r="T22" s="13">
        <f t="shared" si="17"/>
        <v>7.2752268353038216</v>
      </c>
      <c r="U22" s="7">
        <v>29598</v>
      </c>
      <c r="V22" s="11">
        <f t="shared" si="18"/>
        <v>202.13623263628048</v>
      </c>
      <c r="W22" s="11">
        <f t="shared" si="19"/>
        <v>1.6276051690954088</v>
      </c>
      <c r="X22" s="11">
        <v>289.0142857143</v>
      </c>
      <c r="Y22" s="11">
        <f t="shared" si="20"/>
        <v>137.45275888133031</v>
      </c>
      <c r="Z22" s="11">
        <f t="shared" si="21"/>
        <v>39.725810927547585</v>
      </c>
      <c r="AA22" s="7">
        <v>1993</v>
      </c>
      <c r="AB22" s="15">
        <f>IFERROR(AA22/1950,0)</f>
        <v>1.0220512820512822</v>
      </c>
      <c r="AC22" s="11">
        <v>0</v>
      </c>
      <c r="AD22" s="15">
        <f>IFERROR(AC22/63.2,0)</f>
        <v>0</v>
      </c>
      <c r="AE22" s="11">
        <v>20</v>
      </c>
      <c r="AF22" s="11">
        <v>25</v>
      </c>
      <c r="AG22" s="7">
        <f t="shared" si="22"/>
        <v>1980.8600000000049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IFERROR(595/F22,0)</f>
        <v>2.8444401950473278E-2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67</v>
      </c>
      <c r="B23" s="5">
        <v>107</v>
      </c>
      <c r="C23" s="7">
        <v>40</v>
      </c>
      <c r="D23" s="7">
        <v>7</v>
      </c>
      <c r="E23" s="7">
        <v>51833</v>
      </c>
      <c r="F23" s="7">
        <v>39208</v>
      </c>
      <c r="G23" s="7">
        <v>143</v>
      </c>
      <c r="H23" s="9">
        <f t="shared" si="12"/>
        <v>3.6472148541114059E-3</v>
      </c>
      <c r="I23" s="9">
        <f>IFERROR((51833-F23)/51833,0)</f>
        <v>0.24357069820384697</v>
      </c>
      <c r="J23" s="7">
        <v>162360</v>
      </c>
      <c r="K23" s="11">
        <f t="shared" si="13"/>
        <v>59.157023348004778</v>
      </c>
      <c r="L23" s="11">
        <f>K23-57.0107</f>
        <v>2.1463233480047776</v>
      </c>
      <c r="M23" s="11">
        <v>70</v>
      </c>
      <c r="N23" s="11">
        <f t="shared" si="14"/>
        <v>-10.842976651995222</v>
      </c>
      <c r="O23" s="11">
        <f>IFERROR(21447948/51833,0)</f>
        <v>413.78943916038043</v>
      </c>
      <c r="P23" s="11">
        <v>0</v>
      </c>
      <c r="Q23" s="11">
        <f t="shared" si="15"/>
        <v>413.78943916038043</v>
      </c>
      <c r="R23" s="7">
        <v>32058</v>
      </c>
      <c r="S23" s="11">
        <f t="shared" si="16"/>
        <v>116.80560818491851</v>
      </c>
      <c r="T23" s="13">
        <f t="shared" si="17"/>
        <v>5.0645704660303199</v>
      </c>
      <c r="U23" s="7">
        <v>53182</v>
      </c>
      <c r="V23" s="11">
        <f t="shared" si="18"/>
        <v>193.77240796338941</v>
      </c>
      <c r="W23" s="11">
        <f t="shared" si="19"/>
        <v>1.6589306881277688</v>
      </c>
      <c r="X23" s="11">
        <v>292.53714285709998</v>
      </c>
      <c r="Y23" s="11">
        <f t="shared" si="20"/>
        <v>197.450110864745</v>
      </c>
      <c r="Z23" s="11">
        <f t="shared" si="21"/>
        <v>57.76149128919014</v>
      </c>
      <c r="AA23" s="7">
        <v>1638</v>
      </c>
      <c r="AB23" s="15">
        <f>IFERROR(AA23/0,0)</f>
        <v>0</v>
      </c>
      <c r="AC23" s="11">
        <v>0</v>
      </c>
      <c r="AD23" s="15">
        <f>IFERROR(AC23/0,0)</f>
        <v>0</v>
      </c>
      <c r="AE23" s="11">
        <v>20</v>
      </c>
      <c r="AF23" s="11">
        <v>25</v>
      </c>
      <c r="AG23" s="7">
        <f t="shared" si="22"/>
        <v>-29759.200000000008</v>
      </c>
      <c r="AH23" s="7">
        <v>32</v>
      </c>
      <c r="AI23" s="7">
        <v>23.125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IFERROR(1400/F23,0)</f>
        <v>3.5706998571720057E-2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81</v>
      </c>
      <c r="B24" s="5">
        <v>105</v>
      </c>
      <c r="C24" s="7">
        <v>39</v>
      </c>
      <c r="D24" s="7">
        <v>7</v>
      </c>
      <c r="E24" s="7">
        <v>21623</v>
      </c>
      <c r="F24" s="7">
        <v>17673</v>
      </c>
      <c r="G24" s="7">
        <v>55</v>
      </c>
      <c r="H24" s="9">
        <f t="shared" si="12"/>
        <v>3.112091891586035E-3</v>
      </c>
      <c r="I24" s="9">
        <f>IFERROR((21623-F24)/21623,0)</f>
        <v>0.18267585441428108</v>
      </c>
      <c r="J24" s="7">
        <v>82080</v>
      </c>
      <c r="K24" s="11">
        <f t="shared" si="13"/>
        <v>66.348182457501764</v>
      </c>
      <c r="L24" s="11">
        <f>K24-65.7072</f>
        <v>0.64098245750176375</v>
      </c>
      <c r="M24" s="11">
        <v>69</v>
      </c>
      <c r="N24" s="11">
        <f t="shared" si="14"/>
        <v>-2.651817542498236</v>
      </c>
      <c r="O24" s="11">
        <f>IFERROR(9126845/21623,0)</f>
        <v>422.08967303334413</v>
      </c>
      <c r="P24" s="11">
        <v>0</v>
      </c>
      <c r="Q24" s="11">
        <f t="shared" si="15"/>
        <v>422.08967303334413</v>
      </c>
      <c r="R24" s="7">
        <v>16213</v>
      </c>
      <c r="S24" s="11">
        <f t="shared" si="16"/>
        <v>131.05544373580361</v>
      </c>
      <c r="T24" s="13">
        <f t="shared" si="17"/>
        <v>5.0626040831431567</v>
      </c>
      <c r="U24" s="7">
        <v>26591</v>
      </c>
      <c r="V24" s="11">
        <f t="shared" si="18"/>
        <v>214.94450776406302</v>
      </c>
      <c r="W24" s="11">
        <f t="shared" si="19"/>
        <v>1.6401036205514095</v>
      </c>
      <c r="X24" s="11">
        <v>283.6971428571</v>
      </c>
      <c r="Y24" s="11">
        <f t="shared" si="20"/>
        <v>197.52680311890839</v>
      </c>
      <c r="Z24" s="11">
        <f t="shared" si="21"/>
        <v>56.037789682531219</v>
      </c>
      <c r="AA24" s="7">
        <v>2013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20</v>
      </c>
      <c r="AF24" s="11">
        <v>25</v>
      </c>
      <c r="AG24" s="7">
        <f t="shared" si="22"/>
        <v>-3280.5899999999929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IFERROR(560/F24,0)</f>
        <v>3.168675380523963E-2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68</v>
      </c>
      <c r="B25" s="5">
        <v>38</v>
      </c>
      <c r="C25" s="7"/>
      <c r="D25" s="7">
        <v>7</v>
      </c>
      <c r="E25" s="7">
        <v>21339</v>
      </c>
      <c r="F25" s="7">
        <v>20784</v>
      </c>
      <c r="G25" s="7">
        <v>36</v>
      </c>
      <c r="H25" s="9">
        <f t="shared" si="12"/>
        <v>1.7321016166281756E-3</v>
      </c>
      <c r="I25" s="9">
        <f>IFERROR((21339-F25)/21339,0)</f>
        <v>2.6008716434697033E-2</v>
      </c>
      <c r="J25" s="7">
        <v>129960</v>
      </c>
      <c r="K25" s="11">
        <f t="shared" si="13"/>
        <v>89.32695480039591</v>
      </c>
      <c r="L25" s="11">
        <f>K25-91.1486</f>
        <v>-1.8216451996040917</v>
      </c>
      <c r="M25" s="11">
        <v>93.5</v>
      </c>
      <c r="N25" s="11">
        <f t="shared" si="14"/>
        <v>-4.1730451996040898</v>
      </c>
      <c r="O25" s="11">
        <f>IFERROR(2485830/21339,0)</f>
        <v>116.49233797272599</v>
      </c>
      <c r="P25" s="11">
        <v>124</v>
      </c>
      <c r="Q25" s="11">
        <f t="shared" si="15"/>
        <v>-7.5076620272740087</v>
      </c>
      <c r="R25" s="7">
        <v>18420</v>
      </c>
      <c r="S25" s="11">
        <f t="shared" si="16"/>
        <v>126.60838007258332</v>
      </c>
      <c r="T25" s="13">
        <f t="shared" si="17"/>
        <v>7.0553745928338758</v>
      </c>
      <c r="U25" s="7">
        <v>35141</v>
      </c>
      <c r="V25" s="11">
        <f t="shared" si="18"/>
        <v>241.53882107115362</v>
      </c>
      <c r="W25" s="11">
        <f t="shared" si="19"/>
        <v>1.9077633007600432</v>
      </c>
      <c r="X25" s="11">
        <v>280.94857142860002</v>
      </c>
      <c r="Y25" s="11">
        <f t="shared" si="20"/>
        <v>141.73591874422902</v>
      </c>
      <c r="Z25" s="11">
        <f t="shared" si="21"/>
        <v>39.820503891311276</v>
      </c>
      <c r="AA25" s="7">
        <v>1842</v>
      </c>
      <c r="AB25" s="15">
        <f>IFERROR(AA25/1920,0)</f>
        <v>0.95937499999999998</v>
      </c>
      <c r="AC25" s="11">
        <v>0</v>
      </c>
      <c r="AD25" s="15">
        <f>IFERROR(AC25/62.1,0)</f>
        <v>0</v>
      </c>
      <c r="AE25" s="11">
        <v>19</v>
      </c>
      <c r="AF25" s="11">
        <v>25</v>
      </c>
      <c r="AG25" s="7">
        <f t="shared" si="22"/>
        <v>-6071.2799999999979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IFERROR(490/F25,0)</f>
        <v>2.3575827559661276E-2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69</v>
      </c>
      <c r="B26" s="5">
        <v>25</v>
      </c>
      <c r="C26" s="7"/>
      <c r="D26" s="7">
        <v>7</v>
      </c>
      <c r="E26" s="7">
        <v>64976</v>
      </c>
      <c r="F26" s="7">
        <v>64241</v>
      </c>
      <c r="G26" s="7">
        <v>121</v>
      </c>
      <c r="H26" s="9">
        <f t="shared" si="12"/>
        <v>1.8835323235939666E-3</v>
      </c>
      <c r="I26" s="9">
        <f>IFERROR((64976-F26)/64976,0)</f>
        <v>1.1311868997783798E-2</v>
      </c>
      <c r="J26" s="7">
        <v>422120</v>
      </c>
      <c r="K26" s="11">
        <f t="shared" si="13"/>
        <v>93.869736060860106</v>
      </c>
      <c r="L26" s="11">
        <f>K26-93.125</f>
        <v>0.74473606086010591</v>
      </c>
      <c r="M26" s="11">
        <v>94</v>
      </c>
      <c r="N26" s="11">
        <f t="shared" si="14"/>
        <v>-0.13026393913989409</v>
      </c>
      <c r="O26" s="11">
        <f>IFERROR(2309980/64976,0)</f>
        <v>35.551280472789955</v>
      </c>
      <c r="P26" s="11">
        <v>34</v>
      </c>
      <c r="Q26" s="11">
        <f t="shared" si="15"/>
        <v>1.551280472789955</v>
      </c>
      <c r="R26" s="7">
        <v>50470</v>
      </c>
      <c r="S26" s="11">
        <f t="shared" si="16"/>
        <v>112.23362027365701</v>
      </c>
      <c r="T26" s="13">
        <f t="shared" si="17"/>
        <v>8.363780463641767</v>
      </c>
      <c r="U26" s="7">
        <v>100290</v>
      </c>
      <c r="V26" s="11">
        <f t="shared" si="18"/>
        <v>223.0217907122065</v>
      </c>
      <c r="W26" s="11">
        <f t="shared" si="19"/>
        <v>1.9871210620170399</v>
      </c>
      <c r="X26" s="11">
        <v>307.66428571429998</v>
      </c>
      <c r="Y26" s="11">
        <f t="shared" si="20"/>
        <v>119.56315739600115</v>
      </c>
      <c r="Z26" s="11">
        <f t="shared" si="21"/>
        <v>36.785313417987112</v>
      </c>
      <c r="AA26" s="7">
        <v>1457</v>
      </c>
      <c r="AB26" s="15">
        <f>IFERROR(AA26/1500,0)</f>
        <v>0.97133333333333338</v>
      </c>
      <c r="AC26" s="11">
        <v>0</v>
      </c>
      <c r="AD26" s="15">
        <f>IFERROR(AC26/53.7,0)</f>
        <v>0</v>
      </c>
      <c r="AE26" s="11">
        <v>19</v>
      </c>
      <c r="AF26" s="11">
        <v>26</v>
      </c>
      <c r="AG26" s="7">
        <f t="shared" si="22"/>
        <v>-585.78000000001566</v>
      </c>
      <c r="AH26" s="7">
        <v>15</v>
      </c>
      <c r="AI26" s="7">
        <v>20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ht="15" thickBot="1" x14ac:dyDescent="0.35">
      <c r="A27" s="5" t="s">
        <v>70</v>
      </c>
      <c r="B27" s="5">
        <v>96</v>
      </c>
      <c r="C27" s="7">
        <v>24</v>
      </c>
      <c r="D27" s="7">
        <v>7</v>
      </c>
      <c r="E27" s="7">
        <v>47224</v>
      </c>
      <c r="F27" s="7">
        <v>36598</v>
      </c>
      <c r="G27" s="7">
        <v>126</v>
      </c>
      <c r="H27" s="9">
        <f t="shared" si="12"/>
        <v>3.442811082572818E-3</v>
      </c>
      <c r="I27" s="9">
        <f>IFERROR((47224-F27)/47224,0)</f>
        <v>0.22501270540403184</v>
      </c>
      <c r="J27" s="7">
        <v>172790</v>
      </c>
      <c r="K27" s="11">
        <f t="shared" si="13"/>
        <v>67.447089224235512</v>
      </c>
      <c r="L27" s="11">
        <f>K27-67.772</f>
        <v>-0.32491077576449356</v>
      </c>
      <c r="M27" s="11">
        <v>75</v>
      </c>
      <c r="N27" s="11">
        <f t="shared" si="14"/>
        <v>-7.552910775764488</v>
      </c>
      <c r="O27" s="11">
        <f>IFERROR(17117670/47224,0)</f>
        <v>362.47818905641202</v>
      </c>
      <c r="P27" s="11">
        <v>0</v>
      </c>
      <c r="Q27" s="11">
        <f t="shared" si="15"/>
        <v>362.47818905641202</v>
      </c>
      <c r="R27" s="7">
        <v>30810</v>
      </c>
      <c r="S27" s="11">
        <f t="shared" si="16"/>
        <v>120.26418305449947</v>
      </c>
      <c r="T27" s="13">
        <f t="shared" si="17"/>
        <v>5.6082440765985071</v>
      </c>
      <c r="U27" s="7">
        <v>51400</v>
      </c>
      <c r="V27" s="11">
        <f t="shared" si="18"/>
        <v>200.63547578712343</v>
      </c>
      <c r="W27" s="11">
        <f t="shared" si="19"/>
        <v>1.6682895163907823</v>
      </c>
      <c r="X27" s="11">
        <v>290.60714285709997</v>
      </c>
      <c r="Y27" s="11">
        <f t="shared" si="20"/>
        <v>178.30892991492567</v>
      </c>
      <c r="Z27" s="11">
        <f t="shared" si="21"/>
        <v>51.817848668483428</v>
      </c>
      <c r="AA27" s="7">
        <v>1539</v>
      </c>
      <c r="AB27" s="15">
        <f>IFERROR(AA27/1580,0)</f>
        <v>0.97405063291139238</v>
      </c>
      <c r="AC27" s="11">
        <v>0</v>
      </c>
      <c r="AD27" s="15">
        <f>IFERROR(AC27/63.7,0)</f>
        <v>0</v>
      </c>
      <c r="AE27" s="11">
        <v>13</v>
      </c>
      <c r="AF27" s="11">
        <v>25</v>
      </c>
      <c r="AG27" s="7">
        <f t="shared" si="22"/>
        <v>-19349.500000000011</v>
      </c>
      <c r="AH27" s="7">
        <v>61</v>
      </c>
      <c r="AI27" s="7">
        <v>18.0327868852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IFERROR(840/F27,0)</f>
        <v>2.2952073883818789E-2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16" t="s">
        <v>73</v>
      </c>
      <c r="B28" s="16"/>
      <c r="C28" s="17"/>
      <c r="D28" s="17">
        <f>AVERAGE(D14:D27)</f>
        <v>7</v>
      </c>
      <c r="E28" s="17">
        <f>SUM(E14:E27)</f>
        <v>542887</v>
      </c>
      <c r="F28" s="17">
        <f>SUM(F14:F27)</f>
        <v>485513</v>
      </c>
      <c r="G28" s="17">
        <f>SUM(G14:G27)</f>
        <v>1551</v>
      </c>
      <c r="H28" s="18">
        <f t="shared" si="12"/>
        <v>3.194559157015363E-3</v>
      </c>
      <c r="I28" s="18"/>
      <c r="J28" s="17">
        <f>SUM(J14:J27)</f>
        <v>2821880</v>
      </c>
      <c r="K28" s="19">
        <f t="shared" si="13"/>
        <v>83.030879561559473</v>
      </c>
      <c r="L28" s="19"/>
      <c r="M28" s="19">
        <f>IFERROR(SUMPRODUCT($F14:$F27,M14:M27)/$F28, 0)</f>
        <v>87.452300350351081</v>
      </c>
      <c r="N28" s="19">
        <f t="shared" si="14"/>
        <v>-4.4214207887916075</v>
      </c>
      <c r="O28" s="19">
        <f>IFERROR(SUMPRODUCT($E14:$E27,O14:O27)/$E28, 0)</f>
        <v>230.46349608666262</v>
      </c>
      <c r="P28" s="19">
        <f>IFERROR(SUMPRODUCT($E14:$E27,P14:P27)/$E28, 0)</f>
        <v>137.66433161965566</v>
      </c>
      <c r="Q28" s="19">
        <f>IFERROR(SUMPRODUCT($E14:$E27,Q14:Q27)/$E28, 0)</f>
        <v>92.799164467006946</v>
      </c>
      <c r="R28" s="17">
        <f>SUM(R14:R27)</f>
        <v>401700</v>
      </c>
      <c r="S28" s="19">
        <f>IFERROR(R28/D28/$F28*1000,0)</f>
        <v>118.19604065331779</v>
      </c>
      <c r="T28" s="20">
        <f t="shared" si="17"/>
        <v>7.024844411252178</v>
      </c>
      <c r="U28" s="17">
        <f>SUM(U14:U27)</f>
        <v>678919</v>
      </c>
      <c r="V28" s="19">
        <f>IFERROR(U28/D28/$F28*1000,0)</f>
        <v>199.76484372494366</v>
      </c>
      <c r="W28" s="19">
        <f t="shared" si="19"/>
        <v>1.690114513318397</v>
      </c>
      <c r="X28" s="19">
        <f>IFERROR(SUMPRODUCT(R14:R27,X14:X27)/R28,0)</f>
        <v>290.45160354210122</v>
      </c>
      <c r="Y28" s="19">
        <f>IFERROR(($F28*S28)/($F28*K28)*100,0)</f>
        <v>142.35190723914556</v>
      </c>
      <c r="Z28" s="19">
        <f t="shared" si="21"/>
        <v>41.346339724886278</v>
      </c>
      <c r="AA28" s="17"/>
      <c r="AB28" s="21">
        <f>IFERROR(SUMPRODUCT($F14:$F27,AB14:AB27)/$F28,0)</f>
        <v>0.89116284596664797</v>
      </c>
      <c r="AC28" s="19"/>
      <c r="AD28" s="21">
        <f>AVERAGE(AD14:AD27)</f>
        <v>0.2146047156930222</v>
      </c>
      <c r="AE28" s="19"/>
      <c r="AF28" s="19"/>
      <c r="AG28" s="17">
        <f>SUM(AG14:AG27)</f>
        <v>-150266.00899999999</v>
      </c>
      <c r="AH28" s="17">
        <f>SUM(AH14:AH27)</f>
        <v>281</v>
      </c>
      <c r="AI28" s="17">
        <f>IFERROR(SUMPRODUCT(AH14:AH27,AI14:AI27)/AH28, 0)</f>
        <v>17.366548042686119</v>
      </c>
      <c r="AJ28" s="19">
        <f>AVERAGE(AJ14:AJ27)</f>
        <v>0</v>
      </c>
      <c r="AK28" s="19">
        <f>AVERAGE(AK14:AK27)</f>
        <v>0</v>
      </c>
      <c r="AL28" s="19">
        <f>AVERAGE(AL14:AL27)</f>
        <v>0</v>
      </c>
      <c r="AM28" s="19">
        <f>AVERAGE(AM14:AM27)</f>
        <v>0</v>
      </c>
      <c r="AN28" s="19">
        <f>AVERAGE(AN14:AN27)</f>
        <v>0</v>
      </c>
      <c r="AO28" s="20"/>
      <c r="AP28" s="19"/>
      <c r="AQ28" s="17"/>
      <c r="AR28" s="17"/>
      <c r="AS28" s="17"/>
      <c r="AT28" s="17"/>
    </row>
    <row r="29" spans="1:46" ht="15" thickBot="1" x14ac:dyDescent="0.35"/>
    <row r="30" spans="1:46" ht="15" thickBot="1" x14ac:dyDescent="0.35">
      <c r="A30" s="23" t="s">
        <v>74</v>
      </c>
      <c r="B30" s="23"/>
      <c r="C30" s="23"/>
      <c r="D30" s="23">
        <f>IFERROR($F$12/$F30*D$12,0)+IFERROR($F$28/$F30*D$28,0)</f>
        <v>7</v>
      </c>
      <c r="E30" s="23">
        <f>E12+E28</f>
        <v>589092</v>
      </c>
      <c r="F30" s="23">
        <f>F12+F28</f>
        <v>523538</v>
      </c>
      <c r="G30" s="23">
        <f>G12+G28</f>
        <v>1662</v>
      </c>
      <c r="H30" s="24">
        <f>IFERROR(G30/F30,0)</f>
        <v>3.1745546646088727E-3</v>
      </c>
      <c r="I30" s="23"/>
      <c r="J30" s="23">
        <f>J12+J28</f>
        <v>3032180</v>
      </c>
      <c r="K30" s="25">
        <f>IFERROR(J30/D30/F30*100,0)</f>
        <v>82.738706918804638</v>
      </c>
      <c r="L30" s="23"/>
      <c r="M30" s="25">
        <f>IFERROR($F$12/$F30*M$12,0)+IFERROR($F$28/$F30*M$28,0)</f>
        <v>87.151296945016412</v>
      </c>
      <c r="N30" s="25">
        <f>K30-M30</f>
        <v>-4.4125900262117739</v>
      </c>
      <c r="O30" s="23">
        <f>IFERROR($E$12/$E30*O$12,0)+IFERROR($E$28/$E30*O$28,0)</f>
        <v>235.29063711610414</v>
      </c>
      <c r="P30" s="23">
        <f>IFERROR($E$12/$E30*P$12,0)+IFERROR($E$28/$E30*P$28,0)</f>
        <v>129.86784067683826</v>
      </c>
      <c r="Q30" s="23">
        <f>IFERROR($E$12/$E30*Q$12,0)+IFERROR($E$28/$E30*Q$28,0)</f>
        <v>105.42279643926587</v>
      </c>
      <c r="R30" s="23">
        <f>R12+R28</f>
        <v>437096</v>
      </c>
      <c r="S30" s="25">
        <f>IFERROR(R30/D30/$F30*1000,0)</f>
        <v>119.26982514026817</v>
      </c>
      <c r="T30" s="26">
        <f>IFERROR(J30/R30,0)</f>
        <v>6.937103062027564</v>
      </c>
      <c r="U30" s="23">
        <f>U12+U28</f>
        <v>694039</v>
      </c>
      <c r="V30" s="25">
        <f>IFERROR(U30/D30/$F30*1000,0)</f>
        <v>189.38153213602178</v>
      </c>
      <c r="W30" s="25">
        <f>IFERROR(V30/S30,0)</f>
        <v>1.5878411149953326</v>
      </c>
      <c r="X30" s="25">
        <f>IFERROR($F$12/$F30*X$12,0)+IFERROR($F$28/$F30*X$28,0)</f>
        <v>295.53976576678951</v>
      </c>
      <c r="Y30" s="25">
        <f>IFERROR(($F30*S30)/($F30*K30)*100,0)</f>
        <v>144.15239200839</v>
      </c>
      <c r="Z30" s="25">
        <f>IFERROR(Y30*X30/1000,0)</f>
        <v>42.602764168881997</v>
      </c>
      <c r="AA30" s="23"/>
      <c r="AB30" s="27"/>
      <c r="AC30" s="23"/>
      <c r="AD30" s="27"/>
      <c r="AE30" s="23"/>
      <c r="AF30" s="23"/>
      <c r="AG30" s="23">
        <f>AG12+AG28</f>
        <v>-161711.09899999999</v>
      </c>
      <c r="AH30" s="23">
        <f>AH12+AH28</f>
        <v>281</v>
      </c>
      <c r="AI30" s="23">
        <f>IFERROR(AH$12/AH30*AI$12,0)+IFERROR(AH$28/AH30*AI$28,0)</f>
        <v>17.366548042686119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2" spans="1:46" x14ac:dyDescent="0.3">
      <c r="A32" s="31" t="s">
        <v>75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x14ac:dyDescent="0.3">
      <c r="A33" s="32"/>
      <c r="B33" s="32" t="s">
        <v>76</v>
      </c>
      <c r="C33" s="32"/>
      <c r="D33" s="32" t="s">
        <v>77</v>
      </c>
      <c r="E33" s="32" t="s">
        <v>78</v>
      </c>
      <c r="F33" s="32" t="s">
        <v>79</v>
      </c>
      <c r="G33" s="32" t="s">
        <v>50</v>
      </c>
      <c r="H33" s="32" t="s">
        <v>51</v>
      </c>
      <c r="I33" s="32" t="s">
        <v>49</v>
      </c>
      <c r="J33" s="32" t="s">
        <v>52</v>
      </c>
      <c r="K33" s="32" t="s">
        <v>53</v>
      </c>
      <c r="L33" s="32" t="s">
        <v>54</v>
      </c>
      <c r="M33" s="32" t="s">
        <v>56</v>
      </c>
      <c r="N33" s="32" t="s">
        <v>65</v>
      </c>
      <c r="O33" s="32" t="s">
        <v>58</v>
      </c>
      <c r="P33" s="32" t="s">
        <v>59</v>
      </c>
      <c r="Q33" s="32" t="s">
        <v>80</v>
      </c>
      <c r="R33" s="32" t="s">
        <v>60</v>
      </c>
      <c r="S33" s="32" t="s">
        <v>69</v>
      </c>
      <c r="T33" s="32" t="s">
        <v>61</v>
      </c>
      <c r="U33" s="32" t="s">
        <v>70</v>
      </c>
      <c r="V33" s="32" t="s">
        <v>71</v>
      </c>
      <c r="W33" s="32" t="s">
        <v>72</v>
      </c>
      <c r="X33" s="32" t="s">
        <v>62</v>
      </c>
      <c r="Y33" s="32" t="s">
        <v>66</v>
      </c>
      <c r="Z33" s="32" t="s">
        <v>67</v>
      </c>
      <c r="AA33" s="32" t="s">
        <v>81</v>
      </c>
      <c r="AB33" s="32" t="s">
        <v>63</v>
      </c>
      <c r="AC33" s="32" t="s">
        <v>68</v>
      </c>
      <c r="AD33" s="32" t="s">
        <v>64</v>
      </c>
    </row>
    <row r="34" spans="1:30" x14ac:dyDescent="0.3">
      <c r="B34" s="4">
        <v>202501</v>
      </c>
      <c r="C34" s="4"/>
      <c r="D34" s="8">
        <v>2.8E-3</v>
      </c>
      <c r="E34" s="8">
        <v>5.1000000000000004E-3</v>
      </c>
      <c r="F34" s="8">
        <v>2.5999999999999999E-3</v>
      </c>
      <c r="G34" s="8">
        <v>7.7999999999999996E-3</v>
      </c>
      <c r="H34" s="8">
        <v>4.4999999999999997E-3</v>
      </c>
      <c r="I34" s="8">
        <v>3.5000000000000001E-3</v>
      </c>
      <c r="J34" s="8">
        <v>3.2000000000000002E-3</v>
      </c>
      <c r="K34" s="8">
        <v>4.7999999999999996E-3</v>
      </c>
      <c r="L34" s="8">
        <v>1.9E-3</v>
      </c>
      <c r="M34" s="8">
        <v>2.3999999999999998E-3</v>
      </c>
      <c r="N34" s="8">
        <v>2E-3</v>
      </c>
      <c r="O34" s="8">
        <v>5.7999999999999996E-3</v>
      </c>
      <c r="P34" s="8">
        <v>2.3999999999999998E-3</v>
      </c>
      <c r="Q34" s="8">
        <v>3.3999999999999998E-3</v>
      </c>
      <c r="R34" s="8">
        <v>1.6999999999999999E-3</v>
      </c>
      <c r="S34" s="8"/>
      <c r="T34" s="8">
        <v>2.5000000000000001E-3</v>
      </c>
      <c r="U34" s="8">
        <v>5.3E-3</v>
      </c>
      <c r="V34" s="8">
        <v>6.3E-3</v>
      </c>
      <c r="W34" s="8">
        <v>2.7000000000000001E-3</v>
      </c>
      <c r="X34" s="8">
        <v>1.5E-3</v>
      </c>
      <c r="Y34" s="8">
        <v>1.4E-3</v>
      </c>
      <c r="Z34" s="8">
        <v>2.8E-3</v>
      </c>
      <c r="AA34" s="8">
        <v>1.6999999999999999E-3</v>
      </c>
      <c r="AB34" s="8"/>
      <c r="AC34" s="8"/>
      <c r="AD34" s="8">
        <v>6.9999999999999999E-4</v>
      </c>
    </row>
    <row r="35" spans="1:30" x14ac:dyDescent="0.3">
      <c r="B35" s="5">
        <v>202502</v>
      </c>
      <c r="C35" s="5"/>
      <c r="D35" s="9">
        <v>2.8999999999999998E-3</v>
      </c>
      <c r="E35" s="9">
        <v>4.4000000000000003E-3</v>
      </c>
      <c r="F35" s="9">
        <v>2.7000000000000001E-3</v>
      </c>
      <c r="G35" s="9">
        <v>6.3E-3</v>
      </c>
      <c r="H35" s="9">
        <v>4.4999999999999997E-3</v>
      </c>
      <c r="I35" s="9">
        <v>4.4000000000000003E-3</v>
      </c>
      <c r="J35" s="9">
        <v>3.2000000000000002E-3</v>
      </c>
      <c r="K35" s="9">
        <v>2.7000000000000001E-3</v>
      </c>
      <c r="L35" s="9">
        <v>2.0999999999999999E-3</v>
      </c>
      <c r="M35" s="9">
        <v>3.3999999999999998E-3</v>
      </c>
      <c r="N35" s="9">
        <v>1.9E-3</v>
      </c>
      <c r="O35" s="9">
        <v>1.32E-2</v>
      </c>
      <c r="P35" s="9">
        <v>2.3999999999999998E-3</v>
      </c>
      <c r="Q35" s="9">
        <v>4.1999999999999997E-3</v>
      </c>
      <c r="R35" s="9">
        <v>1.6999999999999999E-3</v>
      </c>
      <c r="S35" s="9"/>
      <c r="T35" s="9">
        <v>2.5000000000000001E-3</v>
      </c>
      <c r="U35" s="9">
        <v>5.7999999999999996E-3</v>
      </c>
      <c r="V35" s="9">
        <v>3.5999999999999999E-3</v>
      </c>
      <c r="W35" s="9">
        <v>2.3E-3</v>
      </c>
      <c r="X35" s="9">
        <v>1.5E-3</v>
      </c>
      <c r="Y35" s="9">
        <v>1E-3</v>
      </c>
      <c r="Z35" s="9">
        <v>3.0000000000000001E-3</v>
      </c>
      <c r="AA35" s="9">
        <v>1.8E-3</v>
      </c>
      <c r="AB35" s="9"/>
      <c r="AC35" s="9"/>
      <c r="AD35" s="9">
        <v>1E-3</v>
      </c>
    </row>
    <row r="36" spans="1:30" x14ac:dyDescent="0.3">
      <c r="B36" s="5">
        <v>202503</v>
      </c>
      <c r="C36" s="5"/>
      <c r="D36" s="9">
        <v>2.8E-3</v>
      </c>
      <c r="E36" s="9">
        <v>4.8999999999999998E-3</v>
      </c>
      <c r="F36" s="9">
        <v>2.5999999999999999E-3</v>
      </c>
      <c r="G36" s="9">
        <v>5.8999999999999999E-3</v>
      </c>
      <c r="H36" s="9">
        <v>5.8999999999999999E-3</v>
      </c>
      <c r="I36" s="9">
        <v>3.5999999999999999E-3</v>
      </c>
      <c r="J36" s="9">
        <v>3.3999999999999998E-3</v>
      </c>
      <c r="K36" s="9">
        <v>3.2000000000000002E-3</v>
      </c>
      <c r="L36" s="9">
        <v>3.0000000000000001E-3</v>
      </c>
      <c r="M36" s="9">
        <v>2.2000000000000001E-3</v>
      </c>
      <c r="N36" s="9">
        <v>1.6000000000000001E-3</v>
      </c>
      <c r="O36" s="9">
        <v>9.7999999999999997E-3</v>
      </c>
      <c r="P36" s="9">
        <v>2.5000000000000001E-3</v>
      </c>
      <c r="Q36" s="9">
        <v>3.3E-3</v>
      </c>
      <c r="R36" s="9">
        <v>1.8E-3</v>
      </c>
      <c r="S36" s="9"/>
      <c r="T36" s="9">
        <v>2.5000000000000001E-3</v>
      </c>
      <c r="U36" s="9">
        <v>5.4999999999999997E-3</v>
      </c>
      <c r="V36" s="9">
        <v>3.5000000000000001E-3</v>
      </c>
      <c r="W36" s="9">
        <v>2.5000000000000001E-3</v>
      </c>
      <c r="X36" s="9">
        <v>1.6999999999999999E-3</v>
      </c>
      <c r="Y36" s="9">
        <v>6.9999999999999999E-4</v>
      </c>
      <c r="Z36" s="9">
        <v>2.8E-3</v>
      </c>
      <c r="AA36" s="9">
        <v>1.4E-3</v>
      </c>
      <c r="AB36" s="9"/>
      <c r="AC36" s="9"/>
      <c r="AD36" s="9">
        <v>1.6000000000000001E-3</v>
      </c>
    </row>
    <row r="37" spans="1:30" x14ac:dyDescent="0.3">
      <c r="B37" s="5">
        <v>202504</v>
      </c>
      <c r="C37" s="5"/>
      <c r="D37" s="9">
        <v>2.5999999999999999E-3</v>
      </c>
      <c r="E37" s="9">
        <v>5.1000000000000004E-3</v>
      </c>
      <c r="F37" s="9">
        <v>2.3999999999999998E-3</v>
      </c>
      <c r="G37" s="9">
        <v>5.8999999999999999E-3</v>
      </c>
      <c r="H37" s="9">
        <v>5.7999999999999996E-3</v>
      </c>
      <c r="I37" s="9">
        <v>6.3E-3</v>
      </c>
      <c r="J37" s="9">
        <v>5.0000000000000001E-3</v>
      </c>
      <c r="K37" s="9">
        <v>4.1000000000000003E-3</v>
      </c>
      <c r="L37" s="9">
        <v>1.9E-3</v>
      </c>
      <c r="M37" s="9">
        <v>2.3999999999999998E-3</v>
      </c>
      <c r="N37" s="9">
        <v>2.2000000000000001E-3</v>
      </c>
      <c r="O37" s="9">
        <v>7.3000000000000001E-3</v>
      </c>
      <c r="P37" s="9">
        <v>2.5000000000000001E-3</v>
      </c>
      <c r="Q37" s="9">
        <v>4.1000000000000003E-3</v>
      </c>
      <c r="R37" s="9">
        <v>1.6999999999999999E-3</v>
      </c>
      <c r="S37" s="9"/>
      <c r="T37" s="9">
        <v>2.5999999999999999E-3</v>
      </c>
      <c r="U37" s="9">
        <v>3.2000000000000002E-3</v>
      </c>
      <c r="V37" s="9">
        <v>3.7000000000000002E-3</v>
      </c>
      <c r="W37" s="9">
        <v>2.5000000000000001E-3</v>
      </c>
      <c r="X37" s="9">
        <v>1.6000000000000001E-3</v>
      </c>
      <c r="Y37" s="9">
        <v>8.9999999999999998E-4</v>
      </c>
      <c r="Z37" s="9">
        <v>3.5000000000000001E-3</v>
      </c>
      <c r="AA37" s="9">
        <v>1.6000000000000001E-3</v>
      </c>
      <c r="AB37" s="9"/>
      <c r="AC37" s="9"/>
      <c r="AD37" s="9">
        <v>8.9999999999999998E-4</v>
      </c>
    </row>
    <row r="38" spans="1:30" x14ac:dyDescent="0.3">
      <c r="B38" s="5">
        <v>202505</v>
      </c>
      <c r="C38" s="5"/>
      <c r="D38" s="9">
        <v>2.5999999999999999E-3</v>
      </c>
      <c r="E38" s="9">
        <v>4.1000000000000003E-3</v>
      </c>
      <c r="F38" s="9">
        <v>2.5000000000000001E-3</v>
      </c>
      <c r="G38" s="9">
        <v>5.3E-3</v>
      </c>
      <c r="H38" s="9">
        <v>4.7000000000000002E-3</v>
      </c>
      <c r="I38" s="9">
        <v>2.7000000000000001E-3</v>
      </c>
      <c r="J38" s="9">
        <v>1.6000000000000001E-3</v>
      </c>
      <c r="K38" s="9">
        <v>3.0000000000000001E-3</v>
      </c>
      <c r="L38" s="9">
        <v>2.8E-3</v>
      </c>
      <c r="M38" s="9">
        <v>2.5000000000000001E-3</v>
      </c>
      <c r="N38" s="9">
        <v>2.7000000000000001E-3</v>
      </c>
      <c r="O38" s="9">
        <v>4.5999999999999999E-3</v>
      </c>
      <c r="P38" s="9">
        <v>4.1000000000000003E-3</v>
      </c>
      <c r="Q38" s="9">
        <v>4.1000000000000003E-3</v>
      </c>
      <c r="R38" s="9">
        <v>1.6999999999999999E-3</v>
      </c>
      <c r="S38" s="9"/>
      <c r="T38" s="9">
        <v>2.3E-3</v>
      </c>
      <c r="U38" s="9">
        <v>2.2000000000000001E-3</v>
      </c>
      <c r="V38" s="9">
        <v>4.4000000000000003E-3</v>
      </c>
      <c r="W38" s="9">
        <v>2.3E-3</v>
      </c>
      <c r="X38" s="9">
        <v>1.6000000000000001E-3</v>
      </c>
      <c r="Y38" s="9">
        <v>8.9999999999999998E-4</v>
      </c>
      <c r="Z38" s="9">
        <v>3.0999999999999999E-3</v>
      </c>
      <c r="AA38" s="9">
        <v>1.5E-3</v>
      </c>
      <c r="AB38" s="9"/>
      <c r="AC38" s="9"/>
      <c r="AD38" s="9">
        <v>8.9999999999999998E-4</v>
      </c>
    </row>
    <row r="39" spans="1:30" x14ac:dyDescent="0.3">
      <c r="B39" s="5">
        <v>202506</v>
      </c>
      <c r="C39" s="5"/>
      <c r="D39" s="9">
        <v>1.9E-3</v>
      </c>
      <c r="E39" s="9">
        <v>4.4999999999999997E-3</v>
      </c>
      <c r="F39" s="9">
        <v>1.6999999999999999E-3</v>
      </c>
      <c r="G39" s="9">
        <v>5.8999999999999999E-3</v>
      </c>
      <c r="H39" s="9">
        <v>5.4000000000000003E-3</v>
      </c>
      <c r="I39" s="9">
        <v>4.4999999999999997E-3</v>
      </c>
      <c r="J39" s="9">
        <v>2.5000000000000001E-3</v>
      </c>
      <c r="K39" s="9">
        <v>3.0000000000000001E-3</v>
      </c>
      <c r="L39" s="9">
        <v>1.2999999999999999E-3</v>
      </c>
      <c r="M39" s="9">
        <v>3.7000000000000002E-3</v>
      </c>
      <c r="N39" s="9">
        <v>2.5000000000000001E-3</v>
      </c>
      <c r="O39" s="9">
        <v>4.0000000000000001E-3</v>
      </c>
      <c r="P39" s="9">
        <v>2.7000000000000001E-3</v>
      </c>
      <c r="Q39" s="9">
        <v>3.8E-3</v>
      </c>
      <c r="R39" s="9">
        <v>1.5E-3</v>
      </c>
      <c r="S39" s="9"/>
      <c r="T39" s="9">
        <v>1.6999999999999999E-3</v>
      </c>
      <c r="U39" s="9">
        <v>3.0000000000000001E-3</v>
      </c>
      <c r="V39" s="9">
        <v>3.5999999999999999E-3</v>
      </c>
      <c r="W39" s="9">
        <v>1.8E-3</v>
      </c>
      <c r="X39" s="9">
        <v>8.9999999999999998E-4</v>
      </c>
      <c r="Y39" s="9">
        <v>5.9999999999999995E-4</v>
      </c>
      <c r="Z39" s="9">
        <v>1.6999999999999999E-3</v>
      </c>
      <c r="AA39" s="9">
        <v>1E-3</v>
      </c>
      <c r="AB39" s="9">
        <v>0</v>
      </c>
      <c r="AC39" s="9">
        <v>0</v>
      </c>
      <c r="AD39" s="9">
        <v>5.0000000000000001E-4</v>
      </c>
    </row>
    <row r="40" spans="1:30" x14ac:dyDescent="0.3">
      <c r="B40" s="5">
        <v>202507</v>
      </c>
      <c r="C40" s="5"/>
      <c r="D40" s="9">
        <v>2.3999999999999998E-3</v>
      </c>
      <c r="E40" s="9">
        <v>4.5999999999999999E-3</v>
      </c>
      <c r="F40" s="9">
        <v>2.2000000000000001E-3</v>
      </c>
      <c r="G40" s="9">
        <v>5.7999999999999996E-3</v>
      </c>
      <c r="H40" s="9">
        <v>4.3E-3</v>
      </c>
      <c r="I40" s="9">
        <v>4.4999999999999997E-3</v>
      </c>
      <c r="J40" s="9">
        <v>2.5000000000000001E-3</v>
      </c>
      <c r="K40" s="9">
        <v>5.1000000000000004E-3</v>
      </c>
      <c r="L40" s="9">
        <v>3.8E-3</v>
      </c>
      <c r="M40" s="9">
        <v>8.0999999999999996E-3</v>
      </c>
      <c r="N40" s="9">
        <v>2.8E-3</v>
      </c>
      <c r="O40" s="9">
        <v>4.4999999999999997E-3</v>
      </c>
      <c r="P40" s="9">
        <v>2E-3</v>
      </c>
      <c r="Q40" s="9">
        <v>4.8999999999999998E-3</v>
      </c>
      <c r="R40" s="9">
        <v>1.4E-3</v>
      </c>
      <c r="S40" s="9"/>
      <c r="T40" s="9">
        <v>1.9E-3</v>
      </c>
      <c r="U40" s="9">
        <v>4.3E-3</v>
      </c>
      <c r="V40" s="9">
        <v>4.1999999999999997E-3</v>
      </c>
      <c r="W40" s="9">
        <v>4.4000000000000003E-3</v>
      </c>
      <c r="X40" s="9">
        <v>1.1000000000000001E-3</v>
      </c>
      <c r="Y40" s="9">
        <v>5.0000000000000001E-4</v>
      </c>
      <c r="Z40" s="9">
        <v>2.0999999999999999E-3</v>
      </c>
      <c r="AA40" s="9">
        <v>1.1999999999999999E-3</v>
      </c>
      <c r="AB40" s="9">
        <v>8.9999999999999998E-4</v>
      </c>
      <c r="AC40" s="9">
        <v>8.0000000000000004E-4</v>
      </c>
      <c r="AD40" s="9">
        <v>6.9999999999999999E-4</v>
      </c>
    </row>
    <row r="41" spans="1:30" x14ac:dyDescent="0.3">
      <c r="B41" s="5">
        <v>202508</v>
      </c>
      <c r="C41" s="5"/>
      <c r="D41" s="9">
        <v>2E-3</v>
      </c>
      <c r="E41" s="9">
        <v>4.4000000000000003E-3</v>
      </c>
      <c r="F41" s="9">
        <v>1.8E-3</v>
      </c>
      <c r="G41" s="9">
        <v>6.6E-3</v>
      </c>
      <c r="H41" s="9">
        <v>3.8E-3</v>
      </c>
      <c r="I41" s="9">
        <v>2.7000000000000001E-3</v>
      </c>
      <c r="J41" s="9">
        <v>3.2000000000000002E-3</v>
      </c>
      <c r="K41" s="9">
        <v>4.1999999999999997E-3</v>
      </c>
      <c r="L41" s="9">
        <v>2.0999999999999999E-3</v>
      </c>
      <c r="M41" s="9">
        <v>2.5999999999999999E-3</v>
      </c>
      <c r="N41" s="9">
        <v>2.8999999999999998E-3</v>
      </c>
      <c r="O41" s="9">
        <v>5.1999999999999998E-3</v>
      </c>
      <c r="P41" s="9">
        <v>1.9E-3</v>
      </c>
      <c r="Q41" s="9">
        <v>2.3999999999999998E-3</v>
      </c>
      <c r="R41" s="9">
        <v>1.2999999999999999E-3</v>
      </c>
      <c r="S41" s="9"/>
      <c r="T41" s="9">
        <v>1.9E-3</v>
      </c>
      <c r="U41" s="9">
        <v>3.0999999999999999E-3</v>
      </c>
      <c r="V41" s="9">
        <v>3.2000000000000002E-3</v>
      </c>
      <c r="W41" s="9">
        <v>2.3E-3</v>
      </c>
      <c r="X41" s="9">
        <v>1.1000000000000001E-3</v>
      </c>
      <c r="Y41" s="9">
        <v>5.0000000000000001E-4</v>
      </c>
      <c r="Z41" s="9">
        <v>2.8E-3</v>
      </c>
      <c r="AA41" s="9">
        <v>1.2999999999999999E-3</v>
      </c>
      <c r="AB41" s="9">
        <v>1.1999999999999999E-3</v>
      </c>
      <c r="AC41" s="9">
        <v>6.9999999999999999E-4</v>
      </c>
      <c r="AD41" s="9">
        <v>5.9999999999999995E-4</v>
      </c>
    </row>
    <row r="42" spans="1:30" x14ac:dyDescent="0.3">
      <c r="B42" s="5">
        <v>202509</v>
      </c>
      <c r="C42" s="5"/>
      <c r="D42" s="9">
        <v>3.0000000000000001E-3</v>
      </c>
      <c r="E42" s="9">
        <v>8.8000000000000005E-3</v>
      </c>
      <c r="F42" s="9">
        <v>2.5000000000000001E-3</v>
      </c>
      <c r="G42" s="9">
        <v>1.7299999999999999E-2</v>
      </c>
      <c r="H42" s="9">
        <v>5.7000000000000002E-3</v>
      </c>
      <c r="I42" s="9">
        <v>9.1999999999999998E-3</v>
      </c>
      <c r="J42" s="9">
        <v>5.1000000000000004E-3</v>
      </c>
      <c r="K42" s="9">
        <v>4.4000000000000003E-3</v>
      </c>
      <c r="L42" s="9">
        <v>3.8999999999999998E-3</v>
      </c>
      <c r="M42" s="9">
        <v>2.0999999999999999E-3</v>
      </c>
      <c r="N42" s="9">
        <v>5.1999999999999998E-3</v>
      </c>
      <c r="O42" s="9">
        <v>5.0000000000000001E-3</v>
      </c>
      <c r="P42" s="9">
        <v>2.7000000000000001E-3</v>
      </c>
      <c r="Q42" s="9">
        <v>4.8999999999999998E-3</v>
      </c>
      <c r="R42" s="9">
        <v>2E-3</v>
      </c>
      <c r="S42" s="9"/>
      <c r="T42" s="9">
        <v>2.5000000000000001E-3</v>
      </c>
      <c r="U42" s="9">
        <v>3.0999999999999999E-3</v>
      </c>
      <c r="V42" s="9">
        <v>4.5999999999999999E-3</v>
      </c>
      <c r="W42" s="9">
        <v>2.8E-3</v>
      </c>
      <c r="X42" s="9">
        <v>1.6999999999999999E-3</v>
      </c>
      <c r="Y42" s="9">
        <v>1E-3</v>
      </c>
      <c r="Z42" s="9">
        <v>3.5999999999999999E-3</v>
      </c>
      <c r="AA42" s="9">
        <v>1.6000000000000001E-3</v>
      </c>
      <c r="AB42" s="9">
        <v>2.3E-3</v>
      </c>
      <c r="AC42" s="9">
        <v>1.1999999999999999E-3</v>
      </c>
      <c r="AD42" s="9">
        <v>1.1999999999999999E-3</v>
      </c>
    </row>
    <row r="43" spans="1:30" x14ac:dyDescent="0.3">
      <c r="B43" s="5">
        <v>202510</v>
      </c>
      <c r="C43" s="5"/>
      <c r="D43" s="9">
        <v>2.8E-3</v>
      </c>
      <c r="E43" s="9">
        <v>8.0000000000000002E-3</v>
      </c>
      <c r="F43" s="9">
        <v>2.3999999999999998E-3</v>
      </c>
      <c r="G43" s="9">
        <v>1.47E-2</v>
      </c>
      <c r="H43" s="9">
        <v>7.1000000000000004E-3</v>
      </c>
      <c r="I43" s="9">
        <v>1.12E-2</v>
      </c>
      <c r="J43" s="9">
        <v>2.8E-3</v>
      </c>
      <c r="K43" s="9">
        <v>2.0999999999999999E-3</v>
      </c>
      <c r="L43" s="9">
        <v>3.0000000000000001E-3</v>
      </c>
      <c r="M43" s="9">
        <v>2.5000000000000001E-3</v>
      </c>
      <c r="N43" s="9">
        <v>3.3999999999999998E-3</v>
      </c>
      <c r="O43" s="9">
        <v>5.5999999999999999E-3</v>
      </c>
      <c r="P43" s="9">
        <v>2.8999999999999998E-3</v>
      </c>
      <c r="Q43" s="9">
        <v>4.1999999999999997E-3</v>
      </c>
      <c r="R43" s="9">
        <v>2.3E-3</v>
      </c>
      <c r="S43" s="9"/>
      <c r="T43" s="9">
        <v>2.5000000000000001E-3</v>
      </c>
      <c r="U43" s="9">
        <v>2.5999999999999999E-3</v>
      </c>
      <c r="V43" s="9">
        <v>3.3999999999999998E-3</v>
      </c>
      <c r="W43" s="9">
        <v>2.5000000000000001E-3</v>
      </c>
      <c r="X43" s="9">
        <v>2E-3</v>
      </c>
      <c r="Y43" s="9">
        <v>1E-3</v>
      </c>
      <c r="Z43" s="9">
        <v>3.5000000000000001E-3</v>
      </c>
      <c r="AA43" s="9">
        <v>1.6999999999999999E-3</v>
      </c>
      <c r="AB43" s="9">
        <v>1.6999999999999999E-3</v>
      </c>
      <c r="AC43" s="9">
        <v>1.6000000000000001E-3</v>
      </c>
      <c r="AD43" s="9">
        <v>1.2999999999999999E-3</v>
      </c>
    </row>
    <row r="44" spans="1:30" x14ac:dyDescent="0.3">
      <c r="B44" s="5">
        <v>202511</v>
      </c>
      <c r="C44" s="5"/>
      <c r="D44" s="9">
        <v>2.3E-3</v>
      </c>
      <c r="E44" s="9">
        <v>3.5999999999999999E-3</v>
      </c>
      <c r="F44" s="9">
        <v>2.2000000000000001E-3</v>
      </c>
      <c r="G44" s="9">
        <v>5.0000000000000001E-3</v>
      </c>
      <c r="H44" s="9">
        <v>4.1000000000000003E-3</v>
      </c>
      <c r="I44" s="9">
        <v>6.6E-3</v>
      </c>
      <c r="J44" s="9">
        <v>1.9E-3</v>
      </c>
      <c r="K44" s="9">
        <v>2.0999999999999999E-3</v>
      </c>
      <c r="L44" s="9">
        <v>1.2999999999999999E-3</v>
      </c>
      <c r="M44" s="9">
        <v>2E-3</v>
      </c>
      <c r="N44" s="9">
        <v>2.5999999999999999E-3</v>
      </c>
      <c r="O44" s="9">
        <v>3.5000000000000001E-3</v>
      </c>
      <c r="P44" s="9">
        <v>2.5000000000000001E-3</v>
      </c>
      <c r="Q44" s="9">
        <v>3.5000000000000001E-3</v>
      </c>
      <c r="R44" s="9">
        <v>2.3E-3</v>
      </c>
      <c r="S44" s="9"/>
      <c r="T44" s="9">
        <v>3.0000000000000001E-3</v>
      </c>
      <c r="U44" s="9">
        <v>2.3E-3</v>
      </c>
      <c r="V44" s="9">
        <v>3.0999999999999999E-3</v>
      </c>
      <c r="W44" s="9">
        <v>2.8E-3</v>
      </c>
      <c r="X44" s="9">
        <v>1.9E-3</v>
      </c>
      <c r="Y44" s="9">
        <v>8.9999999999999998E-4</v>
      </c>
      <c r="Z44" s="9">
        <v>3.5000000000000001E-3</v>
      </c>
      <c r="AA44" s="9">
        <v>1.5E-3</v>
      </c>
      <c r="AB44" s="9">
        <v>1.1000000000000001E-3</v>
      </c>
      <c r="AC44" s="9">
        <v>1.1999999999999999E-3</v>
      </c>
      <c r="AD44" s="9">
        <v>1.4E-3</v>
      </c>
    </row>
    <row r="45" spans="1:30" x14ac:dyDescent="0.3">
      <c r="B45" s="5">
        <v>202512</v>
      </c>
      <c r="C45" s="5"/>
      <c r="D45" s="9">
        <v>2.5000000000000001E-3</v>
      </c>
      <c r="E45" s="9">
        <v>3.0999999999999999E-3</v>
      </c>
      <c r="F45" s="9">
        <v>2.3999999999999998E-3</v>
      </c>
      <c r="G45" s="9">
        <v>3.3999999999999998E-3</v>
      </c>
      <c r="H45" s="9">
        <v>3.2000000000000002E-3</v>
      </c>
      <c r="I45" s="9">
        <v>4.7000000000000002E-3</v>
      </c>
      <c r="J45" s="9">
        <v>8.9999999999999998E-4</v>
      </c>
      <c r="K45" s="9">
        <v>4.1999999999999997E-3</v>
      </c>
      <c r="L45" s="9">
        <v>2.5999999999999999E-3</v>
      </c>
      <c r="M45" s="9">
        <v>1.9E-3</v>
      </c>
      <c r="N45" s="9">
        <v>3.2000000000000002E-3</v>
      </c>
      <c r="O45" s="9">
        <v>4.4000000000000003E-3</v>
      </c>
      <c r="P45" s="9">
        <v>3.7000000000000002E-3</v>
      </c>
      <c r="Q45" s="9">
        <v>3.2000000000000002E-3</v>
      </c>
      <c r="R45" s="9">
        <v>2.5999999999999999E-3</v>
      </c>
      <c r="S45" s="9"/>
      <c r="T45" s="9">
        <v>3.3999999999999998E-3</v>
      </c>
      <c r="U45" s="9">
        <v>2.5000000000000001E-3</v>
      </c>
      <c r="V45" s="9">
        <v>3.0999999999999999E-3</v>
      </c>
      <c r="W45" s="9">
        <v>3.2000000000000002E-3</v>
      </c>
      <c r="X45" s="9">
        <v>1.5E-3</v>
      </c>
      <c r="Y45" s="9">
        <v>8.0000000000000004E-4</v>
      </c>
      <c r="Z45" s="9">
        <v>3.8999999999999998E-3</v>
      </c>
      <c r="AA45" s="9">
        <v>3.5999999999999999E-3</v>
      </c>
      <c r="AB45" s="9">
        <v>1.1000000000000001E-3</v>
      </c>
      <c r="AC45" s="9">
        <v>1E-3</v>
      </c>
      <c r="AD45" s="9">
        <v>8.9999999999999998E-4</v>
      </c>
    </row>
    <row r="46" spans="1:30" x14ac:dyDescent="0.3">
      <c r="B46" s="5">
        <v>202513</v>
      </c>
      <c r="C46" s="5"/>
      <c r="D46" s="9">
        <v>2.5000000000000001E-3</v>
      </c>
      <c r="E46" s="9">
        <v>3.0000000000000001E-3</v>
      </c>
      <c r="F46" s="9">
        <v>2.5000000000000001E-3</v>
      </c>
      <c r="G46" s="9">
        <v>3.0000000000000001E-3</v>
      </c>
      <c r="H46" s="9">
        <v>2.8999999999999998E-3</v>
      </c>
      <c r="I46" s="9">
        <v>4.7000000000000002E-3</v>
      </c>
      <c r="J46" s="9">
        <v>2.5999999999999999E-3</v>
      </c>
      <c r="K46" s="9">
        <v>4.4999999999999997E-3</v>
      </c>
      <c r="L46" s="9">
        <v>1.6999999999999999E-3</v>
      </c>
      <c r="M46" s="9">
        <v>2E-3</v>
      </c>
      <c r="N46" s="9">
        <v>3.5999999999999999E-3</v>
      </c>
      <c r="O46" s="9">
        <v>5.3E-3</v>
      </c>
      <c r="P46" s="9">
        <v>2.5000000000000001E-3</v>
      </c>
      <c r="Q46" s="9">
        <v>3.8E-3</v>
      </c>
      <c r="R46" s="9">
        <v>3.0000000000000001E-3</v>
      </c>
      <c r="S46" s="9"/>
      <c r="T46" s="9">
        <v>3.5999999999999999E-3</v>
      </c>
      <c r="U46" s="9">
        <v>2.5000000000000001E-3</v>
      </c>
      <c r="V46" s="9">
        <v>3.5000000000000001E-3</v>
      </c>
      <c r="W46" s="9">
        <v>3.0999999999999999E-3</v>
      </c>
      <c r="X46" s="9">
        <v>2E-3</v>
      </c>
      <c r="Y46" s="9">
        <v>1.1000000000000001E-3</v>
      </c>
      <c r="Z46" s="9">
        <v>3.7000000000000002E-3</v>
      </c>
      <c r="AA46" s="9">
        <v>1.8E-3</v>
      </c>
      <c r="AB46" s="9">
        <v>1.6999999999999999E-3</v>
      </c>
      <c r="AC46" s="9">
        <v>8.9999999999999998E-4</v>
      </c>
      <c r="AD46" s="9">
        <v>1E-3</v>
      </c>
    </row>
    <row r="47" spans="1:30" x14ac:dyDescent="0.3">
      <c r="B47" s="5">
        <v>202514</v>
      </c>
      <c r="C47" s="5"/>
      <c r="D47" s="9">
        <v>2.5999999999999999E-3</v>
      </c>
      <c r="E47" s="9">
        <v>4.1999999999999997E-3</v>
      </c>
      <c r="F47" s="9">
        <v>2.5000000000000001E-3</v>
      </c>
      <c r="G47" s="9">
        <v>4.8999999999999998E-3</v>
      </c>
      <c r="H47" s="9">
        <v>3.2000000000000002E-3</v>
      </c>
      <c r="I47" s="9">
        <v>2.8E-3</v>
      </c>
      <c r="J47" s="9">
        <v>6.1000000000000004E-3</v>
      </c>
      <c r="K47" s="9">
        <v>7.1000000000000004E-3</v>
      </c>
      <c r="L47" s="9">
        <v>8.9999999999999998E-4</v>
      </c>
      <c r="M47" s="9">
        <v>2.0999999999999999E-3</v>
      </c>
      <c r="N47" s="9">
        <v>3.7000000000000002E-3</v>
      </c>
      <c r="O47" s="9">
        <v>3.8999999999999998E-3</v>
      </c>
      <c r="P47" s="9">
        <v>2.5000000000000001E-3</v>
      </c>
      <c r="Q47" s="9">
        <v>-1</v>
      </c>
      <c r="R47" s="9">
        <v>2.8E-3</v>
      </c>
      <c r="S47" s="9"/>
      <c r="T47" s="9">
        <v>3.5999999999999999E-3</v>
      </c>
      <c r="U47" s="9">
        <v>2.0999999999999999E-3</v>
      </c>
      <c r="V47" s="9">
        <v>3.2000000000000002E-3</v>
      </c>
      <c r="W47" s="9">
        <v>3.2000000000000002E-3</v>
      </c>
      <c r="X47" s="9">
        <v>2.3999999999999998E-3</v>
      </c>
      <c r="Y47" s="9">
        <v>1.1999999999999999E-3</v>
      </c>
      <c r="Z47" s="9">
        <v>4.7999999999999996E-3</v>
      </c>
      <c r="AA47" s="9">
        <v>1.6999999999999999E-3</v>
      </c>
      <c r="AB47" s="9">
        <v>1.6999999999999999E-3</v>
      </c>
      <c r="AC47" s="9">
        <v>1.1000000000000001E-3</v>
      </c>
      <c r="AD47" s="9">
        <v>1.1000000000000001E-3</v>
      </c>
    </row>
    <row r="48" spans="1:30" x14ac:dyDescent="0.3">
      <c r="B48" s="5">
        <v>202515</v>
      </c>
      <c r="C48" s="5"/>
      <c r="D48" s="9">
        <v>2.5000000000000001E-3</v>
      </c>
      <c r="E48" s="9">
        <v>3.3E-3</v>
      </c>
      <c r="F48" s="9">
        <v>2.3999999999999998E-3</v>
      </c>
      <c r="G48" s="9">
        <v>5.1000000000000004E-3</v>
      </c>
      <c r="H48" s="9">
        <v>2.8E-3</v>
      </c>
      <c r="I48" s="9">
        <v>1.9E-3</v>
      </c>
      <c r="J48" s="9">
        <v>2.3999999999999998E-3</v>
      </c>
      <c r="K48" s="9">
        <v>3.0999999999999999E-3</v>
      </c>
      <c r="L48" s="9">
        <v>1.5E-3</v>
      </c>
      <c r="M48" s="9">
        <v>1.8E-3</v>
      </c>
      <c r="N48" s="9"/>
      <c r="O48" s="9">
        <v>5.3E-3</v>
      </c>
      <c r="P48" s="9">
        <v>2.5000000000000001E-3</v>
      </c>
      <c r="Q48" s="9"/>
      <c r="R48" s="9">
        <v>2.5000000000000001E-3</v>
      </c>
      <c r="S48" s="9"/>
      <c r="T48" s="9">
        <v>3.7000000000000002E-3</v>
      </c>
      <c r="U48" s="9">
        <v>2.5999999999999999E-3</v>
      </c>
      <c r="V48" s="9">
        <v>2.8999999999999998E-3</v>
      </c>
      <c r="W48" s="9">
        <v>3.5999999999999999E-3</v>
      </c>
      <c r="X48" s="9">
        <v>2.5999999999999999E-3</v>
      </c>
      <c r="Y48" s="9">
        <v>8.0000000000000004E-4</v>
      </c>
      <c r="Z48" s="9">
        <v>3.7000000000000002E-3</v>
      </c>
      <c r="AA48" s="9">
        <v>1.9E-3</v>
      </c>
      <c r="AB48" s="9">
        <v>1.4E-3</v>
      </c>
      <c r="AC48" s="9">
        <v>8.9999999999999998E-4</v>
      </c>
      <c r="AD48" s="9">
        <v>1.4E-3</v>
      </c>
    </row>
    <row r="49" spans="2:30" x14ac:dyDescent="0.3">
      <c r="B49" s="5">
        <v>202516</v>
      </c>
      <c r="C49" s="5"/>
      <c r="D49" s="9">
        <v>2.7000000000000001E-3</v>
      </c>
      <c r="E49" s="9">
        <v>2.8E-3</v>
      </c>
      <c r="F49" s="9">
        <v>2.5999999999999999E-3</v>
      </c>
      <c r="G49" s="9">
        <v>3.8999999999999998E-3</v>
      </c>
      <c r="H49" s="9">
        <v>2.5000000000000001E-3</v>
      </c>
      <c r="I49" s="9">
        <v>2.8999999999999998E-3</v>
      </c>
      <c r="J49" s="9">
        <v>1.9E-3</v>
      </c>
      <c r="K49" s="9">
        <v>2.2000000000000001E-3</v>
      </c>
      <c r="L49" s="9">
        <v>2.5999999999999999E-3</v>
      </c>
      <c r="M49" s="9">
        <v>1.9E-3</v>
      </c>
      <c r="N49" s="9"/>
      <c r="O49" s="9">
        <v>5.0000000000000001E-3</v>
      </c>
      <c r="P49" s="9">
        <v>2.5000000000000001E-3</v>
      </c>
      <c r="Q49" s="9"/>
      <c r="R49" s="9">
        <v>2.8E-3</v>
      </c>
      <c r="S49" s="9"/>
      <c r="T49" s="9">
        <v>4.0000000000000001E-3</v>
      </c>
      <c r="U49" s="9">
        <v>2.3E-3</v>
      </c>
      <c r="V49" s="9">
        <v>3.0999999999999999E-3</v>
      </c>
      <c r="W49" s="9">
        <v>3.5999999999999999E-3</v>
      </c>
      <c r="X49" s="9">
        <v>3.3999999999999998E-3</v>
      </c>
      <c r="Y49" s="9">
        <v>1.1999999999999999E-3</v>
      </c>
      <c r="Z49" s="9">
        <v>4.3E-3</v>
      </c>
      <c r="AA49" s="9">
        <v>2.2000000000000001E-3</v>
      </c>
      <c r="AB49" s="9">
        <v>1.6000000000000001E-3</v>
      </c>
      <c r="AC49" s="9">
        <v>1.2999999999999999E-3</v>
      </c>
      <c r="AD49" s="9">
        <v>1.2999999999999999E-3</v>
      </c>
    </row>
    <row r="50" spans="2:30" x14ac:dyDescent="0.3">
      <c r="B50" s="5">
        <v>202517</v>
      </c>
      <c r="C50" s="5"/>
      <c r="D50" s="9">
        <v>2.8E-3</v>
      </c>
      <c r="E50" s="9">
        <v>2.5999999999999999E-3</v>
      </c>
      <c r="F50" s="9">
        <v>2.8E-3</v>
      </c>
      <c r="G50" s="9">
        <v>2.8E-3</v>
      </c>
      <c r="H50" s="9">
        <v>2.8999999999999998E-3</v>
      </c>
      <c r="I50" s="9">
        <v>3.8E-3</v>
      </c>
      <c r="J50" s="9">
        <v>1.4E-3</v>
      </c>
      <c r="K50" s="9">
        <v>2.3999999999999998E-3</v>
      </c>
      <c r="L50" s="9">
        <v>1.6999999999999999E-3</v>
      </c>
      <c r="M50" s="9">
        <v>1.2999999999999999E-3</v>
      </c>
      <c r="N50" s="9"/>
      <c r="O50" s="9">
        <v>8.2000000000000007E-3</v>
      </c>
      <c r="P50" s="9">
        <v>3.0999999999999999E-3</v>
      </c>
      <c r="Q50" s="9"/>
      <c r="R50" s="9">
        <v>2.8E-3</v>
      </c>
      <c r="S50" s="9"/>
      <c r="T50" s="9">
        <v>3.8999999999999998E-3</v>
      </c>
      <c r="U50" s="9">
        <v>2.8999999999999998E-3</v>
      </c>
      <c r="V50" s="9">
        <v>3.5999999999999999E-3</v>
      </c>
      <c r="W50" s="9">
        <v>2.7000000000000001E-3</v>
      </c>
      <c r="X50" s="9">
        <v>3.3E-3</v>
      </c>
      <c r="Y50" s="9">
        <v>8.9999999999999998E-4</v>
      </c>
      <c r="Z50" s="9">
        <v>4.1999999999999997E-3</v>
      </c>
      <c r="AA50" s="9">
        <v>2E-3</v>
      </c>
      <c r="AB50" s="9">
        <v>2.2000000000000001E-3</v>
      </c>
      <c r="AC50" s="9">
        <v>8.9999999999999998E-4</v>
      </c>
      <c r="AD50" s="9">
        <v>1.2999999999999999E-3</v>
      </c>
    </row>
    <row r="51" spans="2:30" x14ac:dyDescent="0.3">
      <c r="B51" s="5">
        <v>202518</v>
      </c>
      <c r="C51" s="5"/>
      <c r="D51" s="9">
        <v>3.7000000000000002E-3</v>
      </c>
      <c r="E51" s="9">
        <v>2.5999999999999999E-3</v>
      </c>
      <c r="F51" s="9">
        <v>3.7000000000000002E-3</v>
      </c>
      <c r="G51" s="9">
        <v>3.0999999999999999E-3</v>
      </c>
      <c r="H51" s="9">
        <v>2.2000000000000001E-3</v>
      </c>
      <c r="I51" s="9">
        <v>8.6999999999999994E-3</v>
      </c>
      <c r="J51" s="9">
        <v>2.5999999999999999E-3</v>
      </c>
      <c r="K51" s="9">
        <v>2.3999999999999998E-3</v>
      </c>
      <c r="L51" s="9">
        <v>1.6999999999999999E-3</v>
      </c>
      <c r="M51" s="9">
        <v>1.4E-3</v>
      </c>
      <c r="N51" s="9"/>
      <c r="O51" s="9">
        <v>4.8999999999999998E-3</v>
      </c>
      <c r="P51" s="9">
        <v>4.1999999999999997E-3</v>
      </c>
      <c r="Q51" s="9"/>
      <c r="R51" s="9">
        <v>3.0000000000000001E-3</v>
      </c>
      <c r="S51" s="9"/>
      <c r="T51" s="9">
        <v>4.1999999999999997E-3</v>
      </c>
      <c r="U51" s="9">
        <v>2.0999999999999999E-3</v>
      </c>
      <c r="V51" s="9">
        <v>3.3E-3</v>
      </c>
      <c r="W51" s="9">
        <v>3.7000000000000002E-3</v>
      </c>
      <c r="X51" s="9">
        <v>4.1999999999999997E-3</v>
      </c>
      <c r="Y51" s="9">
        <v>9.1999999999999998E-3</v>
      </c>
      <c r="Z51" s="9">
        <v>9.4000000000000004E-3</v>
      </c>
      <c r="AA51" s="9">
        <v>1.9E-3</v>
      </c>
      <c r="AB51" s="9">
        <v>1.8E-3</v>
      </c>
      <c r="AC51" s="9">
        <v>1.6000000000000001E-3</v>
      </c>
      <c r="AD51" s="9">
        <v>1.8E-3</v>
      </c>
    </row>
    <row r="52" spans="2:30" x14ac:dyDescent="0.3">
      <c r="B52" s="5">
        <v>202519</v>
      </c>
      <c r="C52" s="5"/>
      <c r="D52" s="9">
        <v>2.8999999999999998E-3</v>
      </c>
      <c r="E52" s="9">
        <v>2.3E-3</v>
      </c>
      <c r="F52" s="9">
        <v>2.8999999999999998E-3</v>
      </c>
      <c r="G52" s="9">
        <v>2.5000000000000001E-3</v>
      </c>
      <c r="H52" s="9">
        <v>2.0999999999999999E-3</v>
      </c>
      <c r="I52" s="9">
        <v>1E-3</v>
      </c>
      <c r="J52" s="9">
        <v>2.0999999999999999E-3</v>
      </c>
      <c r="K52" s="9">
        <v>4.3E-3</v>
      </c>
      <c r="L52" s="9">
        <v>1.2999999999999999E-3</v>
      </c>
      <c r="M52" s="9">
        <v>1.6999999999999999E-3</v>
      </c>
      <c r="N52" s="9"/>
      <c r="O52" s="9">
        <v>5.1999999999999998E-3</v>
      </c>
      <c r="P52" s="9">
        <v>3.2000000000000002E-3</v>
      </c>
      <c r="Q52" s="9"/>
      <c r="R52" s="9">
        <v>2.5999999999999999E-3</v>
      </c>
      <c r="S52" s="9">
        <v>1.1999999999999999E-3</v>
      </c>
      <c r="T52" s="9">
        <v>3.8999999999999998E-3</v>
      </c>
      <c r="U52" s="9">
        <v>3.3999999999999998E-3</v>
      </c>
      <c r="V52" s="9">
        <v>4.1000000000000003E-3</v>
      </c>
      <c r="W52" s="9">
        <v>3.5000000000000001E-3</v>
      </c>
      <c r="X52" s="9">
        <v>4.4999999999999997E-3</v>
      </c>
      <c r="Y52" s="9">
        <v>2E-3</v>
      </c>
      <c r="Z52" s="9">
        <v>4.8999999999999998E-3</v>
      </c>
      <c r="AA52" s="9">
        <v>3.0000000000000001E-3</v>
      </c>
      <c r="AB52" s="9">
        <v>1.9E-3</v>
      </c>
      <c r="AC52" s="9">
        <v>1E-3</v>
      </c>
      <c r="AD52" s="9">
        <v>2E-3</v>
      </c>
    </row>
    <row r="53" spans="2:30" x14ac:dyDescent="0.3">
      <c r="B53" s="5">
        <v>202520</v>
      </c>
      <c r="C53" s="5"/>
      <c r="D53" s="9">
        <v>2.7000000000000001E-3</v>
      </c>
      <c r="E53" s="9">
        <v>2.2000000000000001E-3</v>
      </c>
      <c r="F53" s="9">
        <v>2.7000000000000001E-3</v>
      </c>
      <c r="G53" s="9">
        <v>2.8E-3</v>
      </c>
      <c r="H53" s="9">
        <v>1.8E-3</v>
      </c>
      <c r="I53" s="9">
        <v>2.8999999999999998E-3</v>
      </c>
      <c r="J53" s="9">
        <v>2.0999999999999999E-3</v>
      </c>
      <c r="K53" s="9">
        <v>3.3999999999999998E-3</v>
      </c>
      <c r="L53" s="9">
        <v>8.9999999999999998E-4</v>
      </c>
      <c r="M53" s="9">
        <v>3.5000000000000001E-3</v>
      </c>
      <c r="N53" s="9">
        <v>6.9999999999999999E-4</v>
      </c>
      <c r="O53" s="9">
        <v>4.4000000000000003E-3</v>
      </c>
      <c r="P53" s="9">
        <v>3.5999999999999999E-3</v>
      </c>
      <c r="Q53" s="9"/>
      <c r="R53" s="9">
        <v>2.7000000000000001E-3</v>
      </c>
      <c r="S53" s="9">
        <v>1.1999999999999999E-3</v>
      </c>
      <c r="T53" s="9">
        <v>3.8E-3</v>
      </c>
      <c r="U53" s="9">
        <v>2.8E-3</v>
      </c>
      <c r="V53" s="9">
        <v>4.0000000000000001E-3</v>
      </c>
      <c r="W53" s="9">
        <v>2.3E-3</v>
      </c>
      <c r="X53" s="9">
        <v>4.3E-3</v>
      </c>
      <c r="Y53" s="9">
        <v>1.1999999999999999E-3</v>
      </c>
      <c r="Z53" s="9">
        <v>4.0000000000000001E-3</v>
      </c>
      <c r="AA53" s="9">
        <v>2.5000000000000001E-3</v>
      </c>
      <c r="AB53" s="9">
        <v>1.9E-3</v>
      </c>
      <c r="AC53" s="9">
        <v>1.4E-3</v>
      </c>
      <c r="AD53" s="9">
        <v>1.8E-3</v>
      </c>
    </row>
    <row r="54" spans="2:30" x14ac:dyDescent="0.3">
      <c r="B54" s="5">
        <v>202521</v>
      </c>
      <c r="C54" s="5"/>
      <c r="D54" s="9">
        <v>3.8E-3</v>
      </c>
      <c r="E54" s="9">
        <v>2.0999999999999999E-3</v>
      </c>
      <c r="F54" s="9">
        <v>3.8999999999999998E-3</v>
      </c>
      <c r="G54" s="9">
        <v>2.8999999999999998E-3</v>
      </c>
      <c r="H54" s="9">
        <v>1.9E-3</v>
      </c>
      <c r="I54" s="9">
        <v>2.8999999999999998E-3</v>
      </c>
      <c r="J54" s="9">
        <v>2.0000000000000001E-4</v>
      </c>
      <c r="K54" s="9">
        <v>2.7000000000000001E-3</v>
      </c>
      <c r="L54" s="9">
        <v>1.5E-3</v>
      </c>
      <c r="M54" s="9">
        <v>2E-3</v>
      </c>
      <c r="N54" s="9">
        <v>8.9999999999999998E-4</v>
      </c>
      <c r="O54" s="9">
        <v>5.7000000000000002E-3</v>
      </c>
      <c r="P54" s="9">
        <v>3.7000000000000002E-3</v>
      </c>
      <c r="Q54" s="9"/>
      <c r="R54" s="9">
        <v>3.0999999999999999E-3</v>
      </c>
      <c r="S54" s="9">
        <v>1.5E-3</v>
      </c>
      <c r="T54" s="9">
        <v>4.1000000000000003E-3</v>
      </c>
      <c r="U54" s="9">
        <v>2.3999999999999998E-3</v>
      </c>
      <c r="V54" s="9">
        <v>0</v>
      </c>
      <c r="W54" s="9">
        <v>0</v>
      </c>
      <c r="X54" s="9">
        <v>1.4200000000000001E-2</v>
      </c>
      <c r="Y54" s="9">
        <v>1.4E-3</v>
      </c>
      <c r="Z54" s="9">
        <v>3.8E-3</v>
      </c>
      <c r="AA54" s="9">
        <v>1.6999999999999999E-3</v>
      </c>
      <c r="AB54" s="9">
        <v>2.0999999999999999E-3</v>
      </c>
      <c r="AC54" s="9">
        <v>1.1000000000000001E-3</v>
      </c>
      <c r="AD54" s="9">
        <v>4.4000000000000003E-3</v>
      </c>
    </row>
    <row r="55" spans="2:30" x14ac:dyDescent="0.3">
      <c r="B55" s="5">
        <v>202522</v>
      </c>
      <c r="C55" s="5"/>
      <c r="D55" s="9">
        <v>2.7000000000000001E-3</v>
      </c>
      <c r="E55" s="9">
        <v>2.2000000000000001E-3</v>
      </c>
      <c r="F55" s="9">
        <v>2.8E-3</v>
      </c>
      <c r="G55" s="9">
        <v>2.3999999999999998E-3</v>
      </c>
      <c r="H55" s="9">
        <v>2E-3</v>
      </c>
      <c r="I55" s="9">
        <v>3.8999999999999998E-3</v>
      </c>
      <c r="J55" s="9">
        <v>6.9999999999999999E-4</v>
      </c>
      <c r="K55" s="9">
        <v>3.7000000000000002E-3</v>
      </c>
      <c r="L55" s="9">
        <v>2.2000000000000001E-3</v>
      </c>
      <c r="M55" s="9">
        <v>2.5000000000000001E-3</v>
      </c>
      <c r="N55" s="9">
        <v>2.2000000000000001E-3</v>
      </c>
      <c r="O55" s="9">
        <v>8.3999999999999995E-3</v>
      </c>
      <c r="P55" s="9">
        <v>3.3999999999999998E-3</v>
      </c>
      <c r="Q55" s="9"/>
      <c r="R55" s="9">
        <v>3.0000000000000001E-3</v>
      </c>
      <c r="S55" s="9">
        <v>1.6999999999999999E-3</v>
      </c>
      <c r="T55" s="9">
        <v>2.9999999999999997E-4</v>
      </c>
      <c r="U55" s="9">
        <v>3.2000000000000002E-3</v>
      </c>
      <c r="V55" s="9"/>
      <c r="W55" s="9"/>
      <c r="X55" s="9">
        <v>5.7999999999999996E-3</v>
      </c>
      <c r="Y55" s="9">
        <v>1.2999999999999999E-3</v>
      </c>
      <c r="Z55" s="9">
        <v>4.1000000000000003E-3</v>
      </c>
      <c r="AA55" s="9">
        <v>2.5000000000000001E-3</v>
      </c>
      <c r="AB55" s="9">
        <v>1.9E-3</v>
      </c>
      <c r="AC55" s="9">
        <v>1.1999999999999999E-3</v>
      </c>
      <c r="AD55" s="9">
        <v>2.3E-3</v>
      </c>
    </row>
    <row r="56" spans="2:30" x14ac:dyDescent="0.3">
      <c r="B56" s="5">
        <v>202523</v>
      </c>
      <c r="C56" s="5"/>
      <c r="D56" s="9">
        <v>3.0000000000000001E-3</v>
      </c>
      <c r="E56" s="9">
        <v>1.9E-3</v>
      </c>
      <c r="F56" s="9">
        <v>3.0999999999999999E-3</v>
      </c>
      <c r="G56" s="9">
        <v>1.6999999999999999E-3</v>
      </c>
      <c r="H56" s="9">
        <v>1.1000000000000001E-3</v>
      </c>
      <c r="I56" s="9">
        <v>1E-3</v>
      </c>
      <c r="J56" s="9">
        <v>2.2000000000000001E-3</v>
      </c>
      <c r="K56" s="9">
        <v>1.6999999999999999E-3</v>
      </c>
      <c r="L56" s="9">
        <v>4.7999999999999996E-3</v>
      </c>
      <c r="M56" s="9">
        <v>2.5000000000000001E-3</v>
      </c>
      <c r="N56" s="9">
        <v>5.1999999999999998E-3</v>
      </c>
      <c r="O56" s="9">
        <v>9.4999999999999998E-3</v>
      </c>
      <c r="P56" s="9">
        <v>3.5000000000000001E-3</v>
      </c>
      <c r="Q56" s="9"/>
      <c r="R56" s="9">
        <v>3.0000000000000001E-3</v>
      </c>
      <c r="S56" s="9">
        <v>1.9E-3</v>
      </c>
      <c r="T56" s="9"/>
      <c r="U56" s="9">
        <v>2.5999999999999999E-3</v>
      </c>
      <c r="V56" s="9"/>
      <c r="W56" s="9"/>
      <c r="X56" s="9">
        <v>3.8E-3</v>
      </c>
      <c r="Y56" s="9">
        <v>1.6000000000000001E-3</v>
      </c>
      <c r="Z56" s="9">
        <v>6.1999999999999998E-3</v>
      </c>
      <c r="AA56" s="9">
        <v>3.5000000000000001E-3</v>
      </c>
      <c r="AB56" s="9">
        <v>1.9E-3</v>
      </c>
      <c r="AC56" s="9">
        <v>1.4E-3</v>
      </c>
      <c r="AD56" s="9">
        <v>2.3999999999999998E-3</v>
      </c>
    </row>
    <row r="57" spans="2:30" x14ac:dyDescent="0.3">
      <c r="B57" s="5">
        <v>202524</v>
      </c>
      <c r="C57" s="5"/>
      <c r="D57" s="9">
        <v>3.3E-3</v>
      </c>
      <c r="E57" s="9">
        <v>2.5999999999999999E-3</v>
      </c>
      <c r="F57" s="9">
        <v>3.3E-3</v>
      </c>
      <c r="G57" s="9">
        <v>2.3999999999999998E-3</v>
      </c>
      <c r="H57" s="9">
        <v>2.0999999999999999E-3</v>
      </c>
      <c r="I57" s="9">
        <v>5.8999999999999999E-3</v>
      </c>
      <c r="J57" s="9">
        <v>3.0999999999999999E-3</v>
      </c>
      <c r="K57" s="9">
        <v>2.3999999999999998E-3</v>
      </c>
      <c r="L57" s="9">
        <v>3.3E-3</v>
      </c>
      <c r="M57" s="9">
        <v>5.1999999999999998E-3</v>
      </c>
      <c r="N57" s="9">
        <v>5.1000000000000004E-3</v>
      </c>
      <c r="O57" s="9">
        <v>8.9999999999999993E-3</v>
      </c>
      <c r="P57" s="9">
        <v>4.1999999999999997E-3</v>
      </c>
      <c r="Q57" s="9"/>
      <c r="R57" s="9">
        <v>2.8999999999999998E-3</v>
      </c>
      <c r="S57" s="9">
        <v>1.9E-3</v>
      </c>
      <c r="T57" s="9"/>
      <c r="U57" s="9">
        <v>2.5000000000000001E-3</v>
      </c>
      <c r="V57" s="9"/>
      <c r="W57" s="9"/>
      <c r="X57" s="9">
        <v>4.1999999999999997E-3</v>
      </c>
      <c r="Y57" s="9">
        <v>1.6000000000000001E-3</v>
      </c>
      <c r="Z57" s="9">
        <v>6.3E-3</v>
      </c>
      <c r="AA57" s="9">
        <v>3.0000000000000001E-3</v>
      </c>
      <c r="AB57" s="9">
        <v>2.3E-3</v>
      </c>
      <c r="AC57" s="9">
        <v>1.8E-3</v>
      </c>
      <c r="AD57" s="9">
        <v>2.0999999999999999E-3</v>
      </c>
    </row>
    <row r="58" spans="2:30" ht="15" thickBot="1" x14ac:dyDescent="0.35">
      <c r="B58" s="5">
        <v>202525</v>
      </c>
      <c r="C58" s="5"/>
      <c r="D58" s="9">
        <v>3.2000000000000002E-3</v>
      </c>
      <c r="E58" s="9">
        <v>2.8999999999999998E-3</v>
      </c>
      <c r="F58" s="9">
        <v>3.2000000000000002E-3</v>
      </c>
      <c r="G58" s="9">
        <v>2.0999999999999999E-3</v>
      </c>
      <c r="H58" s="9">
        <v>2.0999999999999999E-3</v>
      </c>
      <c r="I58" s="9">
        <v>6.8999999999999999E-3</v>
      </c>
      <c r="J58" s="9">
        <v>4.3E-3</v>
      </c>
      <c r="K58" s="9">
        <v>3.8999999999999998E-3</v>
      </c>
      <c r="L58" s="9">
        <v>4.4000000000000003E-3</v>
      </c>
      <c r="M58" s="9">
        <v>6.4000000000000003E-3</v>
      </c>
      <c r="N58" s="9">
        <v>4.4999999999999997E-3</v>
      </c>
      <c r="O58" s="9">
        <v>9.7000000000000003E-3</v>
      </c>
      <c r="P58" s="9">
        <v>3.3999999999999998E-3</v>
      </c>
      <c r="Q58" s="9"/>
      <c r="R58" s="9">
        <v>3.0000000000000001E-3</v>
      </c>
      <c r="S58" s="9">
        <v>1.9E-3</v>
      </c>
      <c r="T58" s="9"/>
      <c r="U58" s="9">
        <v>3.3999999999999998E-3</v>
      </c>
      <c r="V58" s="9"/>
      <c r="W58" s="9"/>
      <c r="X58" s="9">
        <v>5.0000000000000001E-3</v>
      </c>
      <c r="Y58" s="9">
        <v>1.1999999999999999E-3</v>
      </c>
      <c r="Z58" s="9">
        <v>3.5999999999999999E-3</v>
      </c>
      <c r="AA58" s="9">
        <v>3.0999999999999999E-3</v>
      </c>
      <c r="AB58" s="9">
        <v>2.8E-3</v>
      </c>
      <c r="AC58" s="9">
        <v>1.6999999999999999E-3</v>
      </c>
      <c r="AD58" s="9">
        <v>1.8E-3</v>
      </c>
    </row>
    <row r="59" spans="2:30" ht="15" thickBot="1" x14ac:dyDescent="0.35">
      <c r="B59" s="22" t="s">
        <v>82</v>
      </c>
      <c r="C59" s="22"/>
      <c r="D59" s="24">
        <f t="shared" ref="D59:AD59" si="23">AVERAGE(D34:D58)</f>
        <v>2.7599999999999999E-3</v>
      </c>
      <c r="E59" s="24">
        <f t="shared" si="23"/>
        <v>3.8119999999999999E-3</v>
      </c>
      <c r="F59" s="24">
        <f t="shared" si="23"/>
        <v>2.6559999999999995E-3</v>
      </c>
      <c r="G59" s="24">
        <f t="shared" si="23"/>
        <v>5.1800000000000014E-3</v>
      </c>
      <c r="H59" s="24">
        <f t="shared" si="23"/>
        <v>3.5440000000000003E-3</v>
      </c>
      <c r="I59" s="24">
        <f t="shared" si="23"/>
        <v>4.5279999999999999E-3</v>
      </c>
      <c r="J59" s="24">
        <f t="shared" si="23"/>
        <v>2.6799999999999997E-3</v>
      </c>
      <c r="K59" s="24">
        <f t="shared" si="23"/>
        <v>3.4679999999999989E-3</v>
      </c>
      <c r="L59" s="24">
        <f t="shared" si="23"/>
        <v>2.3280000000000002E-3</v>
      </c>
      <c r="M59" s="24">
        <f t="shared" si="23"/>
        <v>2.8040000000000005E-3</v>
      </c>
      <c r="N59" s="24">
        <f t="shared" si="23"/>
        <v>2.9449999999999997E-3</v>
      </c>
      <c r="O59" s="24">
        <f t="shared" si="23"/>
        <v>6.2960000000000012E-3</v>
      </c>
      <c r="P59" s="24">
        <f t="shared" si="23"/>
        <v>2.9840000000000001E-3</v>
      </c>
      <c r="Q59" s="24">
        <f t="shared" si="23"/>
        <v>-6.7871428571428569E-2</v>
      </c>
      <c r="R59" s="24">
        <f t="shared" si="23"/>
        <v>2.3680000000000003E-3</v>
      </c>
      <c r="S59" s="24">
        <f t="shared" si="23"/>
        <v>1.6142857142857144E-3</v>
      </c>
      <c r="T59" s="24">
        <f t="shared" si="23"/>
        <v>2.9272727272727271E-3</v>
      </c>
      <c r="U59" s="24">
        <f t="shared" si="23"/>
        <v>3.1079999999999997E-3</v>
      </c>
      <c r="V59" s="24">
        <f t="shared" si="23"/>
        <v>3.5428571428571432E-3</v>
      </c>
      <c r="W59" s="24">
        <f t="shared" si="23"/>
        <v>2.7523809523809528E-3</v>
      </c>
      <c r="X59" s="24">
        <f t="shared" si="23"/>
        <v>3.1119999999999997E-3</v>
      </c>
      <c r="Y59" s="24">
        <f t="shared" si="23"/>
        <v>1.3959999999999997E-3</v>
      </c>
      <c r="Z59" s="24">
        <f t="shared" si="23"/>
        <v>3.9720000000000007E-3</v>
      </c>
      <c r="AA59" s="24">
        <f t="shared" si="23"/>
        <v>2.0280000000000003E-3</v>
      </c>
      <c r="AB59" s="24">
        <f t="shared" si="23"/>
        <v>1.6749999999999998E-3</v>
      </c>
      <c r="AC59" s="24">
        <f t="shared" si="23"/>
        <v>1.1399999999999997E-3</v>
      </c>
      <c r="AD59" s="24">
        <f t="shared" si="23"/>
        <v>1.456E-3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T60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45830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45836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128</v>
      </c>
      <c r="C6" s="7">
        <v>18</v>
      </c>
      <c r="D6" s="7">
        <v>7</v>
      </c>
      <c r="E6" s="7">
        <v>1197</v>
      </c>
      <c r="F6" s="7">
        <v>1005</v>
      </c>
      <c r="G6" s="7">
        <v>7</v>
      </c>
      <c r="H6" s="9">
        <f t="shared" ref="H6:H12" si="0">IFERROR(G6/F6,0)</f>
        <v>6.965174129353234E-3</v>
      </c>
      <c r="I6" s="9">
        <f>IFERROR((1197-F6)/1197,0)</f>
        <v>0.16040100250626566</v>
      </c>
      <c r="J6" s="7">
        <v>3780</v>
      </c>
      <c r="K6" s="11">
        <f t="shared" ref="K6:K12" si="1">IFERROR(J6/D6/F6*100,0)</f>
        <v>53.731343283582092</v>
      </c>
      <c r="L6" s="11">
        <f>K6-54.2067</f>
        <v>-0.475356716417906</v>
      </c>
      <c r="M6" s="11">
        <v>83</v>
      </c>
      <c r="N6" s="11">
        <f t="shared" ref="N6:N12" si="2">K6-M6</f>
        <v>-29.268656716417908</v>
      </c>
      <c r="O6" s="11">
        <f>IFERROR(161420/1197,0)</f>
        <v>134.85380116959064</v>
      </c>
      <c r="P6" s="11">
        <v>0</v>
      </c>
      <c r="Q6" s="11">
        <f t="shared" ref="Q6:Q11" si="3">IFERROR(O6-P6,0)</f>
        <v>134.85380116959064</v>
      </c>
      <c r="R6" s="7">
        <v>889</v>
      </c>
      <c r="S6" s="11">
        <f t="shared" ref="S6:S11" si="4">IFERROR(R6/D6/F6*1000,0)</f>
        <v>126.36815920398008</v>
      </c>
      <c r="T6" s="13">
        <f t="shared" ref="T6:T12" si="5">IFERROR(J6/R6,0)</f>
        <v>4.2519685039370083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235.18518518518516</v>
      </c>
      <c r="Z6" s="11">
        <f t="shared" ref="Z6:Z12" si="9">IFERROR(Y6*X6/1000,0)</f>
        <v>69.821777777777768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7</v>
      </c>
      <c r="AF6" s="11">
        <v>17</v>
      </c>
      <c r="AG6" s="7">
        <f t="shared" ref="AG6:AG11" si="10">IF(M6=0,0,IFERROR(N6/100*7*F6,0))</f>
        <v>-2059.0499999999997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88</v>
      </c>
      <c r="C7" s="7">
        <v>8</v>
      </c>
      <c r="D7" s="7">
        <v>7</v>
      </c>
      <c r="E7" s="7">
        <v>14440</v>
      </c>
      <c r="F7" s="7">
        <v>11158</v>
      </c>
      <c r="G7" s="7">
        <v>22</v>
      </c>
      <c r="H7" s="9">
        <f t="shared" si="0"/>
        <v>1.9716795124574298E-3</v>
      </c>
      <c r="I7" s="9">
        <f>IFERROR((14440-F7)/14440,0)</f>
        <v>0.22728531855955678</v>
      </c>
      <c r="J7" s="7">
        <v>59280</v>
      </c>
      <c r="K7" s="11">
        <f t="shared" si="1"/>
        <v>75.896858115893792</v>
      </c>
      <c r="L7" s="11">
        <f>K7-76.4375</f>
        <v>-0.54064188410620773</v>
      </c>
      <c r="M7" s="11">
        <v>81</v>
      </c>
      <c r="N7" s="11">
        <f t="shared" si="2"/>
        <v>-5.1031418841062077</v>
      </c>
      <c r="O7" s="11">
        <f>IFERROR(4893700/14440,0)</f>
        <v>338.89889196675898</v>
      </c>
      <c r="P7" s="11">
        <v>0</v>
      </c>
      <c r="Q7" s="11">
        <f t="shared" si="3"/>
        <v>338.89889196675898</v>
      </c>
      <c r="R7" s="7">
        <v>9730</v>
      </c>
      <c r="S7" s="11">
        <f t="shared" si="4"/>
        <v>124.57429646890124</v>
      </c>
      <c r="T7" s="13">
        <f t="shared" si="5"/>
        <v>6.0924974306269268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164.13630229419701</v>
      </c>
      <c r="Z7" s="11">
        <f t="shared" si="9"/>
        <v>61.247461201079609</v>
      </c>
      <c r="AA7" s="7">
        <v>0</v>
      </c>
      <c r="AB7" s="15">
        <f>IFERROR(AA7/1970,0)</f>
        <v>0</v>
      </c>
      <c r="AC7" s="11">
        <v>0</v>
      </c>
      <c r="AD7" s="15">
        <f>IFERROR(AC7/65,0)</f>
        <v>0</v>
      </c>
      <c r="AE7" s="11">
        <v>7</v>
      </c>
      <c r="AF7" s="11">
        <v>17</v>
      </c>
      <c r="AG7" s="7">
        <f t="shared" si="10"/>
        <v>-3985.8599999999942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88</v>
      </c>
      <c r="C8" s="7">
        <v>18</v>
      </c>
      <c r="D8" s="7">
        <v>7</v>
      </c>
      <c r="E8" s="7">
        <v>16063</v>
      </c>
      <c r="F8" s="7">
        <v>13086</v>
      </c>
      <c r="G8" s="7">
        <v>21</v>
      </c>
      <c r="H8" s="9">
        <f t="shared" si="0"/>
        <v>1.6047684548372307E-3</v>
      </c>
      <c r="I8" s="9">
        <f>IFERROR((16063-F8)/16063,0)</f>
        <v>0.18533275228786653</v>
      </c>
      <c r="J8" s="7">
        <v>62520</v>
      </c>
      <c r="K8" s="11">
        <f t="shared" si="1"/>
        <v>68.251784895526285</v>
      </c>
      <c r="L8" s="11">
        <f>K8-68.3059</f>
        <v>-5.4115104473709152E-2</v>
      </c>
      <c r="M8" s="11">
        <v>78</v>
      </c>
      <c r="N8" s="11">
        <f t="shared" si="2"/>
        <v>-9.7482151044737151</v>
      </c>
      <c r="O8" s="11">
        <f>IFERROR(5096820/16063,0)</f>
        <v>317.30187387163045</v>
      </c>
      <c r="P8" s="11">
        <v>0</v>
      </c>
      <c r="Q8" s="11">
        <f t="shared" si="3"/>
        <v>317.30187387163045</v>
      </c>
      <c r="R8" s="7">
        <v>10150</v>
      </c>
      <c r="S8" s="11">
        <f t="shared" si="4"/>
        <v>110.80544092923736</v>
      </c>
      <c r="T8" s="13">
        <f t="shared" si="5"/>
        <v>6.1596059113300496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162.34804862444025</v>
      </c>
      <c r="Z8" s="11">
        <f t="shared" si="9"/>
        <v>60.068777991042893</v>
      </c>
      <c r="AA8" s="7">
        <v>0</v>
      </c>
      <c r="AB8" s="15">
        <f>IFERROR(AA8/1580,0)</f>
        <v>0</v>
      </c>
      <c r="AC8" s="11">
        <v>0</v>
      </c>
      <c r="AD8" s="15">
        <f>IFERROR(AC8/63.6,0)</f>
        <v>0</v>
      </c>
      <c r="AE8" s="11">
        <v>7</v>
      </c>
      <c r="AF8" s="11">
        <v>17</v>
      </c>
      <c r="AG8" s="7">
        <f t="shared" si="10"/>
        <v>-8929.5600000000122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49</v>
      </c>
      <c r="C9" s="7"/>
      <c r="D9" s="7">
        <v>7</v>
      </c>
      <c r="E9" s="7">
        <v>4686</v>
      </c>
      <c r="F9" s="7">
        <v>4137</v>
      </c>
      <c r="G9" s="7">
        <v>14</v>
      </c>
      <c r="H9" s="9">
        <f t="shared" si="0"/>
        <v>3.3840947546531302E-3</v>
      </c>
      <c r="I9" s="9">
        <f>IFERROR((4686-F9)/4686,0)</f>
        <v>0.11715749039692702</v>
      </c>
      <c r="J9" s="7">
        <v>28860</v>
      </c>
      <c r="K9" s="11">
        <f t="shared" si="1"/>
        <v>99.658137366621773</v>
      </c>
      <c r="L9" s="11">
        <f>K9-100.148</f>
        <v>-0.48986263337822322</v>
      </c>
      <c r="M9" s="11">
        <v>89</v>
      </c>
      <c r="N9" s="11">
        <f t="shared" si="2"/>
        <v>10.658137366621773</v>
      </c>
      <c r="O9" s="11">
        <f>IFERROR(846870/4686,0)</f>
        <v>180.72343149807938</v>
      </c>
      <c r="P9" s="11">
        <v>192</v>
      </c>
      <c r="Q9" s="11">
        <f t="shared" si="3"/>
        <v>-11.276568501920622</v>
      </c>
      <c r="R9" s="7">
        <v>4646</v>
      </c>
      <c r="S9" s="11">
        <f t="shared" si="4"/>
        <v>160.43371663386165</v>
      </c>
      <c r="T9" s="13">
        <f t="shared" si="5"/>
        <v>6.2117950925527339</v>
      </c>
      <c r="U9" s="7">
        <v>5040</v>
      </c>
      <c r="V9" s="11">
        <f t="shared" si="6"/>
        <v>174.03915881073243</v>
      </c>
      <c r="W9" s="11">
        <f t="shared" si="7"/>
        <v>1.084804132587172</v>
      </c>
      <c r="X9" s="11">
        <v>362.76</v>
      </c>
      <c r="Y9" s="11">
        <f t="shared" si="8"/>
        <v>160.98406098406099</v>
      </c>
      <c r="Z9" s="11">
        <f t="shared" si="9"/>
        <v>58.39857796257796</v>
      </c>
      <c r="AA9" s="7">
        <v>0</v>
      </c>
      <c r="AB9" s="15">
        <f>IFERROR(AA9/1950,0)</f>
        <v>0</v>
      </c>
      <c r="AC9" s="11">
        <v>0</v>
      </c>
      <c r="AD9" s="15">
        <f>IFERROR(AC9/63.3,0)</f>
        <v>0</v>
      </c>
      <c r="AE9" s="11">
        <v>13</v>
      </c>
      <c r="AF9" s="11">
        <v>24</v>
      </c>
      <c r="AG9" s="7">
        <f t="shared" si="10"/>
        <v>3086.4899999999989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88</v>
      </c>
      <c r="C10" s="7">
        <v>19</v>
      </c>
      <c r="D10" s="7">
        <v>7</v>
      </c>
      <c r="E10" s="7">
        <v>5000</v>
      </c>
      <c r="F10" s="7">
        <v>4058</v>
      </c>
      <c r="G10" s="7">
        <v>10</v>
      </c>
      <c r="H10" s="9">
        <f t="shared" si="0"/>
        <v>2.4642681123706258E-3</v>
      </c>
      <c r="I10" s="9">
        <f>IFERROR((5000-F10)/5000,0)</f>
        <v>0.18840000000000001</v>
      </c>
      <c r="J10" s="7">
        <v>25030</v>
      </c>
      <c r="K10" s="11">
        <f t="shared" si="1"/>
        <v>88.115186932338247</v>
      </c>
      <c r="L10" s="11">
        <f>K10-88.6009</f>
        <v>-0.48571306766174871</v>
      </c>
      <c r="M10" s="11">
        <v>82</v>
      </c>
      <c r="N10" s="11">
        <f t="shared" si="2"/>
        <v>6.1151869323382471</v>
      </c>
      <c r="O10" s="11">
        <f>IFERROR(1812410/5000,0)</f>
        <v>362.48200000000003</v>
      </c>
      <c r="P10" s="11">
        <v>0</v>
      </c>
      <c r="Q10" s="11">
        <f t="shared" si="3"/>
        <v>362.48200000000003</v>
      </c>
      <c r="R10" s="7">
        <v>4638</v>
      </c>
      <c r="S10" s="11">
        <f t="shared" si="4"/>
        <v>163.27536435964231</v>
      </c>
      <c r="T10" s="13">
        <f t="shared" si="5"/>
        <v>5.3967227253126344</v>
      </c>
      <c r="U10" s="7">
        <v>5040</v>
      </c>
      <c r="V10" s="11">
        <f t="shared" si="6"/>
        <v>177.42730409068508</v>
      </c>
      <c r="W10" s="11">
        <f t="shared" si="7"/>
        <v>1.0866752910737389</v>
      </c>
      <c r="X10" s="11">
        <v>374.81</v>
      </c>
      <c r="Y10" s="11">
        <f t="shared" si="8"/>
        <v>185.29764282860566</v>
      </c>
      <c r="Z10" s="11">
        <f t="shared" si="9"/>
        <v>69.451409508589691</v>
      </c>
      <c r="AA10" s="7">
        <v>0</v>
      </c>
      <c r="AB10" s="15">
        <f>IFERROR(AA10/1970,0)</f>
        <v>0</v>
      </c>
      <c r="AC10" s="11">
        <v>0</v>
      </c>
      <c r="AD10" s="15">
        <f>IFERROR(AC10/65,0)</f>
        <v>0</v>
      </c>
      <c r="AE10" s="11">
        <v>14</v>
      </c>
      <c r="AF10" s="11">
        <v>22</v>
      </c>
      <c r="AG10" s="7">
        <f t="shared" si="10"/>
        <v>1737.0800000000024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49</v>
      </c>
      <c r="C11" s="7"/>
      <c r="D11" s="7">
        <v>7</v>
      </c>
      <c r="E11" s="7">
        <v>4819</v>
      </c>
      <c r="F11" s="7">
        <v>4492</v>
      </c>
      <c r="G11" s="7">
        <v>15</v>
      </c>
      <c r="H11" s="9">
        <f t="shared" si="0"/>
        <v>3.3392698130008903E-3</v>
      </c>
      <c r="I11" s="9">
        <f>IFERROR((4819-F11)/4819,0)</f>
        <v>6.7856401743100231E-2</v>
      </c>
      <c r="J11" s="7">
        <v>29280</v>
      </c>
      <c r="K11" s="11">
        <f t="shared" si="1"/>
        <v>93.117923928253404</v>
      </c>
      <c r="L11" s="11">
        <f>K11-93.9491</f>
        <v>-0.83117607174659724</v>
      </c>
      <c r="M11" s="11">
        <v>89</v>
      </c>
      <c r="N11" s="11">
        <f t="shared" si="2"/>
        <v>4.1179239282534041</v>
      </c>
      <c r="O11" s="11">
        <f>IFERROR(889726/4819,0)</f>
        <v>184.62876115376633</v>
      </c>
      <c r="P11" s="11">
        <v>192</v>
      </c>
      <c r="Q11" s="11">
        <f t="shared" si="3"/>
        <v>-7.3712388462336662</v>
      </c>
      <c r="R11" s="7">
        <v>4964</v>
      </c>
      <c r="S11" s="11">
        <f t="shared" si="4"/>
        <v>157.86795573082304</v>
      </c>
      <c r="T11" s="13">
        <f t="shared" si="5"/>
        <v>5.8984689766317482</v>
      </c>
      <c r="U11" s="7">
        <v>5040</v>
      </c>
      <c r="V11" s="11">
        <f t="shared" si="6"/>
        <v>160.28495102404275</v>
      </c>
      <c r="W11" s="11">
        <f t="shared" si="7"/>
        <v>1.0153102336825142</v>
      </c>
      <c r="X11" s="11">
        <v>362.76</v>
      </c>
      <c r="Y11" s="11">
        <f t="shared" si="8"/>
        <v>169.53551912568307</v>
      </c>
      <c r="Z11" s="11">
        <f t="shared" si="9"/>
        <v>61.500704918032788</v>
      </c>
      <c r="AA11" s="7">
        <v>0</v>
      </c>
      <c r="AB11" s="15">
        <f>IFERROR(AA11/1950,0)</f>
        <v>0</v>
      </c>
      <c r="AC11" s="11">
        <v>0</v>
      </c>
      <c r="AD11" s="15">
        <f>IFERROR(AC11/63.3,0)</f>
        <v>0</v>
      </c>
      <c r="AE11" s="11">
        <v>0</v>
      </c>
      <c r="AF11" s="11">
        <v>24</v>
      </c>
      <c r="AG11" s="7">
        <f t="shared" si="10"/>
        <v>1294.8400000000006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37936</v>
      </c>
      <c r="G12" s="17">
        <f>SUM(G6:G11)</f>
        <v>89</v>
      </c>
      <c r="H12" s="18">
        <f t="shared" si="0"/>
        <v>2.3460565162378745E-3</v>
      </c>
      <c r="I12" s="18"/>
      <c r="J12" s="17">
        <f>SUM(J6:J11)</f>
        <v>208750</v>
      </c>
      <c r="K12" s="19">
        <f t="shared" si="1"/>
        <v>78.609839127553172</v>
      </c>
      <c r="L12" s="19"/>
      <c r="M12" s="19">
        <f>IFERROR(SUMPRODUCT($F6:$F11,M6:M11)/$F12, 0)</f>
        <v>81.944801771404471</v>
      </c>
      <c r="N12" s="19">
        <f t="shared" si="2"/>
        <v>-3.3349626438512985</v>
      </c>
      <c r="O12" s="19">
        <f>IFERROR(SUMPRODUCT($E6:$E11,O6:O11)/$E12, 0)</f>
        <v>296.52518125743967</v>
      </c>
      <c r="P12" s="19">
        <f>IFERROR(SUMPRODUCT($E6:$E11,P6:P11)/$E12, 0)</f>
        <v>39.497024131587487</v>
      </c>
      <c r="Q12" s="19">
        <f>IFERROR(SUMPRODUCT($E6:$E11,Q6:Q11)/$E12, 0)</f>
        <v>257.0281571258522</v>
      </c>
      <c r="R12" s="17">
        <f>SUM(R6:R11)</f>
        <v>35017</v>
      </c>
      <c r="S12" s="19">
        <f>IFERROR(R12/D12/$F12*1000,0)</f>
        <v>131.86494547207329</v>
      </c>
      <c r="T12" s="20">
        <f t="shared" si="5"/>
        <v>5.9613901819116428</v>
      </c>
      <c r="U12" s="17">
        <f>SUM(U6:U11)</f>
        <v>15120</v>
      </c>
      <c r="V12" s="19">
        <f>IFERROR(U12/D12/$F12*1000,0)</f>
        <v>56.938000843525941</v>
      </c>
      <c r="W12" s="19">
        <f t="shared" si="7"/>
        <v>0.4317902732958277</v>
      </c>
      <c r="X12" s="19">
        <f>IFERROR(SUMPRODUCT(R6:R11,X6:X11)/R12,0)</f>
        <v>367.66908073221583</v>
      </c>
      <c r="Y12" s="19">
        <f>IFERROR(($F12*S12)/($F12*K12)*100,0)</f>
        <v>167.74610778443116</v>
      </c>
      <c r="Z12" s="19">
        <f t="shared" si="9"/>
        <v>61.675057245509002</v>
      </c>
      <c r="AA12" s="17"/>
      <c r="AB12" s="21">
        <f>IFERROR(SUMPRODUCT($F6:$F11,AB6:AB11)/$F12,0)</f>
        <v>0</v>
      </c>
      <c r="AC12" s="19"/>
      <c r="AD12" s="21">
        <f>AVERAGE(AD6:AD11)</f>
        <v>0</v>
      </c>
      <c r="AE12" s="19"/>
      <c r="AF12" s="19"/>
      <c r="AG12" s="17">
        <f>SUM(AG6:AG11)</f>
        <v>-8856.0600000000049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88</v>
      </c>
      <c r="C14" s="6">
        <v>25</v>
      </c>
      <c r="D14" s="6">
        <v>7</v>
      </c>
      <c r="E14" s="6">
        <v>21388</v>
      </c>
      <c r="F14" s="6">
        <v>16220</v>
      </c>
      <c r="G14" s="6">
        <v>97</v>
      </c>
      <c r="H14" s="8">
        <f t="shared" ref="H14:H28" si="12">IFERROR(G14/F14,0)</f>
        <v>5.9802712700369916E-3</v>
      </c>
      <c r="I14" s="8">
        <f>IFERROR((21388-F14)/21388,0)</f>
        <v>0.24163082102113334</v>
      </c>
      <c r="J14" s="6">
        <v>81250</v>
      </c>
      <c r="K14" s="10">
        <f t="shared" ref="K14:K28" si="13">IFERROR(J14/D14/F14*100,0)</f>
        <v>71.56068345957371</v>
      </c>
      <c r="L14" s="10">
        <f>K14-72.5624</f>
        <v>-1.0017165404262869</v>
      </c>
      <c r="M14" s="10">
        <v>79</v>
      </c>
      <c r="N14" s="10">
        <f t="shared" ref="N14:N28" si="14">K14-M14</f>
        <v>-7.4393165404262902</v>
      </c>
      <c r="O14" s="10">
        <f>IFERROR(5814670/21388,0)</f>
        <v>271.86599962595847</v>
      </c>
      <c r="P14" s="10">
        <v>0</v>
      </c>
      <c r="Q14" s="10">
        <f t="shared" ref="Q14:Q27" si="15">IFERROR(O14-P14,0)</f>
        <v>271.86599962595847</v>
      </c>
      <c r="R14" s="6">
        <v>11370</v>
      </c>
      <c r="S14" s="10">
        <f t="shared" ref="S14:S27" si="16">IFERROR(R14/D14/F14*1000,0)</f>
        <v>100.14091949973577</v>
      </c>
      <c r="T14" s="12">
        <f t="shared" ref="T14:T28" si="17">IFERROR(J14/R14,0)</f>
        <v>7.1459982409850484</v>
      </c>
      <c r="U14" s="6">
        <v>21200</v>
      </c>
      <c r="V14" s="10">
        <f t="shared" ref="V14:V27" si="18">IFERROR(U14/D14/F14*1000,0)</f>
        <v>186.71833714990311</v>
      </c>
      <c r="W14" s="10">
        <f t="shared" ref="W14:W28" si="19">IFERROR(V14/S14,0)</f>
        <v>1.864555848724714</v>
      </c>
      <c r="X14" s="10">
        <v>289.94</v>
      </c>
      <c r="Y14" s="10">
        <f t="shared" ref="Y14:Y27" si="20">IFERROR((F14*S14)/(F14*K14)*100,0)</f>
        <v>139.93846153846155</v>
      </c>
      <c r="Z14" s="10">
        <f t="shared" ref="Z14:Z28" si="21">IFERROR(Y14*X14/1000,0)</f>
        <v>40.573757538461543</v>
      </c>
      <c r="AA14" s="6">
        <v>1980</v>
      </c>
      <c r="AB14" s="14">
        <f>IFERROR(AA14/1580,0)</f>
        <v>1.2531645569620253</v>
      </c>
      <c r="AC14" s="10">
        <v>0</v>
      </c>
      <c r="AD14" s="14">
        <f>IFERROR(AC14/63.6,0)</f>
        <v>0</v>
      </c>
      <c r="AE14" s="10">
        <v>17</v>
      </c>
      <c r="AF14" s="10">
        <v>26</v>
      </c>
      <c r="AG14" s="6">
        <f t="shared" ref="AG14:AG27" si="22">IF(M14=0,0,IFERROR(N14/100*7*F14,0))</f>
        <v>-8446.6000000000095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48</v>
      </c>
      <c r="C15" s="7"/>
      <c r="D15" s="7">
        <v>7</v>
      </c>
      <c r="E15" s="7">
        <v>10225</v>
      </c>
      <c r="F15" s="7">
        <v>8400</v>
      </c>
      <c r="G15" s="7">
        <v>162</v>
      </c>
      <c r="H15" s="9">
        <f t="shared" si="12"/>
        <v>1.9285714285714285E-2</v>
      </c>
      <c r="I15" s="9">
        <f>IFERROR((10225-F15)/10225,0)</f>
        <v>0.17848410757946209</v>
      </c>
      <c r="J15" s="7">
        <v>49720</v>
      </c>
      <c r="K15" s="11">
        <f t="shared" si="13"/>
        <v>84.557823129251702</v>
      </c>
      <c r="L15" s="11">
        <f>K15-82.0402</f>
        <v>2.5176231292517031</v>
      </c>
      <c r="M15" s="11">
        <v>89</v>
      </c>
      <c r="N15" s="11">
        <f t="shared" si="14"/>
        <v>-4.4421768707482983</v>
      </c>
      <c r="O15" s="11">
        <f>IFERROR(1591800/10225,0)</f>
        <v>155.67726161369194</v>
      </c>
      <c r="P15" s="11">
        <v>186</v>
      </c>
      <c r="Q15" s="11">
        <f t="shared" si="15"/>
        <v>-30.32273838630806</v>
      </c>
      <c r="R15" s="7">
        <v>8040</v>
      </c>
      <c r="S15" s="11">
        <f t="shared" si="16"/>
        <v>136.73469387755102</v>
      </c>
      <c r="T15" s="13">
        <f t="shared" si="17"/>
        <v>6.1840796019900495</v>
      </c>
      <c r="U15" s="7">
        <v>12650</v>
      </c>
      <c r="V15" s="11">
        <f t="shared" si="18"/>
        <v>215.1360544217687</v>
      </c>
      <c r="W15" s="11">
        <f t="shared" si="19"/>
        <v>1.5733830845771144</v>
      </c>
      <c r="X15" s="11">
        <v>296.04857142859998</v>
      </c>
      <c r="Y15" s="11">
        <f t="shared" si="20"/>
        <v>161.70555108608207</v>
      </c>
      <c r="Z15" s="11">
        <f t="shared" si="21"/>
        <v>47.872697391109092</v>
      </c>
      <c r="AA15" s="7">
        <v>1990</v>
      </c>
      <c r="AB15" s="15">
        <f>IFERROR(AA15/1950,0)</f>
        <v>1.0205128205128204</v>
      </c>
      <c r="AC15" s="11">
        <v>0</v>
      </c>
      <c r="AD15" s="15">
        <f>IFERROR(AC15/63.2,0)</f>
        <v>0</v>
      </c>
      <c r="AE15" s="11">
        <v>13</v>
      </c>
      <c r="AF15" s="11">
        <v>25</v>
      </c>
      <c r="AG15" s="7">
        <f t="shared" si="22"/>
        <v>-2611.9999999999991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77</v>
      </c>
      <c r="C16" s="7"/>
      <c r="D16" s="7">
        <v>7</v>
      </c>
      <c r="E16" s="7">
        <v>56050</v>
      </c>
      <c r="F16" s="7">
        <v>48538</v>
      </c>
      <c r="G16" s="7">
        <v>156</v>
      </c>
      <c r="H16" s="9">
        <f t="shared" si="12"/>
        <v>3.2139766780666696E-3</v>
      </c>
      <c r="I16" s="9">
        <f>IFERROR((56050-F16)/56050,0)</f>
        <v>0.13402319357716325</v>
      </c>
      <c r="J16" s="7">
        <v>294600</v>
      </c>
      <c r="K16" s="11">
        <f t="shared" si="13"/>
        <v>86.706733457732668</v>
      </c>
      <c r="L16" s="11">
        <f>K16-90.0082</f>
        <v>-3.3014665422673346</v>
      </c>
      <c r="M16" s="11">
        <v>86.05</v>
      </c>
      <c r="N16" s="11">
        <f t="shared" si="14"/>
        <v>0.65673345773267044</v>
      </c>
      <c r="O16" s="11">
        <f>IFERROR(19589801/56050,0)</f>
        <v>349.50581623550403</v>
      </c>
      <c r="P16" s="11">
        <v>355</v>
      </c>
      <c r="Q16" s="11">
        <f t="shared" si="15"/>
        <v>-5.4941837644959719</v>
      </c>
      <c r="R16" s="7">
        <v>39410</v>
      </c>
      <c r="S16" s="11">
        <f t="shared" si="16"/>
        <v>115.99159421484198</v>
      </c>
      <c r="T16" s="13">
        <f t="shared" si="17"/>
        <v>7.4752600862725194</v>
      </c>
      <c r="U16" s="7">
        <v>64100</v>
      </c>
      <c r="V16" s="11">
        <f t="shared" si="18"/>
        <v>188.65925372167902</v>
      </c>
      <c r="W16" s="11">
        <f t="shared" si="19"/>
        <v>1.626490738391271</v>
      </c>
      <c r="X16" s="11">
        <v>304.53285714290001</v>
      </c>
      <c r="Y16" s="11">
        <f t="shared" si="20"/>
        <v>133.77460964019011</v>
      </c>
      <c r="Z16" s="11">
        <f t="shared" si="21"/>
        <v>40.738764086903224</v>
      </c>
      <c r="AA16" s="7">
        <v>1805</v>
      </c>
      <c r="AB16" s="15">
        <f>IFERROR(AA16/1725,0)</f>
        <v>1.0463768115942029</v>
      </c>
      <c r="AC16" s="11">
        <v>0</v>
      </c>
      <c r="AD16" s="15">
        <f>IFERROR(AC16/64,0)</f>
        <v>0</v>
      </c>
      <c r="AE16" s="11">
        <v>20</v>
      </c>
      <c r="AF16" s="11">
        <v>26</v>
      </c>
      <c r="AG16" s="7">
        <f t="shared" si="22"/>
        <v>2231.356999999985</v>
      </c>
      <c r="AH16" s="7">
        <v>42</v>
      </c>
      <c r="AI16" s="7">
        <v>17.142857142899999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IFERROR(1470/F16,0)</f>
        <v>3.0285549466397461E-2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70</v>
      </c>
      <c r="C17" s="7"/>
      <c r="D17" s="7">
        <v>7</v>
      </c>
      <c r="E17" s="7">
        <v>51536</v>
      </c>
      <c r="F17" s="7">
        <v>46615</v>
      </c>
      <c r="G17" s="7">
        <v>156</v>
      </c>
      <c r="H17" s="9">
        <f t="shared" si="12"/>
        <v>3.3465622653652259E-3</v>
      </c>
      <c r="I17" s="9">
        <f>IFERROR((51536-F17)/51536,0)</f>
        <v>9.5486650108661905E-2</v>
      </c>
      <c r="J17" s="7">
        <v>273280</v>
      </c>
      <c r="K17" s="11">
        <f t="shared" si="13"/>
        <v>83.74986592298616</v>
      </c>
      <c r="L17" s="11">
        <f>K17-82.7314</f>
        <v>1.0184659229861666</v>
      </c>
      <c r="M17" s="11">
        <v>88.4</v>
      </c>
      <c r="N17" s="11">
        <f t="shared" si="14"/>
        <v>-4.6501340770138455</v>
      </c>
      <c r="O17" s="11">
        <f>IFERROR(15626262/51536,0)</f>
        <v>303.21061005898787</v>
      </c>
      <c r="P17" s="11">
        <v>316</v>
      </c>
      <c r="Q17" s="11">
        <f t="shared" si="15"/>
        <v>-12.789389941012132</v>
      </c>
      <c r="R17" s="7">
        <v>37450</v>
      </c>
      <c r="S17" s="11">
        <f t="shared" si="16"/>
        <v>114.76992384425614</v>
      </c>
      <c r="T17" s="13">
        <f t="shared" si="17"/>
        <v>7.2971962616822426</v>
      </c>
      <c r="U17" s="7">
        <v>65127</v>
      </c>
      <c r="V17" s="11">
        <f t="shared" si="18"/>
        <v>199.58934126047717</v>
      </c>
      <c r="W17" s="11">
        <f t="shared" si="19"/>
        <v>1.7390387182910547</v>
      </c>
      <c r="X17" s="11">
        <v>307.82142857140002</v>
      </c>
      <c r="Y17" s="11">
        <f t="shared" si="20"/>
        <v>137.0389344262295</v>
      </c>
      <c r="Z17" s="11">
        <f t="shared" si="21"/>
        <v>42.183520564984377</v>
      </c>
      <c r="AA17" s="7">
        <v>1662</v>
      </c>
      <c r="AB17" s="15">
        <f>IFERROR(AA17/1725,0)</f>
        <v>0.96347826086956523</v>
      </c>
      <c r="AC17" s="11">
        <v>0</v>
      </c>
      <c r="AD17" s="15">
        <f>IFERROR(AC17/63.7,0)</f>
        <v>0</v>
      </c>
      <c r="AE17" s="11">
        <v>23</v>
      </c>
      <c r="AF17" s="11">
        <v>25</v>
      </c>
      <c r="AG17" s="7">
        <f t="shared" si="22"/>
        <v>-15173.620000000028</v>
      </c>
      <c r="AH17" s="7">
        <v>17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IFERROR(800/F17,0)</f>
        <v>1.7161857771103722E-2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62</v>
      </c>
      <c r="B18" s="5">
        <v>49</v>
      </c>
      <c r="C18" s="7"/>
      <c r="D18" s="7">
        <v>7</v>
      </c>
      <c r="E18" s="7">
        <v>52424</v>
      </c>
      <c r="F18" s="7">
        <v>47821</v>
      </c>
      <c r="G18" s="7">
        <v>265</v>
      </c>
      <c r="H18" s="9">
        <f t="shared" si="12"/>
        <v>5.5414985048409691E-3</v>
      </c>
      <c r="I18" s="9">
        <f>IFERROR((52424-F18)/52424,0)</f>
        <v>8.780329620021364E-2</v>
      </c>
      <c r="J18" s="7">
        <v>305940</v>
      </c>
      <c r="K18" s="11">
        <f t="shared" si="13"/>
        <v>91.394396365015965</v>
      </c>
      <c r="L18" s="11">
        <f>K18-89.8034</f>
        <v>1.5909963650159682</v>
      </c>
      <c r="M18" s="11">
        <v>94.2</v>
      </c>
      <c r="N18" s="11">
        <f t="shared" si="14"/>
        <v>-2.8056036349840383</v>
      </c>
      <c r="O18" s="11">
        <f>IFERROR(9231240/52424,0)</f>
        <v>176.08805127422553</v>
      </c>
      <c r="P18" s="11">
        <v>189</v>
      </c>
      <c r="Q18" s="11">
        <f t="shared" si="15"/>
        <v>-12.911948725774465</v>
      </c>
      <c r="R18" s="7">
        <v>37840</v>
      </c>
      <c r="S18" s="11">
        <f t="shared" si="16"/>
        <v>113.04059483729502</v>
      </c>
      <c r="T18" s="13">
        <f t="shared" si="17"/>
        <v>8.0850951374207192</v>
      </c>
      <c r="U18" s="7">
        <v>58464</v>
      </c>
      <c r="V18" s="11">
        <f t="shared" si="18"/>
        <v>174.65130382049725</v>
      </c>
      <c r="W18" s="11">
        <f t="shared" si="19"/>
        <v>1.5450317124735728</v>
      </c>
      <c r="X18" s="11">
        <v>294.60000000000002</v>
      </c>
      <c r="Y18" s="11">
        <f t="shared" si="20"/>
        <v>123.68438255867164</v>
      </c>
      <c r="Z18" s="11">
        <f t="shared" si="21"/>
        <v>36.43741910178467</v>
      </c>
      <c r="AA18" s="7">
        <v>1687</v>
      </c>
      <c r="AB18" s="15">
        <f>IFERROR(AA18/1720,0)</f>
        <v>0.98081395348837208</v>
      </c>
      <c r="AC18" s="11">
        <v>61.03</v>
      </c>
      <c r="AD18" s="15">
        <f>IFERROR(AC18/62.6,0)</f>
        <v>0.97492012779552717</v>
      </c>
      <c r="AE18" s="11">
        <v>20</v>
      </c>
      <c r="AF18" s="11">
        <v>25</v>
      </c>
      <c r="AG18" s="7">
        <f t="shared" si="22"/>
        <v>-9391.6740000000173</v>
      </c>
      <c r="AH18" s="7">
        <v>36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IFERROR(1400/F18,0)</f>
        <v>2.9275841157650404E-2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63</v>
      </c>
      <c r="B19" s="5">
        <v>39</v>
      </c>
      <c r="C19" s="7"/>
      <c r="D19" s="7">
        <v>7</v>
      </c>
      <c r="E19" s="7">
        <v>50525</v>
      </c>
      <c r="F19" s="7">
        <v>48627</v>
      </c>
      <c r="G19" s="7">
        <v>150</v>
      </c>
      <c r="H19" s="9">
        <f t="shared" si="12"/>
        <v>3.0847060275155779E-3</v>
      </c>
      <c r="I19" s="9">
        <f>IFERROR((50525-F19)/50525,0)</f>
        <v>3.756556160316675E-2</v>
      </c>
      <c r="J19" s="7">
        <v>308860</v>
      </c>
      <c r="K19" s="11">
        <f t="shared" si="13"/>
        <v>90.737362253186802</v>
      </c>
      <c r="L19" s="11">
        <f>K19-91.0792</f>
        <v>-0.3418377468131979</v>
      </c>
      <c r="M19" s="11">
        <v>94</v>
      </c>
      <c r="N19" s="11">
        <f t="shared" si="14"/>
        <v>-3.2626377468131977</v>
      </c>
      <c r="O19" s="11">
        <f>IFERROR(5857310/50525,0)</f>
        <v>115.92894606630381</v>
      </c>
      <c r="P19" s="11">
        <v>126</v>
      </c>
      <c r="Q19" s="11">
        <f t="shared" si="15"/>
        <v>-10.071053933696192</v>
      </c>
      <c r="R19" s="7">
        <v>38061</v>
      </c>
      <c r="S19" s="11">
        <f t="shared" si="16"/>
        <v>111.81618677454324</v>
      </c>
      <c r="T19" s="13">
        <f t="shared" si="17"/>
        <v>8.1148682378287482</v>
      </c>
      <c r="U19" s="7">
        <v>67574</v>
      </c>
      <c r="V19" s="11">
        <f t="shared" si="18"/>
        <v>198.51992866984537</v>
      </c>
      <c r="W19" s="11">
        <f t="shared" si="19"/>
        <v>1.775413152570873</v>
      </c>
      <c r="X19" s="11">
        <v>260.86857142859998</v>
      </c>
      <c r="Y19" s="11">
        <f t="shared" si="20"/>
        <v>123.23058991128666</v>
      </c>
      <c r="Z19" s="11">
        <f t="shared" si="21"/>
        <v>32.146987946460996</v>
      </c>
      <c r="AA19" s="7">
        <v>1692</v>
      </c>
      <c r="AB19" s="15">
        <f>IFERROR(AA19/1570,0)</f>
        <v>1.0777070063694267</v>
      </c>
      <c r="AC19" s="11">
        <v>60.21</v>
      </c>
      <c r="AD19" s="15">
        <f>IFERROR(AC19/60.7,0)</f>
        <v>0.99192751235584842</v>
      </c>
      <c r="AE19" s="11">
        <v>20</v>
      </c>
      <c r="AF19" s="11">
        <v>25</v>
      </c>
      <c r="AG19" s="7">
        <f t="shared" si="22"/>
        <v>-11105.659999999976</v>
      </c>
      <c r="AH19" s="7">
        <v>35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IFERROR(980/F19,0)</f>
        <v>2.0153412713101775E-2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64</v>
      </c>
      <c r="B20" s="5">
        <v>58</v>
      </c>
      <c r="C20" s="7"/>
      <c r="D20" s="7">
        <v>7</v>
      </c>
      <c r="E20" s="7">
        <v>50845</v>
      </c>
      <c r="F20" s="7">
        <v>48140</v>
      </c>
      <c r="G20" s="7">
        <v>104</v>
      </c>
      <c r="H20" s="9">
        <f t="shared" si="12"/>
        <v>2.1603656003323641E-3</v>
      </c>
      <c r="I20" s="9">
        <f>IFERROR((50845-F20)/50845,0)</f>
        <v>5.3200904710394334E-2</v>
      </c>
      <c r="J20" s="7">
        <v>314570</v>
      </c>
      <c r="K20" s="11">
        <f t="shared" si="13"/>
        <v>93.349753694581281</v>
      </c>
      <c r="L20" s="11">
        <f>K20-92.3283</f>
        <v>1.0214536945812824</v>
      </c>
      <c r="M20" s="11">
        <v>91.9</v>
      </c>
      <c r="N20" s="11">
        <f t="shared" si="14"/>
        <v>1.4497536945812755</v>
      </c>
      <c r="O20" s="11">
        <f>IFERROR(12208030/50845,0)</f>
        <v>240.10286163831253</v>
      </c>
      <c r="P20" s="11">
        <v>244</v>
      </c>
      <c r="Q20" s="11">
        <f t="shared" si="15"/>
        <v>-3.8971383616874675</v>
      </c>
      <c r="R20" s="7">
        <v>40115</v>
      </c>
      <c r="S20" s="11">
        <f t="shared" si="16"/>
        <v>119.04267315567689</v>
      </c>
      <c r="T20" s="13">
        <f t="shared" si="17"/>
        <v>7.8417050978436995</v>
      </c>
      <c r="U20" s="7">
        <v>65000</v>
      </c>
      <c r="V20" s="11">
        <f t="shared" si="18"/>
        <v>192.88978574396106</v>
      </c>
      <c r="W20" s="11">
        <f t="shared" si="19"/>
        <v>1.6203415181353609</v>
      </c>
      <c r="X20" s="11">
        <v>306.92857142859998</v>
      </c>
      <c r="Y20" s="11">
        <f t="shared" si="20"/>
        <v>127.52328575515783</v>
      </c>
      <c r="Z20" s="11">
        <f t="shared" si="21"/>
        <v>39.140539920711724</v>
      </c>
      <c r="AA20" s="7">
        <v>1567</v>
      </c>
      <c r="AB20" s="15">
        <f>IFERROR(AA20/1725,0)</f>
        <v>0.90840579710144931</v>
      </c>
      <c r="AC20" s="11">
        <v>61.32</v>
      </c>
      <c r="AD20" s="15">
        <f>IFERROR(AC20/63.1,0)</f>
        <v>0.97179080824088748</v>
      </c>
      <c r="AE20" s="11">
        <v>17</v>
      </c>
      <c r="AF20" s="11">
        <v>25</v>
      </c>
      <c r="AG20" s="7">
        <f t="shared" si="22"/>
        <v>4885.3799999999819</v>
      </c>
      <c r="AH20" s="7">
        <v>35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IFERROR(1400/F20,0)</f>
        <v>2.9081844619858747E-2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65</v>
      </c>
      <c r="B21" s="5">
        <v>25</v>
      </c>
      <c r="C21" s="7"/>
      <c r="D21" s="7">
        <v>7</v>
      </c>
      <c r="E21" s="7">
        <v>21024</v>
      </c>
      <c r="F21" s="7">
        <v>20584</v>
      </c>
      <c r="G21" s="7">
        <v>56</v>
      </c>
      <c r="H21" s="9">
        <f t="shared" si="12"/>
        <v>2.7205596579867857E-3</v>
      </c>
      <c r="I21" s="9">
        <f>IFERROR((21024-F21)/21024,0)</f>
        <v>2.0928462709284626E-2</v>
      </c>
      <c r="J21" s="7">
        <v>90270</v>
      </c>
      <c r="K21" s="11">
        <f t="shared" si="13"/>
        <v>62.649214368996731</v>
      </c>
      <c r="L21" s="11">
        <f>K21-59.1777</f>
        <v>3.4715143689967292</v>
      </c>
      <c r="M21" s="11">
        <v>94</v>
      </c>
      <c r="N21" s="11">
        <f t="shared" si="14"/>
        <v>-31.350785631003269</v>
      </c>
      <c r="O21" s="11">
        <f>IFERROR(384150/21024,0)</f>
        <v>18.271974885844749</v>
      </c>
      <c r="P21" s="11">
        <v>38</v>
      </c>
      <c r="Q21" s="11">
        <f t="shared" si="15"/>
        <v>-19.728025114155251</v>
      </c>
      <c r="R21" s="7">
        <v>17460</v>
      </c>
      <c r="S21" s="11">
        <f t="shared" si="16"/>
        <v>121.17594803175837</v>
      </c>
      <c r="T21" s="13">
        <f t="shared" si="17"/>
        <v>5.1701030927835054</v>
      </c>
      <c r="U21" s="7">
        <v>17520</v>
      </c>
      <c r="V21" s="11">
        <f t="shared" si="18"/>
        <v>121.59236022430736</v>
      </c>
      <c r="W21" s="11">
        <f t="shared" si="19"/>
        <v>1.0034364261168385</v>
      </c>
      <c r="X21" s="11">
        <v>248.55571428569999</v>
      </c>
      <c r="Y21" s="11">
        <f t="shared" si="20"/>
        <v>193.41974077766696</v>
      </c>
      <c r="Z21" s="11">
        <f t="shared" si="21"/>
        <v>48.075581825947943</v>
      </c>
      <c r="AA21" s="7">
        <v>1700</v>
      </c>
      <c r="AB21" s="15">
        <f>IFERROR(AA21/1850,0)</f>
        <v>0.91891891891891897</v>
      </c>
      <c r="AC21" s="11">
        <v>0</v>
      </c>
      <c r="AD21" s="15">
        <f>IFERROR(AC21/57.8,0)</f>
        <v>0</v>
      </c>
      <c r="AE21" s="11">
        <v>17</v>
      </c>
      <c r="AF21" s="11">
        <v>26</v>
      </c>
      <c r="AG21" s="7">
        <f t="shared" si="22"/>
        <v>-45172.719999999994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49</v>
      </c>
      <c r="C22" s="7"/>
      <c r="D22" s="7">
        <v>7</v>
      </c>
      <c r="E22" s="7">
        <v>21875</v>
      </c>
      <c r="F22" s="7">
        <v>20893</v>
      </c>
      <c r="G22" s="7">
        <v>25</v>
      </c>
      <c r="H22" s="9">
        <f t="shared" si="12"/>
        <v>1.1965730148853684E-3</v>
      </c>
      <c r="I22" s="9">
        <f>IFERROR((21875-F22)/21875,0)</f>
        <v>4.4891428571428568E-2</v>
      </c>
      <c r="J22" s="7">
        <v>136080</v>
      </c>
      <c r="K22" s="11">
        <f t="shared" si="13"/>
        <v>93.045517637486242</v>
      </c>
      <c r="L22" s="11">
        <f>K22-90.3528</f>
        <v>2.6927176374862398</v>
      </c>
      <c r="M22" s="11">
        <v>89</v>
      </c>
      <c r="N22" s="11">
        <f t="shared" si="14"/>
        <v>4.0455176374862418</v>
      </c>
      <c r="O22" s="11">
        <f>IFERROR(4178670/21875,0)</f>
        <v>191.02491428571429</v>
      </c>
      <c r="P22" s="11">
        <v>192</v>
      </c>
      <c r="Q22" s="11">
        <f t="shared" si="15"/>
        <v>-0.97508571428571145</v>
      </c>
      <c r="R22" s="7">
        <v>17740</v>
      </c>
      <c r="S22" s="11">
        <f t="shared" si="16"/>
        <v>121.29831590895104</v>
      </c>
      <c r="T22" s="13">
        <f t="shared" si="17"/>
        <v>7.6708004509582866</v>
      </c>
      <c r="U22" s="7">
        <v>29231</v>
      </c>
      <c r="V22" s="11">
        <f t="shared" si="18"/>
        <v>199.86871884636687</v>
      </c>
      <c r="W22" s="11">
        <f t="shared" si="19"/>
        <v>1.6477452085682076</v>
      </c>
      <c r="X22" s="11">
        <v>291.04142857139999</v>
      </c>
      <c r="Y22" s="11">
        <f t="shared" si="20"/>
        <v>130.36449147560259</v>
      </c>
      <c r="Z22" s="11">
        <f t="shared" si="21"/>
        <v>37.941467834043479</v>
      </c>
      <c r="AA22" s="7">
        <v>2011</v>
      </c>
      <c r="AB22" s="15">
        <f>IFERROR(AA22/1950,0)</f>
        <v>1.0312820512820513</v>
      </c>
      <c r="AC22" s="11">
        <v>64.709999999999994</v>
      </c>
      <c r="AD22" s="15">
        <f>IFERROR(AC22/63.3,0)</f>
        <v>1.0222748815165876</v>
      </c>
      <c r="AE22" s="11">
        <v>20</v>
      </c>
      <c r="AF22" s="11">
        <v>25</v>
      </c>
      <c r="AG22" s="7">
        <f t="shared" si="22"/>
        <v>5916.6100000000042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IFERROR(595/F22,0)</f>
        <v>2.8478437754271765E-2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67</v>
      </c>
      <c r="B23" s="5">
        <v>108</v>
      </c>
      <c r="C23" s="7">
        <v>41</v>
      </c>
      <c r="D23" s="7">
        <v>7</v>
      </c>
      <c r="E23" s="7">
        <v>51833</v>
      </c>
      <c r="F23" s="7">
        <v>38994</v>
      </c>
      <c r="G23" s="7">
        <v>214</v>
      </c>
      <c r="H23" s="9">
        <f t="shared" si="12"/>
        <v>5.4880237985331076E-3</v>
      </c>
      <c r="I23" s="9">
        <f>IFERROR((51833-F23)/51833,0)</f>
        <v>0.24769934211795575</v>
      </c>
      <c r="J23" s="7">
        <v>158060</v>
      </c>
      <c r="K23" s="11">
        <f t="shared" si="13"/>
        <v>57.906344565830636</v>
      </c>
      <c r="L23" s="11">
        <f>K23-59.157</f>
        <v>-1.2506554341693601</v>
      </c>
      <c r="M23" s="11">
        <v>70</v>
      </c>
      <c r="N23" s="11">
        <f t="shared" si="14"/>
        <v>-12.093655434169364</v>
      </c>
      <c r="O23" s="11">
        <f>IFERROR(21606008/51833,0)</f>
        <v>416.83884783824976</v>
      </c>
      <c r="P23" s="11">
        <v>0</v>
      </c>
      <c r="Q23" s="11">
        <f t="shared" si="15"/>
        <v>416.83884783824976</v>
      </c>
      <c r="R23" s="7">
        <v>36171</v>
      </c>
      <c r="S23" s="11">
        <f t="shared" si="16"/>
        <v>132.51489240102873</v>
      </c>
      <c r="T23" s="13">
        <f t="shared" si="17"/>
        <v>4.3697990102568358</v>
      </c>
      <c r="U23" s="7">
        <v>52146</v>
      </c>
      <c r="V23" s="11">
        <f t="shared" si="18"/>
        <v>191.04037983865649</v>
      </c>
      <c r="W23" s="11">
        <f t="shared" si="19"/>
        <v>1.4416521522766856</v>
      </c>
      <c r="X23" s="11">
        <v>295.22000000000003</v>
      </c>
      <c r="Y23" s="11">
        <f t="shared" si="20"/>
        <v>228.84347716057195</v>
      </c>
      <c r="Z23" s="11">
        <f t="shared" si="21"/>
        <v>67.55917132734406</v>
      </c>
      <c r="AA23" s="7">
        <v>1643</v>
      </c>
      <c r="AB23" s="15">
        <f>IFERROR(AA23/0,0)</f>
        <v>0</v>
      </c>
      <c r="AC23" s="11">
        <v>0</v>
      </c>
      <c r="AD23" s="15">
        <f>IFERROR(AC23/0,0)</f>
        <v>0</v>
      </c>
      <c r="AE23" s="11">
        <v>20</v>
      </c>
      <c r="AF23" s="11">
        <v>25</v>
      </c>
      <c r="AG23" s="7">
        <f t="shared" si="22"/>
        <v>-33010.600000000013</v>
      </c>
      <c r="AH23" s="7">
        <v>33</v>
      </c>
      <c r="AI23" s="7">
        <v>16.969696969699999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IFERROR(1400/F23,0)</f>
        <v>3.5902959429655844E-2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81</v>
      </c>
      <c r="B24" s="5">
        <v>100</v>
      </c>
      <c r="C24" s="7">
        <v>40</v>
      </c>
      <c r="D24" s="7">
        <v>7</v>
      </c>
      <c r="E24" s="7">
        <v>21623</v>
      </c>
      <c r="F24" s="7">
        <v>17614</v>
      </c>
      <c r="G24" s="7">
        <v>59</v>
      </c>
      <c r="H24" s="9">
        <f t="shared" si="12"/>
        <v>3.3496082661519247E-3</v>
      </c>
      <c r="I24" s="9">
        <f>IFERROR((21623-F24)/21623,0)</f>
        <v>0.1854044304675577</v>
      </c>
      <c r="J24" s="7">
        <v>80850</v>
      </c>
      <c r="K24" s="11">
        <f t="shared" si="13"/>
        <v>65.57283978653345</v>
      </c>
      <c r="L24" s="11">
        <f>K24-66.3482</f>
        <v>-0.77536021346655559</v>
      </c>
      <c r="M24" s="11">
        <v>69</v>
      </c>
      <c r="N24" s="11">
        <f t="shared" si="14"/>
        <v>-3.42716021346655</v>
      </c>
      <c r="O24" s="11">
        <f>IFERROR(9207695/21623,0)</f>
        <v>425.82874716736808</v>
      </c>
      <c r="P24" s="11">
        <v>0</v>
      </c>
      <c r="Q24" s="11">
        <f t="shared" si="15"/>
        <v>425.82874716736808</v>
      </c>
      <c r="R24" s="7">
        <v>15124</v>
      </c>
      <c r="S24" s="11">
        <f t="shared" si="16"/>
        <v>122.66216808058523</v>
      </c>
      <c r="T24" s="13">
        <f t="shared" si="17"/>
        <v>5.345807987304946</v>
      </c>
      <c r="U24" s="7">
        <v>25774</v>
      </c>
      <c r="V24" s="11">
        <f t="shared" si="18"/>
        <v>209.03826501646415</v>
      </c>
      <c r="W24" s="11">
        <f t="shared" si="19"/>
        <v>1.7041787886802433</v>
      </c>
      <c r="X24" s="11">
        <v>287.45285714289997</v>
      </c>
      <c r="Y24" s="11">
        <f t="shared" si="20"/>
        <v>187.06246134817556</v>
      </c>
      <c r="Z24" s="11">
        <f t="shared" si="21"/>
        <v>53.771638978716354</v>
      </c>
      <c r="AA24" s="7">
        <v>2087</v>
      </c>
      <c r="AB24" s="15">
        <f>IFERROR(AA24/1980,0)</f>
        <v>1.0540404040404041</v>
      </c>
      <c r="AC24" s="11">
        <v>0</v>
      </c>
      <c r="AD24" s="15">
        <f>IFERROR(AC24/65.35,0)</f>
        <v>0</v>
      </c>
      <c r="AE24" s="11">
        <v>19</v>
      </c>
      <c r="AF24" s="11">
        <v>25</v>
      </c>
      <c r="AG24" s="7">
        <f t="shared" si="22"/>
        <v>-4225.6199999999862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IFERROR(560/F24,0)</f>
        <v>3.1792892017713181E-2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68</v>
      </c>
      <c r="B25" s="5">
        <v>39</v>
      </c>
      <c r="C25" s="7"/>
      <c r="D25" s="7">
        <v>7</v>
      </c>
      <c r="E25" s="7">
        <v>21339</v>
      </c>
      <c r="F25" s="7">
        <v>20749</v>
      </c>
      <c r="G25" s="7">
        <v>35</v>
      </c>
      <c r="H25" s="9">
        <f t="shared" si="12"/>
        <v>1.6868282808810064E-3</v>
      </c>
      <c r="I25" s="9">
        <f>IFERROR((21339-F25)/21339,0)</f>
        <v>2.7648905759407656E-2</v>
      </c>
      <c r="J25" s="7">
        <v>131430</v>
      </c>
      <c r="K25" s="11">
        <f t="shared" si="13"/>
        <v>90.48973100252681</v>
      </c>
      <c r="L25" s="11">
        <f>K25-89.327</f>
        <v>1.1627310025268116</v>
      </c>
      <c r="M25" s="11">
        <v>92.5</v>
      </c>
      <c r="N25" s="11">
        <f t="shared" si="14"/>
        <v>-2.0102689974731902</v>
      </c>
      <c r="O25" s="11">
        <f>IFERROR(2617260/21339,0)</f>
        <v>122.65148319977506</v>
      </c>
      <c r="P25" s="11">
        <v>130</v>
      </c>
      <c r="Q25" s="11">
        <f t="shared" si="15"/>
        <v>-7.3485168002249424</v>
      </c>
      <c r="R25" s="7">
        <v>17200</v>
      </c>
      <c r="S25" s="11">
        <f t="shared" si="16"/>
        <v>118.422230331238</v>
      </c>
      <c r="T25" s="13">
        <f t="shared" si="17"/>
        <v>7.6412790697674415</v>
      </c>
      <c r="U25" s="7">
        <v>33805</v>
      </c>
      <c r="V25" s="11">
        <f t="shared" si="18"/>
        <v>232.74787769462213</v>
      </c>
      <c r="W25" s="11">
        <f t="shared" si="19"/>
        <v>1.9654069767441862</v>
      </c>
      <c r="X25" s="11">
        <v>283.23428571429997</v>
      </c>
      <c r="Y25" s="11">
        <f t="shared" si="20"/>
        <v>130.86814273757892</v>
      </c>
      <c r="Z25" s="11">
        <f t="shared" si="21"/>
        <v>37.066344931035225</v>
      </c>
      <c r="AA25" s="7">
        <v>2000</v>
      </c>
      <c r="AB25" s="15">
        <f>IFERROR(AA25/1930,0)</f>
        <v>1.0362694300518134</v>
      </c>
      <c r="AC25" s="11">
        <v>63.57</v>
      </c>
      <c r="AD25" s="15">
        <f>IFERROR(AC25/62.4,0)</f>
        <v>1.01875</v>
      </c>
      <c r="AE25" s="11">
        <v>20</v>
      </c>
      <c r="AF25" s="11">
        <v>25</v>
      </c>
      <c r="AG25" s="7">
        <f t="shared" si="22"/>
        <v>-2919.7749999999855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IFERROR(420/F25,0)</f>
        <v>2.0241939370572077E-2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69</v>
      </c>
      <c r="B26" s="5">
        <v>26</v>
      </c>
      <c r="C26" s="7"/>
      <c r="D26" s="7">
        <v>7</v>
      </c>
      <c r="E26" s="7">
        <v>64976</v>
      </c>
      <c r="F26" s="7">
        <v>64120</v>
      </c>
      <c r="G26" s="7">
        <v>121</v>
      </c>
      <c r="H26" s="9">
        <f t="shared" si="12"/>
        <v>1.8870867124142234E-3</v>
      </c>
      <c r="I26" s="9">
        <f>IFERROR((64976-F26)/64976,0)</f>
        <v>1.3174095050480178E-2</v>
      </c>
      <c r="J26" s="7">
        <v>413260</v>
      </c>
      <c r="K26" s="11">
        <f t="shared" si="13"/>
        <v>92.072899028607068</v>
      </c>
      <c r="L26" s="11">
        <f>K26-93.8697</f>
        <v>-1.7968009713929263</v>
      </c>
      <c r="M26" s="11">
        <v>95</v>
      </c>
      <c r="N26" s="11">
        <f t="shared" si="14"/>
        <v>-2.9271009713929317</v>
      </c>
      <c r="O26" s="11">
        <f>IFERROR(2723240/64976,0)</f>
        <v>41.911475006156117</v>
      </c>
      <c r="P26" s="11">
        <v>41</v>
      </c>
      <c r="Q26" s="11">
        <f t="shared" si="15"/>
        <v>0.91147500615611676</v>
      </c>
      <c r="R26" s="7">
        <v>48110</v>
      </c>
      <c r="S26" s="11">
        <f t="shared" si="16"/>
        <v>107.18741645129667</v>
      </c>
      <c r="T26" s="13">
        <f t="shared" si="17"/>
        <v>8.5898981500727505</v>
      </c>
      <c r="U26" s="7">
        <v>100140</v>
      </c>
      <c r="V26" s="11">
        <f t="shared" si="18"/>
        <v>223.10845735674184</v>
      </c>
      <c r="W26" s="11">
        <f t="shared" si="19"/>
        <v>2.0814799418000418</v>
      </c>
      <c r="X26" s="11">
        <v>309.91857142859999</v>
      </c>
      <c r="Y26" s="11">
        <f t="shared" si="20"/>
        <v>116.41581570923873</v>
      </c>
      <c r="Z26" s="11">
        <f t="shared" si="21"/>
        <v>36.07942329630243</v>
      </c>
      <c r="AA26" s="7">
        <v>1545</v>
      </c>
      <c r="AB26" s="15">
        <f>IFERROR(AA26/1510,0)</f>
        <v>1.0231788079470199</v>
      </c>
      <c r="AC26" s="11">
        <v>0</v>
      </c>
      <c r="AD26" s="15">
        <f>IFERROR(AC26/54.7,0)</f>
        <v>0</v>
      </c>
      <c r="AE26" s="11">
        <v>22</v>
      </c>
      <c r="AF26" s="11">
        <v>26</v>
      </c>
      <c r="AG26" s="7">
        <f t="shared" si="22"/>
        <v>-13138.000000000035</v>
      </c>
      <c r="AH26" s="7">
        <v>14</v>
      </c>
      <c r="AI26" s="7">
        <v>20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ht="15" thickBot="1" x14ac:dyDescent="0.35">
      <c r="A27" s="5" t="s">
        <v>70</v>
      </c>
      <c r="B27" s="5">
        <v>97</v>
      </c>
      <c r="C27" s="7">
        <v>25</v>
      </c>
      <c r="D27" s="7">
        <v>7</v>
      </c>
      <c r="E27" s="7">
        <v>47224</v>
      </c>
      <c r="F27" s="7">
        <v>36468</v>
      </c>
      <c r="G27" s="7">
        <v>130</v>
      </c>
      <c r="H27" s="9">
        <f t="shared" si="12"/>
        <v>3.5647691126467038E-3</v>
      </c>
      <c r="I27" s="9">
        <f>IFERROR((47224-F27)/47224,0)</f>
        <v>0.22776554294426563</v>
      </c>
      <c r="J27" s="7">
        <v>166740</v>
      </c>
      <c r="K27" s="11">
        <f t="shared" si="13"/>
        <v>65.317538664034231</v>
      </c>
      <c r="L27" s="11">
        <f>K27-67.4471</f>
        <v>-2.129561335965775</v>
      </c>
      <c r="M27" s="11">
        <v>75</v>
      </c>
      <c r="N27" s="11">
        <f t="shared" si="14"/>
        <v>-9.682461335965769</v>
      </c>
      <c r="O27" s="11">
        <f>IFERROR(17284410/47224,0)</f>
        <v>366.00902083686259</v>
      </c>
      <c r="P27" s="11">
        <v>0</v>
      </c>
      <c r="Q27" s="11">
        <f t="shared" si="15"/>
        <v>366.00902083686259</v>
      </c>
      <c r="R27" s="7">
        <v>31490</v>
      </c>
      <c r="S27" s="11">
        <f t="shared" si="16"/>
        <v>123.35668061235681</v>
      </c>
      <c r="T27" s="13">
        <f t="shared" si="17"/>
        <v>5.2950142902508732</v>
      </c>
      <c r="U27" s="7">
        <v>49900</v>
      </c>
      <c r="V27" s="11">
        <f t="shared" si="18"/>
        <v>195.47470189128629</v>
      </c>
      <c r="W27" s="11">
        <f t="shared" si="19"/>
        <v>1.584630041282947</v>
      </c>
      <c r="X27" s="11">
        <v>298.57857142860001</v>
      </c>
      <c r="Y27" s="11">
        <f t="shared" si="20"/>
        <v>188.85690296269635</v>
      </c>
      <c r="Z27" s="11">
        <f t="shared" si="21"/>
        <v>56.388624291031611</v>
      </c>
      <c r="AA27" s="7">
        <v>1576</v>
      </c>
      <c r="AB27" s="15">
        <f>IFERROR(AA27/1580,0)</f>
        <v>0.99746835443037973</v>
      </c>
      <c r="AC27" s="11">
        <v>0</v>
      </c>
      <c r="AD27" s="15">
        <f>IFERROR(AC27/63.7,0)</f>
        <v>0</v>
      </c>
      <c r="AE27" s="11">
        <v>14</v>
      </c>
      <c r="AF27" s="11">
        <v>24</v>
      </c>
      <c r="AG27" s="7">
        <f t="shared" si="22"/>
        <v>-24716.999999999975</v>
      </c>
      <c r="AH27" s="7">
        <v>36</v>
      </c>
      <c r="AI27" s="7">
        <v>19.444444444399998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IFERROR(840/F27,0)</f>
        <v>2.303389272787101E-2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16" t="s">
        <v>73</v>
      </c>
      <c r="B28" s="16"/>
      <c r="C28" s="17"/>
      <c r="D28" s="17">
        <f>AVERAGE(D14:D27)</f>
        <v>7</v>
      </c>
      <c r="E28" s="17">
        <f>SUM(E14:E27)</f>
        <v>542887</v>
      </c>
      <c r="F28" s="17">
        <f>SUM(F14:F27)</f>
        <v>483783</v>
      </c>
      <c r="G28" s="17">
        <f>SUM(G14:G27)</f>
        <v>1730</v>
      </c>
      <c r="H28" s="18">
        <f t="shared" si="12"/>
        <v>3.5759834471240206E-3</v>
      </c>
      <c r="I28" s="18"/>
      <c r="J28" s="17">
        <f>SUM(J14:J27)</f>
        <v>2804910</v>
      </c>
      <c r="K28" s="19">
        <f t="shared" si="13"/>
        <v>82.826686463027556</v>
      </c>
      <c r="L28" s="19"/>
      <c r="M28" s="19">
        <f>IFERROR(SUMPRODUCT($F14:$F27,M14:M27)/$F28, 0)</f>
        <v>87.459221593152307</v>
      </c>
      <c r="N28" s="19">
        <f t="shared" si="14"/>
        <v>-4.6325351301247508</v>
      </c>
      <c r="O28" s="19">
        <f>IFERROR(SUMPRODUCT($E14:$E27,O14:O27)/$E28, 0)</f>
        <v>235.6301513943049</v>
      </c>
      <c r="P28" s="19">
        <f>IFERROR(SUMPRODUCT($E14:$E27,P14:P27)/$E28, 0)</f>
        <v>142.20719965665046</v>
      </c>
      <c r="Q28" s="19">
        <f>IFERROR(SUMPRODUCT($E14:$E27,Q14:Q27)/$E28, 0)</f>
        <v>93.422951737654429</v>
      </c>
      <c r="R28" s="17">
        <f>SUM(R14:R27)</f>
        <v>395581</v>
      </c>
      <c r="S28" s="19">
        <f>IFERROR(R28/D28/$F28*1000,0)</f>
        <v>116.8118173407735</v>
      </c>
      <c r="T28" s="20">
        <f t="shared" si="17"/>
        <v>7.0906084973747472</v>
      </c>
      <c r="U28" s="17">
        <f>SUM(U14:U27)</f>
        <v>662631</v>
      </c>
      <c r="V28" s="19">
        <f>IFERROR(U28/D28/$F28*1000,0)</f>
        <v>195.66948699845059</v>
      </c>
      <c r="W28" s="19">
        <f t="shared" si="19"/>
        <v>1.6750829792128539</v>
      </c>
      <c r="X28" s="19">
        <f>IFERROR(SUMPRODUCT(R14:R27,X14:X27)/R28,0)</f>
        <v>294.01859998332958</v>
      </c>
      <c r="Y28" s="19">
        <f>IFERROR(($F28*S28)/($F28*K28)*100,0)</f>
        <v>141.03161955285552</v>
      </c>
      <c r="Z28" s="19">
        <f t="shared" si="21"/>
        <v>41.465919334312154</v>
      </c>
      <c r="AA28" s="17"/>
      <c r="AB28" s="21">
        <f>IFERROR(SUMPRODUCT($F14:$F27,AB14:AB27)/$F28,0)</f>
        <v>0.93048114026141682</v>
      </c>
      <c r="AC28" s="19"/>
      <c r="AD28" s="21">
        <f>AVERAGE(AD14:AD27)</f>
        <v>0.3556902378506322</v>
      </c>
      <c r="AE28" s="19"/>
      <c r="AF28" s="19"/>
      <c r="AG28" s="17">
        <f>SUM(AG14:AG27)</f>
        <v>-156879.92200000002</v>
      </c>
      <c r="AH28" s="17">
        <f>SUM(AH14:AH27)</f>
        <v>248</v>
      </c>
      <c r="AI28" s="17">
        <f>IFERROR(SUMPRODUCT(AH14:AH27,AI14:AI27)/AH28, 0)</f>
        <v>19.03225806451734</v>
      </c>
      <c r="AJ28" s="19">
        <f>AVERAGE(AJ14:AJ27)</f>
        <v>0</v>
      </c>
      <c r="AK28" s="19">
        <f>AVERAGE(AK14:AK27)</f>
        <v>0</v>
      </c>
      <c r="AL28" s="19">
        <f>AVERAGE(AL14:AL27)</f>
        <v>0</v>
      </c>
      <c r="AM28" s="19">
        <f>AVERAGE(AM14:AM27)</f>
        <v>0</v>
      </c>
      <c r="AN28" s="19">
        <f>AVERAGE(AN14:AN27)</f>
        <v>0</v>
      </c>
      <c r="AO28" s="20"/>
      <c r="AP28" s="19"/>
      <c r="AQ28" s="17"/>
      <c r="AR28" s="17"/>
      <c r="AS28" s="17"/>
      <c r="AT28" s="17"/>
    </row>
    <row r="29" spans="1:46" ht="15" thickBot="1" x14ac:dyDescent="0.35"/>
    <row r="30" spans="1:46" ht="15" thickBot="1" x14ac:dyDescent="0.35">
      <c r="A30" s="23" t="s">
        <v>74</v>
      </c>
      <c r="B30" s="23"/>
      <c r="C30" s="23"/>
      <c r="D30" s="23">
        <f>IFERROR($F$12/$F30*D$12,0)+IFERROR($F$28/$F30*D$28,0)</f>
        <v>7.0000000000000009</v>
      </c>
      <c r="E30" s="23">
        <f>E12+E28</f>
        <v>589092</v>
      </c>
      <c r="F30" s="23">
        <f>F12+F28</f>
        <v>521719</v>
      </c>
      <c r="G30" s="23">
        <f>G12+G28</f>
        <v>1819</v>
      </c>
      <c r="H30" s="24">
        <f>IFERROR(G30/F30,0)</f>
        <v>3.4865511894333922E-3</v>
      </c>
      <c r="I30" s="23"/>
      <c r="J30" s="23">
        <f>J12+J28</f>
        <v>3013660</v>
      </c>
      <c r="K30" s="25">
        <f>IFERROR(J30/D30/F30*100,0)</f>
        <v>82.520064851549805</v>
      </c>
      <c r="L30" s="23"/>
      <c r="M30" s="25">
        <f>IFERROR($F$12/$F30*M$12,0)+IFERROR($F$28/$F30*M$28,0)</f>
        <v>87.058248980773172</v>
      </c>
      <c r="N30" s="25">
        <f>K30-M30</f>
        <v>-4.5381841292233673</v>
      </c>
      <c r="O30" s="23">
        <f>IFERROR($E$12/$E30*O$12,0)+IFERROR($E$28/$E30*O$28,0)</f>
        <v>240.40640850665093</v>
      </c>
      <c r="P30" s="23">
        <f>IFERROR($E$12/$E30*P$12,0)+IFERROR($E$28/$E30*P$28,0)</f>
        <v>134.15120218913177</v>
      </c>
      <c r="Q30" s="23">
        <f>IFERROR($E$12/$E30*Q$12,0)+IFERROR($E$28/$E30*Q$28,0)</f>
        <v>106.25520631751917</v>
      </c>
      <c r="R30" s="23">
        <f>R12+R28</f>
        <v>430598</v>
      </c>
      <c r="S30" s="25">
        <f>IFERROR(R30/D30/$F30*1000,0)</f>
        <v>117.90638255459355</v>
      </c>
      <c r="T30" s="26">
        <f>IFERROR(J30/R30,0)</f>
        <v>6.9987784430025224</v>
      </c>
      <c r="U30" s="23">
        <f>U12+U28</f>
        <v>677751</v>
      </c>
      <c r="V30" s="25">
        <f>IFERROR(U30/D30/$F30*1000,0)</f>
        <v>185.58183893738089</v>
      </c>
      <c r="W30" s="25">
        <f>IFERROR(V30/S30,0)</f>
        <v>1.5739761912503079</v>
      </c>
      <c r="X30" s="25">
        <f>IFERROR($F$12/$F30*X$12,0)+IFERROR($F$28/$F30*X$28,0)</f>
        <v>299.37398216739757</v>
      </c>
      <c r="Y30" s="25">
        <f>IFERROR(($F30*S30)/($F30*K30)*100,0)</f>
        <v>142.88207694298626</v>
      </c>
      <c r="Z30" s="25">
        <f>IFERROR(Y30*X30/1000,0)</f>
        <v>42.775176354770295</v>
      </c>
      <c r="AA30" s="23"/>
      <c r="AB30" s="27"/>
      <c r="AC30" s="23"/>
      <c r="AD30" s="27"/>
      <c r="AE30" s="23"/>
      <c r="AF30" s="23"/>
      <c r="AG30" s="23">
        <f>AG12+AG28</f>
        <v>-165735.98200000002</v>
      </c>
      <c r="AH30" s="23">
        <f>AH12+AH28</f>
        <v>248</v>
      </c>
      <c r="AI30" s="23">
        <f>IFERROR(AH$12/AH30*AI$12,0)+IFERROR(AH$28/AH30*AI$28,0)</f>
        <v>19.03225806451734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2" spans="1:46" x14ac:dyDescent="0.3">
      <c r="A32" s="31" t="s">
        <v>75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x14ac:dyDescent="0.3">
      <c r="A33" s="32"/>
      <c r="B33" s="32" t="s">
        <v>76</v>
      </c>
      <c r="C33" s="32"/>
      <c r="D33" s="32" t="s">
        <v>77</v>
      </c>
      <c r="E33" s="32" t="s">
        <v>78</v>
      </c>
      <c r="F33" s="32" t="s">
        <v>79</v>
      </c>
      <c r="G33" s="32" t="s">
        <v>50</v>
      </c>
      <c r="H33" s="32" t="s">
        <v>51</v>
      </c>
      <c r="I33" s="32" t="s">
        <v>49</v>
      </c>
      <c r="J33" s="32" t="s">
        <v>52</v>
      </c>
      <c r="K33" s="32" t="s">
        <v>53</v>
      </c>
      <c r="L33" s="32" t="s">
        <v>54</v>
      </c>
      <c r="M33" s="32" t="s">
        <v>56</v>
      </c>
      <c r="N33" s="32" t="s">
        <v>65</v>
      </c>
      <c r="O33" s="32" t="s">
        <v>58</v>
      </c>
      <c r="P33" s="32" t="s">
        <v>59</v>
      </c>
      <c r="Q33" s="32" t="s">
        <v>80</v>
      </c>
      <c r="R33" s="32" t="s">
        <v>60</v>
      </c>
      <c r="S33" s="32" t="s">
        <v>69</v>
      </c>
      <c r="T33" s="32" t="s">
        <v>61</v>
      </c>
      <c r="U33" s="32" t="s">
        <v>70</v>
      </c>
      <c r="V33" s="32" t="s">
        <v>71</v>
      </c>
      <c r="W33" s="32" t="s">
        <v>72</v>
      </c>
      <c r="X33" s="32" t="s">
        <v>62</v>
      </c>
      <c r="Y33" s="32" t="s">
        <v>66</v>
      </c>
      <c r="Z33" s="32" t="s">
        <v>67</v>
      </c>
      <c r="AA33" s="32" t="s">
        <v>81</v>
      </c>
      <c r="AB33" s="32" t="s">
        <v>63</v>
      </c>
      <c r="AC33" s="32" t="s">
        <v>68</v>
      </c>
      <c r="AD33" s="32" t="s">
        <v>64</v>
      </c>
    </row>
    <row r="34" spans="1:30" x14ac:dyDescent="0.3">
      <c r="B34" s="4">
        <v>202501</v>
      </c>
      <c r="C34" s="4"/>
      <c r="D34" s="8">
        <v>2.8E-3</v>
      </c>
      <c r="E34" s="8">
        <v>5.1000000000000004E-3</v>
      </c>
      <c r="F34" s="8">
        <v>2.5999999999999999E-3</v>
      </c>
      <c r="G34" s="8">
        <v>7.7999999999999996E-3</v>
      </c>
      <c r="H34" s="8">
        <v>4.4999999999999997E-3</v>
      </c>
      <c r="I34" s="8">
        <v>3.5000000000000001E-3</v>
      </c>
      <c r="J34" s="8">
        <v>3.2000000000000002E-3</v>
      </c>
      <c r="K34" s="8">
        <v>4.7999999999999996E-3</v>
      </c>
      <c r="L34" s="8">
        <v>1.9E-3</v>
      </c>
      <c r="M34" s="8">
        <v>2.3999999999999998E-3</v>
      </c>
      <c r="N34" s="8">
        <v>2E-3</v>
      </c>
      <c r="O34" s="8">
        <v>5.7999999999999996E-3</v>
      </c>
      <c r="P34" s="8">
        <v>2.3999999999999998E-3</v>
      </c>
      <c r="Q34" s="8">
        <v>3.3999999999999998E-3</v>
      </c>
      <c r="R34" s="8">
        <v>1.6999999999999999E-3</v>
      </c>
      <c r="S34" s="8"/>
      <c r="T34" s="8">
        <v>2.5000000000000001E-3</v>
      </c>
      <c r="U34" s="8">
        <v>5.3E-3</v>
      </c>
      <c r="V34" s="8">
        <v>6.3E-3</v>
      </c>
      <c r="W34" s="8">
        <v>2.7000000000000001E-3</v>
      </c>
      <c r="X34" s="8">
        <v>1.5E-3</v>
      </c>
      <c r="Y34" s="8">
        <v>1.4E-3</v>
      </c>
      <c r="Z34" s="8">
        <v>2.8E-3</v>
      </c>
      <c r="AA34" s="8">
        <v>1.6999999999999999E-3</v>
      </c>
      <c r="AB34" s="8"/>
      <c r="AC34" s="8"/>
      <c r="AD34" s="8">
        <v>6.9999999999999999E-4</v>
      </c>
    </row>
    <row r="35" spans="1:30" x14ac:dyDescent="0.3">
      <c r="B35" s="5">
        <v>202502</v>
      </c>
      <c r="C35" s="5"/>
      <c r="D35" s="9">
        <v>2.8999999999999998E-3</v>
      </c>
      <c r="E35" s="9">
        <v>4.4000000000000003E-3</v>
      </c>
      <c r="F35" s="9">
        <v>2.7000000000000001E-3</v>
      </c>
      <c r="G35" s="9">
        <v>6.3E-3</v>
      </c>
      <c r="H35" s="9">
        <v>4.4999999999999997E-3</v>
      </c>
      <c r="I35" s="9">
        <v>4.4000000000000003E-3</v>
      </c>
      <c r="J35" s="9">
        <v>3.2000000000000002E-3</v>
      </c>
      <c r="K35" s="9">
        <v>2.7000000000000001E-3</v>
      </c>
      <c r="L35" s="9">
        <v>2.0999999999999999E-3</v>
      </c>
      <c r="M35" s="9">
        <v>3.3999999999999998E-3</v>
      </c>
      <c r="N35" s="9">
        <v>1.9E-3</v>
      </c>
      <c r="O35" s="9">
        <v>1.32E-2</v>
      </c>
      <c r="P35" s="9">
        <v>2.3999999999999998E-3</v>
      </c>
      <c r="Q35" s="9">
        <v>4.1999999999999997E-3</v>
      </c>
      <c r="R35" s="9">
        <v>1.6999999999999999E-3</v>
      </c>
      <c r="S35" s="9"/>
      <c r="T35" s="9">
        <v>2.5000000000000001E-3</v>
      </c>
      <c r="U35" s="9">
        <v>5.7999999999999996E-3</v>
      </c>
      <c r="V35" s="9">
        <v>3.5999999999999999E-3</v>
      </c>
      <c r="W35" s="9">
        <v>2.3E-3</v>
      </c>
      <c r="X35" s="9">
        <v>1.5E-3</v>
      </c>
      <c r="Y35" s="9">
        <v>1E-3</v>
      </c>
      <c r="Z35" s="9">
        <v>3.0000000000000001E-3</v>
      </c>
      <c r="AA35" s="9">
        <v>1.8E-3</v>
      </c>
      <c r="AB35" s="9"/>
      <c r="AC35" s="9"/>
      <c r="AD35" s="9">
        <v>1E-3</v>
      </c>
    </row>
    <row r="36" spans="1:30" x14ac:dyDescent="0.3">
      <c r="B36" s="5">
        <v>202503</v>
      </c>
      <c r="C36" s="5"/>
      <c r="D36" s="9">
        <v>2.8E-3</v>
      </c>
      <c r="E36" s="9">
        <v>4.8999999999999998E-3</v>
      </c>
      <c r="F36" s="9">
        <v>2.5999999999999999E-3</v>
      </c>
      <c r="G36" s="9">
        <v>5.8999999999999999E-3</v>
      </c>
      <c r="H36" s="9">
        <v>5.8999999999999999E-3</v>
      </c>
      <c r="I36" s="9">
        <v>3.5999999999999999E-3</v>
      </c>
      <c r="J36" s="9">
        <v>3.3999999999999998E-3</v>
      </c>
      <c r="K36" s="9">
        <v>3.2000000000000002E-3</v>
      </c>
      <c r="L36" s="9">
        <v>3.0000000000000001E-3</v>
      </c>
      <c r="M36" s="9">
        <v>2.2000000000000001E-3</v>
      </c>
      <c r="N36" s="9">
        <v>1.6000000000000001E-3</v>
      </c>
      <c r="O36" s="9">
        <v>9.7999999999999997E-3</v>
      </c>
      <c r="P36" s="9">
        <v>2.5000000000000001E-3</v>
      </c>
      <c r="Q36" s="9">
        <v>3.3E-3</v>
      </c>
      <c r="R36" s="9">
        <v>1.8E-3</v>
      </c>
      <c r="S36" s="9"/>
      <c r="T36" s="9">
        <v>2.5000000000000001E-3</v>
      </c>
      <c r="U36" s="9">
        <v>5.4999999999999997E-3</v>
      </c>
      <c r="V36" s="9">
        <v>3.5000000000000001E-3</v>
      </c>
      <c r="W36" s="9">
        <v>2.5000000000000001E-3</v>
      </c>
      <c r="X36" s="9">
        <v>1.6999999999999999E-3</v>
      </c>
      <c r="Y36" s="9">
        <v>6.9999999999999999E-4</v>
      </c>
      <c r="Z36" s="9">
        <v>2.8E-3</v>
      </c>
      <c r="AA36" s="9">
        <v>1.4E-3</v>
      </c>
      <c r="AB36" s="9"/>
      <c r="AC36" s="9"/>
      <c r="AD36" s="9">
        <v>1.6000000000000001E-3</v>
      </c>
    </row>
    <row r="37" spans="1:30" x14ac:dyDescent="0.3">
      <c r="B37" s="5">
        <v>202504</v>
      </c>
      <c r="C37" s="5"/>
      <c r="D37" s="9">
        <v>2.5999999999999999E-3</v>
      </c>
      <c r="E37" s="9">
        <v>5.1000000000000004E-3</v>
      </c>
      <c r="F37" s="9">
        <v>2.3999999999999998E-3</v>
      </c>
      <c r="G37" s="9">
        <v>5.8999999999999999E-3</v>
      </c>
      <c r="H37" s="9">
        <v>5.7999999999999996E-3</v>
      </c>
      <c r="I37" s="9">
        <v>6.3E-3</v>
      </c>
      <c r="J37" s="9">
        <v>5.0000000000000001E-3</v>
      </c>
      <c r="K37" s="9">
        <v>4.1000000000000003E-3</v>
      </c>
      <c r="L37" s="9">
        <v>1.9E-3</v>
      </c>
      <c r="M37" s="9">
        <v>2.3999999999999998E-3</v>
      </c>
      <c r="N37" s="9">
        <v>2.2000000000000001E-3</v>
      </c>
      <c r="O37" s="9">
        <v>7.3000000000000001E-3</v>
      </c>
      <c r="P37" s="9">
        <v>2.5000000000000001E-3</v>
      </c>
      <c r="Q37" s="9">
        <v>4.1000000000000003E-3</v>
      </c>
      <c r="R37" s="9">
        <v>1.6999999999999999E-3</v>
      </c>
      <c r="S37" s="9"/>
      <c r="T37" s="9">
        <v>2.5999999999999999E-3</v>
      </c>
      <c r="U37" s="9">
        <v>3.2000000000000002E-3</v>
      </c>
      <c r="V37" s="9">
        <v>3.7000000000000002E-3</v>
      </c>
      <c r="W37" s="9">
        <v>2.5000000000000001E-3</v>
      </c>
      <c r="X37" s="9">
        <v>1.6000000000000001E-3</v>
      </c>
      <c r="Y37" s="9">
        <v>8.9999999999999998E-4</v>
      </c>
      <c r="Z37" s="9">
        <v>3.5000000000000001E-3</v>
      </c>
      <c r="AA37" s="9">
        <v>1.6000000000000001E-3</v>
      </c>
      <c r="AB37" s="9"/>
      <c r="AC37" s="9"/>
      <c r="AD37" s="9">
        <v>8.9999999999999998E-4</v>
      </c>
    </row>
    <row r="38" spans="1:30" x14ac:dyDescent="0.3">
      <c r="B38" s="5">
        <v>202505</v>
      </c>
      <c r="C38" s="5"/>
      <c r="D38" s="9">
        <v>2.5999999999999999E-3</v>
      </c>
      <c r="E38" s="9">
        <v>4.1000000000000003E-3</v>
      </c>
      <c r="F38" s="9">
        <v>2.5000000000000001E-3</v>
      </c>
      <c r="G38" s="9">
        <v>5.3E-3</v>
      </c>
      <c r="H38" s="9">
        <v>4.7000000000000002E-3</v>
      </c>
      <c r="I38" s="9">
        <v>2.7000000000000001E-3</v>
      </c>
      <c r="J38" s="9">
        <v>1.6000000000000001E-3</v>
      </c>
      <c r="K38" s="9">
        <v>3.0000000000000001E-3</v>
      </c>
      <c r="L38" s="9">
        <v>2.8E-3</v>
      </c>
      <c r="M38" s="9">
        <v>2.5000000000000001E-3</v>
      </c>
      <c r="N38" s="9">
        <v>2.7000000000000001E-3</v>
      </c>
      <c r="O38" s="9">
        <v>4.5999999999999999E-3</v>
      </c>
      <c r="P38" s="9">
        <v>4.1000000000000003E-3</v>
      </c>
      <c r="Q38" s="9">
        <v>4.1000000000000003E-3</v>
      </c>
      <c r="R38" s="9">
        <v>1.6999999999999999E-3</v>
      </c>
      <c r="S38" s="9"/>
      <c r="T38" s="9">
        <v>2.3E-3</v>
      </c>
      <c r="U38" s="9">
        <v>2.2000000000000001E-3</v>
      </c>
      <c r="V38" s="9">
        <v>4.4000000000000003E-3</v>
      </c>
      <c r="W38" s="9">
        <v>2.3E-3</v>
      </c>
      <c r="X38" s="9">
        <v>1.6000000000000001E-3</v>
      </c>
      <c r="Y38" s="9">
        <v>8.9999999999999998E-4</v>
      </c>
      <c r="Z38" s="9">
        <v>3.0999999999999999E-3</v>
      </c>
      <c r="AA38" s="9">
        <v>1.5E-3</v>
      </c>
      <c r="AB38" s="9"/>
      <c r="AC38" s="9"/>
      <c r="AD38" s="9">
        <v>8.9999999999999998E-4</v>
      </c>
    </row>
    <row r="39" spans="1:30" x14ac:dyDescent="0.3">
      <c r="B39" s="5">
        <v>202506</v>
      </c>
      <c r="C39" s="5"/>
      <c r="D39" s="9">
        <v>1.9E-3</v>
      </c>
      <c r="E39" s="9">
        <v>4.4999999999999997E-3</v>
      </c>
      <c r="F39" s="9">
        <v>1.6999999999999999E-3</v>
      </c>
      <c r="G39" s="9">
        <v>5.8999999999999999E-3</v>
      </c>
      <c r="H39" s="9">
        <v>5.4000000000000003E-3</v>
      </c>
      <c r="I39" s="9">
        <v>4.4999999999999997E-3</v>
      </c>
      <c r="J39" s="9">
        <v>2.5000000000000001E-3</v>
      </c>
      <c r="K39" s="9">
        <v>3.0000000000000001E-3</v>
      </c>
      <c r="L39" s="9">
        <v>1.2999999999999999E-3</v>
      </c>
      <c r="M39" s="9">
        <v>3.7000000000000002E-3</v>
      </c>
      <c r="N39" s="9">
        <v>2.5000000000000001E-3</v>
      </c>
      <c r="O39" s="9">
        <v>4.0000000000000001E-3</v>
      </c>
      <c r="P39" s="9">
        <v>2.7000000000000001E-3</v>
      </c>
      <c r="Q39" s="9">
        <v>3.8E-3</v>
      </c>
      <c r="R39" s="9">
        <v>1.5E-3</v>
      </c>
      <c r="S39" s="9"/>
      <c r="T39" s="9">
        <v>1.6999999999999999E-3</v>
      </c>
      <c r="U39" s="9">
        <v>3.0000000000000001E-3</v>
      </c>
      <c r="V39" s="9">
        <v>3.5999999999999999E-3</v>
      </c>
      <c r="W39" s="9">
        <v>1.8E-3</v>
      </c>
      <c r="X39" s="9">
        <v>8.9999999999999998E-4</v>
      </c>
      <c r="Y39" s="9">
        <v>5.9999999999999995E-4</v>
      </c>
      <c r="Z39" s="9">
        <v>1.6999999999999999E-3</v>
      </c>
      <c r="AA39" s="9">
        <v>1E-3</v>
      </c>
      <c r="AB39" s="9">
        <v>0</v>
      </c>
      <c r="AC39" s="9">
        <v>0</v>
      </c>
      <c r="AD39" s="9">
        <v>5.0000000000000001E-4</v>
      </c>
    </row>
    <row r="40" spans="1:30" x14ac:dyDescent="0.3">
      <c r="B40" s="5">
        <v>202507</v>
      </c>
      <c r="C40" s="5"/>
      <c r="D40" s="9">
        <v>2.3999999999999998E-3</v>
      </c>
      <c r="E40" s="9">
        <v>4.5999999999999999E-3</v>
      </c>
      <c r="F40" s="9">
        <v>2.2000000000000001E-3</v>
      </c>
      <c r="G40" s="9">
        <v>5.7999999999999996E-3</v>
      </c>
      <c r="H40" s="9">
        <v>4.3E-3</v>
      </c>
      <c r="I40" s="9">
        <v>4.4999999999999997E-3</v>
      </c>
      <c r="J40" s="9">
        <v>2.5000000000000001E-3</v>
      </c>
      <c r="K40" s="9">
        <v>5.1000000000000004E-3</v>
      </c>
      <c r="L40" s="9">
        <v>3.8E-3</v>
      </c>
      <c r="M40" s="9">
        <v>8.0999999999999996E-3</v>
      </c>
      <c r="N40" s="9">
        <v>2.8E-3</v>
      </c>
      <c r="O40" s="9">
        <v>4.4999999999999997E-3</v>
      </c>
      <c r="P40" s="9">
        <v>2E-3</v>
      </c>
      <c r="Q40" s="9">
        <v>4.8999999999999998E-3</v>
      </c>
      <c r="R40" s="9">
        <v>1.4E-3</v>
      </c>
      <c r="S40" s="9"/>
      <c r="T40" s="9">
        <v>1.9E-3</v>
      </c>
      <c r="U40" s="9">
        <v>4.3E-3</v>
      </c>
      <c r="V40" s="9">
        <v>4.1999999999999997E-3</v>
      </c>
      <c r="W40" s="9">
        <v>4.4000000000000003E-3</v>
      </c>
      <c r="X40" s="9">
        <v>1.1000000000000001E-3</v>
      </c>
      <c r="Y40" s="9">
        <v>5.0000000000000001E-4</v>
      </c>
      <c r="Z40" s="9">
        <v>2.0999999999999999E-3</v>
      </c>
      <c r="AA40" s="9">
        <v>1.1999999999999999E-3</v>
      </c>
      <c r="AB40" s="9">
        <v>8.9999999999999998E-4</v>
      </c>
      <c r="AC40" s="9">
        <v>8.0000000000000004E-4</v>
      </c>
      <c r="AD40" s="9">
        <v>6.9999999999999999E-4</v>
      </c>
    </row>
    <row r="41" spans="1:30" x14ac:dyDescent="0.3">
      <c r="B41" s="5">
        <v>202508</v>
      </c>
      <c r="C41" s="5"/>
      <c r="D41" s="9">
        <v>2E-3</v>
      </c>
      <c r="E41" s="9">
        <v>4.4000000000000003E-3</v>
      </c>
      <c r="F41" s="9">
        <v>1.8E-3</v>
      </c>
      <c r="G41" s="9">
        <v>6.6E-3</v>
      </c>
      <c r="H41" s="9">
        <v>3.8E-3</v>
      </c>
      <c r="I41" s="9">
        <v>2.7000000000000001E-3</v>
      </c>
      <c r="J41" s="9">
        <v>3.2000000000000002E-3</v>
      </c>
      <c r="K41" s="9">
        <v>4.1999999999999997E-3</v>
      </c>
      <c r="L41" s="9">
        <v>2.0999999999999999E-3</v>
      </c>
      <c r="M41" s="9">
        <v>2.5999999999999999E-3</v>
      </c>
      <c r="N41" s="9">
        <v>2.8999999999999998E-3</v>
      </c>
      <c r="O41" s="9">
        <v>5.1999999999999998E-3</v>
      </c>
      <c r="P41" s="9">
        <v>1.9E-3</v>
      </c>
      <c r="Q41" s="9">
        <v>2.3999999999999998E-3</v>
      </c>
      <c r="R41" s="9">
        <v>1.2999999999999999E-3</v>
      </c>
      <c r="S41" s="9"/>
      <c r="T41" s="9">
        <v>1.9E-3</v>
      </c>
      <c r="U41" s="9">
        <v>3.0999999999999999E-3</v>
      </c>
      <c r="V41" s="9">
        <v>3.2000000000000002E-3</v>
      </c>
      <c r="W41" s="9">
        <v>2.3E-3</v>
      </c>
      <c r="X41" s="9">
        <v>1.1000000000000001E-3</v>
      </c>
      <c r="Y41" s="9">
        <v>5.0000000000000001E-4</v>
      </c>
      <c r="Z41" s="9">
        <v>2.8E-3</v>
      </c>
      <c r="AA41" s="9">
        <v>1.2999999999999999E-3</v>
      </c>
      <c r="AB41" s="9">
        <v>1.1999999999999999E-3</v>
      </c>
      <c r="AC41" s="9">
        <v>6.9999999999999999E-4</v>
      </c>
      <c r="AD41" s="9">
        <v>5.9999999999999995E-4</v>
      </c>
    </row>
    <row r="42" spans="1:30" x14ac:dyDescent="0.3">
      <c r="B42" s="5">
        <v>202509</v>
      </c>
      <c r="C42" s="5"/>
      <c r="D42" s="9">
        <v>3.0000000000000001E-3</v>
      </c>
      <c r="E42" s="9">
        <v>8.8000000000000005E-3</v>
      </c>
      <c r="F42" s="9">
        <v>2.5000000000000001E-3</v>
      </c>
      <c r="G42" s="9">
        <v>1.7299999999999999E-2</v>
      </c>
      <c r="H42" s="9">
        <v>5.7000000000000002E-3</v>
      </c>
      <c r="I42" s="9">
        <v>9.1999999999999998E-3</v>
      </c>
      <c r="J42" s="9">
        <v>5.1000000000000004E-3</v>
      </c>
      <c r="K42" s="9">
        <v>4.4000000000000003E-3</v>
      </c>
      <c r="L42" s="9">
        <v>3.8999999999999998E-3</v>
      </c>
      <c r="M42" s="9">
        <v>2.0999999999999999E-3</v>
      </c>
      <c r="N42" s="9">
        <v>5.1999999999999998E-3</v>
      </c>
      <c r="O42" s="9">
        <v>5.0000000000000001E-3</v>
      </c>
      <c r="P42" s="9">
        <v>2.7000000000000001E-3</v>
      </c>
      <c r="Q42" s="9">
        <v>4.8999999999999998E-3</v>
      </c>
      <c r="R42" s="9">
        <v>2E-3</v>
      </c>
      <c r="S42" s="9"/>
      <c r="T42" s="9">
        <v>2.5000000000000001E-3</v>
      </c>
      <c r="U42" s="9">
        <v>3.0999999999999999E-3</v>
      </c>
      <c r="V42" s="9">
        <v>4.5999999999999999E-3</v>
      </c>
      <c r="W42" s="9">
        <v>2.8E-3</v>
      </c>
      <c r="X42" s="9">
        <v>1.6999999999999999E-3</v>
      </c>
      <c r="Y42" s="9">
        <v>1E-3</v>
      </c>
      <c r="Z42" s="9">
        <v>3.5999999999999999E-3</v>
      </c>
      <c r="AA42" s="9">
        <v>1.6000000000000001E-3</v>
      </c>
      <c r="AB42" s="9">
        <v>2.3E-3</v>
      </c>
      <c r="AC42" s="9">
        <v>1.1999999999999999E-3</v>
      </c>
      <c r="AD42" s="9">
        <v>1.1999999999999999E-3</v>
      </c>
    </row>
    <row r="43" spans="1:30" x14ac:dyDescent="0.3">
      <c r="B43" s="5">
        <v>202510</v>
      </c>
      <c r="C43" s="5"/>
      <c r="D43" s="9">
        <v>2.8E-3</v>
      </c>
      <c r="E43" s="9">
        <v>8.0000000000000002E-3</v>
      </c>
      <c r="F43" s="9">
        <v>2.3999999999999998E-3</v>
      </c>
      <c r="G43" s="9">
        <v>1.47E-2</v>
      </c>
      <c r="H43" s="9">
        <v>7.1000000000000004E-3</v>
      </c>
      <c r="I43" s="9">
        <v>1.12E-2</v>
      </c>
      <c r="J43" s="9">
        <v>2.8E-3</v>
      </c>
      <c r="K43" s="9">
        <v>2.0999999999999999E-3</v>
      </c>
      <c r="L43" s="9">
        <v>3.0000000000000001E-3</v>
      </c>
      <c r="M43" s="9">
        <v>2.5000000000000001E-3</v>
      </c>
      <c r="N43" s="9">
        <v>3.3999999999999998E-3</v>
      </c>
      <c r="O43" s="9">
        <v>5.5999999999999999E-3</v>
      </c>
      <c r="P43" s="9">
        <v>2.8999999999999998E-3</v>
      </c>
      <c r="Q43" s="9">
        <v>4.1999999999999997E-3</v>
      </c>
      <c r="R43" s="9">
        <v>2.3E-3</v>
      </c>
      <c r="S43" s="9"/>
      <c r="T43" s="9">
        <v>2.5000000000000001E-3</v>
      </c>
      <c r="U43" s="9">
        <v>2.5999999999999999E-3</v>
      </c>
      <c r="V43" s="9">
        <v>3.3999999999999998E-3</v>
      </c>
      <c r="W43" s="9">
        <v>2.5000000000000001E-3</v>
      </c>
      <c r="X43" s="9">
        <v>2E-3</v>
      </c>
      <c r="Y43" s="9">
        <v>1E-3</v>
      </c>
      <c r="Z43" s="9">
        <v>3.5000000000000001E-3</v>
      </c>
      <c r="AA43" s="9">
        <v>1.6999999999999999E-3</v>
      </c>
      <c r="AB43" s="9">
        <v>1.6999999999999999E-3</v>
      </c>
      <c r="AC43" s="9">
        <v>1.6000000000000001E-3</v>
      </c>
      <c r="AD43" s="9">
        <v>1.2999999999999999E-3</v>
      </c>
    </row>
    <row r="44" spans="1:30" x14ac:dyDescent="0.3">
      <c r="B44" s="5">
        <v>202511</v>
      </c>
      <c r="C44" s="5"/>
      <c r="D44" s="9">
        <v>2.3E-3</v>
      </c>
      <c r="E44" s="9">
        <v>3.5999999999999999E-3</v>
      </c>
      <c r="F44" s="9">
        <v>2.2000000000000001E-3</v>
      </c>
      <c r="G44" s="9">
        <v>5.0000000000000001E-3</v>
      </c>
      <c r="H44" s="9">
        <v>4.1000000000000003E-3</v>
      </c>
      <c r="I44" s="9">
        <v>6.6E-3</v>
      </c>
      <c r="J44" s="9">
        <v>1.9E-3</v>
      </c>
      <c r="K44" s="9">
        <v>2.0999999999999999E-3</v>
      </c>
      <c r="L44" s="9">
        <v>1.2999999999999999E-3</v>
      </c>
      <c r="M44" s="9">
        <v>2E-3</v>
      </c>
      <c r="N44" s="9">
        <v>2.5999999999999999E-3</v>
      </c>
      <c r="O44" s="9">
        <v>3.5000000000000001E-3</v>
      </c>
      <c r="P44" s="9">
        <v>2.5000000000000001E-3</v>
      </c>
      <c r="Q44" s="9">
        <v>3.5000000000000001E-3</v>
      </c>
      <c r="R44" s="9">
        <v>2.3E-3</v>
      </c>
      <c r="S44" s="9"/>
      <c r="T44" s="9">
        <v>3.0000000000000001E-3</v>
      </c>
      <c r="U44" s="9">
        <v>2.3E-3</v>
      </c>
      <c r="V44" s="9">
        <v>3.0999999999999999E-3</v>
      </c>
      <c r="W44" s="9">
        <v>2.8E-3</v>
      </c>
      <c r="X44" s="9">
        <v>1.9E-3</v>
      </c>
      <c r="Y44" s="9">
        <v>8.9999999999999998E-4</v>
      </c>
      <c r="Z44" s="9">
        <v>3.5000000000000001E-3</v>
      </c>
      <c r="AA44" s="9">
        <v>1.5E-3</v>
      </c>
      <c r="AB44" s="9">
        <v>1.1000000000000001E-3</v>
      </c>
      <c r="AC44" s="9">
        <v>1.1999999999999999E-3</v>
      </c>
      <c r="AD44" s="9">
        <v>1.4E-3</v>
      </c>
    </row>
    <row r="45" spans="1:30" x14ac:dyDescent="0.3">
      <c r="B45" s="5">
        <v>202512</v>
      </c>
      <c r="C45" s="5"/>
      <c r="D45" s="9">
        <v>2.5000000000000001E-3</v>
      </c>
      <c r="E45" s="9">
        <v>3.0999999999999999E-3</v>
      </c>
      <c r="F45" s="9">
        <v>2.3999999999999998E-3</v>
      </c>
      <c r="G45" s="9">
        <v>3.3999999999999998E-3</v>
      </c>
      <c r="H45" s="9">
        <v>3.2000000000000002E-3</v>
      </c>
      <c r="I45" s="9">
        <v>4.7000000000000002E-3</v>
      </c>
      <c r="J45" s="9">
        <v>8.9999999999999998E-4</v>
      </c>
      <c r="K45" s="9">
        <v>4.1999999999999997E-3</v>
      </c>
      <c r="L45" s="9">
        <v>2.5999999999999999E-3</v>
      </c>
      <c r="M45" s="9">
        <v>1.9E-3</v>
      </c>
      <c r="N45" s="9">
        <v>3.2000000000000002E-3</v>
      </c>
      <c r="O45" s="9">
        <v>4.4000000000000003E-3</v>
      </c>
      <c r="P45" s="9">
        <v>3.7000000000000002E-3</v>
      </c>
      <c r="Q45" s="9">
        <v>3.2000000000000002E-3</v>
      </c>
      <c r="R45" s="9">
        <v>2.5999999999999999E-3</v>
      </c>
      <c r="S45" s="9"/>
      <c r="T45" s="9">
        <v>3.3999999999999998E-3</v>
      </c>
      <c r="U45" s="9">
        <v>2.5000000000000001E-3</v>
      </c>
      <c r="V45" s="9">
        <v>3.0999999999999999E-3</v>
      </c>
      <c r="W45" s="9">
        <v>3.2000000000000002E-3</v>
      </c>
      <c r="X45" s="9">
        <v>1.5E-3</v>
      </c>
      <c r="Y45" s="9">
        <v>8.0000000000000004E-4</v>
      </c>
      <c r="Z45" s="9">
        <v>3.8999999999999998E-3</v>
      </c>
      <c r="AA45" s="9">
        <v>3.5999999999999999E-3</v>
      </c>
      <c r="AB45" s="9">
        <v>1.1000000000000001E-3</v>
      </c>
      <c r="AC45" s="9">
        <v>1E-3</v>
      </c>
      <c r="AD45" s="9">
        <v>8.9999999999999998E-4</v>
      </c>
    </row>
    <row r="46" spans="1:30" x14ac:dyDescent="0.3">
      <c r="B46" s="5">
        <v>202513</v>
      </c>
      <c r="C46" s="5"/>
      <c r="D46" s="9">
        <v>2.5000000000000001E-3</v>
      </c>
      <c r="E46" s="9">
        <v>3.0000000000000001E-3</v>
      </c>
      <c r="F46" s="9">
        <v>2.5000000000000001E-3</v>
      </c>
      <c r="G46" s="9">
        <v>3.0000000000000001E-3</v>
      </c>
      <c r="H46" s="9">
        <v>2.8999999999999998E-3</v>
      </c>
      <c r="I46" s="9">
        <v>4.7000000000000002E-3</v>
      </c>
      <c r="J46" s="9">
        <v>2.5999999999999999E-3</v>
      </c>
      <c r="K46" s="9">
        <v>4.4999999999999997E-3</v>
      </c>
      <c r="L46" s="9">
        <v>1.6999999999999999E-3</v>
      </c>
      <c r="M46" s="9">
        <v>2E-3</v>
      </c>
      <c r="N46" s="9">
        <v>3.5999999999999999E-3</v>
      </c>
      <c r="O46" s="9">
        <v>5.3E-3</v>
      </c>
      <c r="P46" s="9">
        <v>2.5000000000000001E-3</v>
      </c>
      <c r="Q46" s="9">
        <v>3.8E-3</v>
      </c>
      <c r="R46" s="9">
        <v>3.0000000000000001E-3</v>
      </c>
      <c r="S46" s="9"/>
      <c r="T46" s="9">
        <v>3.5999999999999999E-3</v>
      </c>
      <c r="U46" s="9">
        <v>2.5000000000000001E-3</v>
      </c>
      <c r="V46" s="9">
        <v>3.5000000000000001E-3</v>
      </c>
      <c r="W46" s="9">
        <v>3.0999999999999999E-3</v>
      </c>
      <c r="X46" s="9">
        <v>2E-3</v>
      </c>
      <c r="Y46" s="9">
        <v>1.1000000000000001E-3</v>
      </c>
      <c r="Z46" s="9">
        <v>3.7000000000000002E-3</v>
      </c>
      <c r="AA46" s="9">
        <v>1.8E-3</v>
      </c>
      <c r="AB46" s="9">
        <v>1.6999999999999999E-3</v>
      </c>
      <c r="AC46" s="9">
        <v>8.9999999999999998E-4</v>
      </c>
      <c r="AD46" s="9">
        <v>1E-3</v>
      </c>
    </row>
    <row r="47" spans="1:30" x14ac:dyDescent="0.3">
      <c r="B47" s="5">
        <v>202514</v>
      </c>
      <c r="C47" s="5"/>
      <c r="D47" s="9">
        <v>2.5999999999999999E-3</v>
      </c>
      <c r="E47" s="9">
        <v>4.1999999999999997E-3</v>
      </c>
      <c r="F47" s="9">
        <v>2.5000000000000001E-3</v>
      </c>
      <c r="G47" s="9">
        <v>4.8999999999999998E-3</v>
      </c>
      <c r="H47" s="9">
        <v>3.2000000000000002E-3</v>
      </c>
      <c r="I47" s="9">
        <v>2.8E-3</v>
      </c>
      <c r="J47" s="9">
        <v>6.1000000000000004E-3</v>
      </c>
      <c r="K47" s="9">
        <v>7.1000000000000004E-3</v>
      </c>
      <c r="L47" s="9">
        <v>8.9999999999999998E-4</v>
      </c>
      <c r="M47" s="9">
        <v>2.0999999999999999E-3</v>
      </c>
      <c r="N47" s="9">
        <v>3.7000000000000002E-3</v>
      </c>
      <c r="O47" s="9">
        <v>3.8999999999999998E-3</v>
      </c>
      <c r="P47" s="9">
        <v>2.5000000000000001E-3</v>
      </c>
      <c r="Q47" s="9">
        <v>-1</v>
      </c>
      <c r="R47" s="9">
        <v>2.8E-3</v>
      </c>
      <c r="S47" s="9"/>
      <c r="T47" s="9">
        <v>3.5999999999999999E-3</v>
      </c>
      <c r="U47" s="9">
        <v>2.0999999999999999E-3</v>
      </c>
      <c r="V47" s="9">
        <v>3.2000000000000002E-3</v>
      </c>
      <c r="W47" s="9">
        <v>3.2000000000000002E-3</v>
      </c>
      <c r="X47" s="9">
        <v>2.3999999999999998E-3</v>
      </c>
      <c r="Y47" s="9">
        <v>1.1999999999999999E-3</v>
      </c>
      <c r="Z47" s="9">
        <v>4.7999999999999996E-3</v>
      </c>
      <c r="AA47" s="9">
        <v>1.6999999999999999E-3</v>
      </c>
      <c r="AB47" s="9">
        <v>1.6999999999999999E-3</v>
      </c>
      <c r="AC47" s="9">
        <v>1.1000000000000001E-3</v>
      </c>
      <c r="AD47" s="9">
        <v>1.1000000000000001E-3</v>
      </c>
    </row>
    <row r="48" spans="1:30" x14ac:dyDescent="0.3">
      <c r="B48" s="5">
        <v>202515</v>
      </c>
      <c r="C48" s="5"/>
      <c r="D48" s="9">
        <v>2.5000000000000001E-3</v>
      </c>
      <c r="E48" s="9">
        <v>3.3E-3</v>
      </c>
      <c r="F48" s="9">
        <v>2.3999999999999998E-3</v>
      </c>
      <c r="G48" s="9">
        <v>5.1000000000000004E-3</v>
      </c>
      <c r="H48" s="9">
        <v>2.8E-3</v>
      </c>
      <c r="I48" s="9">
        <v>1.9E-3</v>
      </c>
      <c r="J48" s="9">
        <v>2.3999999999999998E-3</v>
      </c>
      <c r="K48" s="9">
        <v>3.0999999999999999E-3</v>
      </c>
      <c r="L48" s="9">
        <v>1.5E-3</v>
      </c>
      <c r="M48" s="9">
        <v>1.8E-3</v>
      </c>
      <c r="N48" s="9"/>
      <c r="O48" s="9">
        <v>5.3E-3</v>
      </c>
      <c r="P48" s="9">
        <v>2.5000000000000001E-3</v>
      </c>
      <c r="Q48" s="9"/>
      <c r="R48" s="9">
        <v>2.5000000000000001E-3</v>
      </c>
      <c r="S48" s="9"/>
      <c r="T48" s="9">
        <v>3.7000000000000002E-3</v>
      </c>
      <c r="U48" s="9">
        <v>2.5999999999999999E-3</v>
      </c>
      <c r="V48" s="9">
        <v>2.8999999999999998E-3</v>
      </c>
      <c r="W48" s="9">
        <v>3.5999999999999999E-3</v>
      </c>
      <c r="X48" s="9">
        <v>2.5999999999999999E-3</v>
      </c>
      <c r="Y48" s="9">
        <v>8.0000000000000004E-4</v>
      </c>
      <c r="Z48" s="9">
        <v>3.7000000000000002E-3</v>
      </c>
      <c r="AA48" s="9">
        <v>1.9E-3</v>
      </c>
      <c r="AB48" s="9">
        <v>1.4E-3</v>
      </c>
      <c r="AC48" s="9">
        <v>8.9999999999999998E-4</v>
      </c>
      <c r="AD48" s="9">
        <v>1.4E-3</v>
      </c>
    </row>
    <row r="49" spans="2:30" x14ac:dyDescent="0.3">
      <c r="B49" s="5">
        <v>202516</v>
      </c>
      <c r="C49" s="5"/>
      <c r="D49" s="9">
        <v>2.7000000000000001E-3</v>
      </c>
      <c r="E49" s="9">
        <v>2.8E-3</v>
      </c>
      <c r="F49" s="9">
        <v>2.5999999999999999E-3</v>
      </c>
      <c r="G49" s="9">
        <v>3.8999999999999998E-3</v>
      </c>
      <c r="H49" s="9">
        <v>2.5000000000000001E-3</v>
      </c>
      <c r="I49" s="9">
        <v>2.8999999999999998E-3</v>
      </c>
      <c r="J49" s="9">
        <v>1.9E-3</v>
      </c>
      <c r="K49" s="9">
        <v>2.2000000000000001E-3</v>
      </c>
      <c r="L49" s="9">
        <v>2.5999999999999999E-3</v>
      </c>
      <c r="M49" s="9">
        <v>1.9E-3</v>
      </c>
      <c r="N49" s="9"/>
      <c r="O49" s="9">
        <v>5.0000000000000001E-3</v>
      </c>
      <c r="P49" s="9">
        <v>2.5000000000000001E-3</v>
      </c>
      <c r="Q49" s="9"/>
      <c r="R49" s="9">
        <v>2.8E-3</v>
      </c>
      <c r="S49" s="9"/>
      <c r="T49" s="9">
        <v>4.0000000000000001E-3</v>
      </c>
      <c r="U49" s="9">
        <v>2.3E-3</v>
      </c>
      <c r="V49" s="9">
        <v>3.0999999999999999E-3</v>
      </c>
      <c r="W49" s="9">
        <v>3.5999999999999999E-3</v>
      </c>
      <c r="X49" s="9">
        <v>3.3999999999999998E-3</v>
      </c>
      <c r="Y49" s="9">
        <v>1.1999999999999999E-3</v>
      </c>
      <c r="Z49" s="9">
        <v>4.3E-3</v>
      </c>
      <c r="AA49" s="9">
        <v>2.2000000000000001E-3</v>
      </c>
      <c r="AB49" s="9">
        <v>1.6000000000000001E-3</v>
      </c>
      <c r="AC49" s="9">
        <v>1.2999999999999999E-3</v>
      </c>
      <c r="AD49" s="9">
        <v>1.2999999999999999E-3</v>
      </c>
    </row>
    <row r="50" spans="2:30" x14ac:dyDescent="0.3">
      <c r="B50" s="5">
        <v>202517</v>
      </c>
      <c r="C50" s="5"/>
      <c r="D50" s="9">
        <v>2.8E-3</v>
      </c>
      <c r="E50" s="9">
        <v>2.5999999999999999E-3</v>
      </c>
      <c r="F50" s="9">
        <v>2.8E-3</v>
      </c>
      <c r="G50" s="9">
        <v>2.8E-3</v>
      </c>
      <c r="H50" s="9">
        <v>2.8999999999999998E-3</v>
      </c>
      <c r="I50" s="9">
        <v>3.8E-3</v>
      </c>
      <c r="J50" s="9">
        <v>1.4E-3</v>
      </c>
      <c r="K50" s="9">
        <v>2.3999999999999998E-3</v>
      </c>
      <c r="L50" s="9">
        <v>1.6999999999999999E-3</v>
      </c>
      <c r="M50" s="9">
        <v>1.2999999999999999E-3</v>
      </c>
      <c r="N50" s="9"/>
      <c r="O50" s="9">
        <v>8.2000000000000007E-3</v>
      </c>
      <c r="P50" s="9">
        <v>3.0999999999999999E-3</v>
      </c>
      <c r="Q50" s="9"/>
      <c r="R50" s="9">
        <v>2.8E-3</v>
      </c>
      <c r="S50" s="9"/>
      <c r="T50" s="9">
        <v>3.8999999999999998E-3</v>
      </c>
      <c r="U50" s="9">
        <v>2.8999999999999998E-3</v>
      </c>
      <c r="V50" s="9">
        <v>3.5999999999999999E-3</v>
      </c>
      <c r="W50" s="9">
        <v>2.7000000000000001E-3</v>
      </c>
      <c r="X50" s="9">
        <v>3.3E-3</v>
      </c>
      <c r="Y50" s="9">
        <v>8.9999999999999998E-4</v>
      </c>
      <c r="Z50" s="9">
        <v>4.1999999999999997E-3</v>
      </c>
      <c r="AA50" s="9">
        <v>2E-3</v>
      </c>
      <c r="AB50" s="9">
        <v>2.2000000000000001E-3</v>
      </c>
      <c r="AC50" s="9">
        <v>8.9999999999999998E-4</v>
      </c>
      <c r="AD50" s="9">
        <v>1.2999999999999999E-3</v>
      </c>
    </row>
    <row r="51" spans="2:30" x14ac:dyDescent="0.3">
      <c r="B51" s="5">
        <v>202518</v>
      </c>
      <c r="C51" s="5"/>
      <c r="D51" s="9">
        <v>3.7000000000000002E-3</v>
      </c>
      <c r="E51" s="9">
        <v>2.5999999999999999E-3</v>
      </c>
      <c r="F51" s="9">
        <v>3.7000000000000002E-3</v>
      </c>
      <c r="G51" s="9">
        <v>3.0999999999999999E-3</v>
      </c>
      <c r="H51" s="9">
        <v>2.2000000000000001E-3</v>
      </c>
      <c r="I51" s="9">
        <v>8.6999999999999994E-3</v>
      </c>
      <c r="J51" s="9">
        <v>2.5999999999999999E-3</v>
      </c>
      <c r="K51" s="9">
        <v>2.3999999999999998E-3</v>
      </c>
      <c r="L51" s="9">
        <v>1.6999999999999999E-3</v>
      </c>
      <c r="M51" s="9">
        <v>1.4E-3</v>
      </c>
      <c r="N51" s="9"/>
      <c r="O51" s="9">
        <v>4.8999999999999998E-3</v>
      </c>
      <c r="P51" s="9">
        <v>4.1999999999999997E-3</v>
      </c>
      <c r="Q51" s="9"/>
      <c r="R51" s="9">
        <v>3.0000000000000001E-3</v>
      </c>
      <c r="S51" s="9"/>
      <c r="T51" s="9">
        <v>4.1999999999999997E-3</v>
      </c>
      <c r="U51" s="9">
        <v>2.0999999999999999E-3</v>
      </c>
      <c r="V51" s="9">
        <v>3.3E-3</v>
      </c>
      <c r="W51" s="9">
        <v>3.7000000000000002E-3</v>
      </c>
      <c r="X51" s="9">
        <v>4.1999999999999997E-3</v>
      </c>
      <c r="Y51" s="9">
        <v>9.1999999999999998E-3</v>
      </c>
      <c r="Z51" s="9">
        <v>9.4000000000000004E-3</v>
      </c>
      <c r="AA51" s="9">
        <v>1.9E-3</v>
      </c>
      <c r="AB51" s="9">
        <v>1.8E-3</v>
      </c>
      <c r="AC51" s="9">
        <v>1.6000000000000001E-3</v>
      </c>
      <c r="AD51" s="9">
        <v>1.8E-3</v>
      </c>
    </row>
    <row r="52" spans="2:30" x14ac:dyDescent="0.3">
      <c r="B52" s="5">
        <v>202519</v>
      </c>
      <c r="C52" s="5"/>
      <c r="D52" s="9">
        <v>2.8999999999999998E-3</v>
      </c>
      <c r="E52" s="9">
        <v>2.3E-3</v>
      </c>
      <c r="F52" s="9">
        <v>2.8999999999999998E-3</v>
      </c>
      <c r="G52" s="9">
        <v>2.5000000000000001E-3</v>
      </c>
      <c r="H52" s="9">
        <v>2.0999999999999999E-3</v>
      </c>
      <c r="I52" s="9">
        <v>1E-3</v>
      </c>
      <c r="J52" s="9">
        <v>2.0999999999999999E-3</v>
      </c>
      <c r="K52" s="9">
        <v>4.3E-3</v>
      </c>
      <c r="L52" s="9">
        <v>1.2999999999999999E-3</v>
      </c>
      <c r="M52" s="9">
        <v>1.6999999999999999E-3</v>
      </c>
      <c r="N52" s="9"/>
      <c r="O52" s="9">
        <v>5.1999999999999998E-3</v>
      </c>
      <c r="P52" s="9">
        <v>3.2000000000000002E-3</v>
      </c>
      <c r="Q52" s="9"/>
      <c r="R52" s="9">
        <v>2.5999999999999999E-3</v>
      </c>
      <c r="S52" s="9">
        <v>1.1999999999999999E-3</v>
      </c>
      <c r="T52" s="9">
        <v>3.8999999999999998E-3</v>
      </c>
      <c r="U52" s="9">
        <v>3.3999999999999998E-3</v>
      </c>
      <c r="V52" s="9">
        <v>4.1000000000000003E-3</v>
      </c>
      <c r="W52" s="9">
        <v>3.5000000000000001E-3</v>
      </c>
      <c r="X52" s="9">
        <v>4.4999999999999997E-3</v>
      </c>
      <c r="Y52" s="9">
        <v>2E-3</v>
      </c>
      <c r="Z52" s="9">
        <v>4.8999999999999998E-3</v>
      </c>
      <c r="AA52" s="9">
        <v>3.0000000000000001E-3</v>
      </c>
      <c r="AB52" s="9">
        <v>1.9E-3</v>
      </c>
      <c r="AC52" s="9">
        <v>1E-3</v>
      </c>
      <c r="AD52" s="9">
        <v>2E-3</v>
      </c>
    </row>
    <row r="53" spans="2:30" x14ac:dyDescent="0.3">
      <c r="B53" s="5">
        <v>202520</v>
      </c>
      <c r="C53" s="5"/>
      <c r="D53" s="9">
        <v>2.7000000000000001E-3</v>
      </c>
      <c r="E53" s="9">
        <v>2.2000000000000001E-3</v>
      </c>
      <c r="F53" s="9">
        <v>2.7000000000000001E-3</v>
      </c>
      <c r="G53" s="9">
        <v>2.8E-3</v>
      </c>
      <c r="H53" s="9">
        <v>1.8E-3</v>
      </c>
      <c r="I53" s="9">
        <v>2.8999999999999998E-3</v>
      </c>
      <c r="J53" s="9">
        <v>2.0999999999999999E-3</v>
      </c>
      <c r="K53" s="9">
        <v>3.3999999999999998E-3</v>
      </c>
      <c r="L53" s="9">
        <v>8.9999999999999998E-4</v>
      </c>
      <c r="M53" s="9">
        <v>3.5000000000000001E-3</v>
      </c>
      <c r="N53" s="9">
        <v>6.9999999999999999E-4</v>
      </c>
      <c r="O53" s="9">
        <v>4.4000000000000003E-3</v>
      </c>
      <c r="P53" s="9">
        <v>3.5999999999999999E-3</v>
      </c>
      <c r="Q53" s="9"/>
      <c r="R53" s="9">
        <v>2.7000000000000001E-3</v>
      </c>
      <c r="S53" s="9">
        <v>1.1999999999999999E-3</v>
      </c>
      <c r="T53" s="9">
        <v>3.8E-3</v>
      </c>
      <c r="U53" s="9">
        <v>2.8E-3</v>
      </c>
      <c r="V53" s="9">
        <v>4.0000000000000001E-3</v>
      </c>
      <c r="W53" s="9">
        <v>2.3E-3</v>
      </c>
      <c r="X53" s="9">
        <v>4.3E-3</v>
      </c>
      <c r="Y53" s="9">
        <v>1.1999999999999999E-3</v>
      </c>
      <c r="Z53" s="9">
        <v>4.0000000000000001E-3</v>
      </c>
      <c r="AA53" s="9">
        <v>2.5000000000000001E-3</v>
      </c>
      <c r="AB53" s="9">
        <v>1.9E-3</v>
      </c>
      <c r="AC53" s="9">
        <v>1.4E-3</v>
      </c>
      <c r="AD53" s="9">
        <v>1.8E-3</v>
      </c>
    </row>
    <row r="54" spans="2:30" x14ac:dyDescent="0.3">
      <c r="B54" s="5">
        <v>202521</v>
      </c>
      <c r="C54" s="5"/>
      <c r="D54" s="9">
        <v>3.8E-3</v>
      </c>
      <c r="E54" s="9">
        <v>2.0999999999999999E-3</v>
      </c>
      <c r="F54" s="9">
        <v>3.8999999999999998E-3</v>
      </c>
      <c r="G54" s="9">
        <v>2.8999999999999998E-3</v>
      </c>
      <c r="H54" s="9">
        <v>1.9E-3</v>
      </c>
      <c r="I54" s="9">
        <v>2.8999999999999998E-3</v>
      </c>
      <c r="J54" s="9">
        <v>2.0000000000000001E-4</v>
      </c>
      <c r="K54" s="9">
        <v>2.7000000000000001E-3</v>
      </c>
      <c r="L54" s="9">
        <v>1.5E-3</v>
      </c>
      <c r="M54" s="9">
        <v>2E-3</v>
      </c>
      <c r="N54" s="9">
        <v>8.9999999999999998E-4</v>
      </c>
      <c r="O54" s="9">
        <v>5.7000000000000002E-3</v>
      </c>
      <c r="P54" s="9">
        <v>3.7000000000000002E-3</v>
      </c>
      <c r="Q54" s="9"/>
      <c r="R54" s="9">
        <v>3.0999999999999999E-3</v>
      </c>
      <c r="S54" s="9">
        <v>1.5E-3</v>
      </c>
      <c r="T54" s="9">
        <v>4.1000000000000003E-3</v>
      </c>
      <c r="U54" s="9">
        <v>2.3999999999999998E-3</v>
      </c>
      <c r="V54" s="9">
        <v>0</v>
      </c>
      <c r="W54" s="9">
        <v>0</v>
      </c>
      <c r="X54" s="9">
        <v>1.4200000000000001E-2</v>
      </c>
      <c r="Y54" s="9">
        <v>1.4E-3</v>
      </c>
      <c r="Z54" s="9">
        <v>3.8E-3</v>
      </c>
      <c r="AA54" s="9">
        <v>1.6999999999999999E-3</v>
      </c>
      <c r="AB54" s="9">
        <v>2.0999999999999999E-3</v>
      </c>
      <c r="AC54" s="9">
        <v>1.1000000000000001E-3</v>
      </c>
      <c r="AD54" s="9">
        <v>4.4000000000000003E-3</v>
      </c>
    </row>
    <row r="55" spans="2:30" x14ac:dyDescent="0.3">
      <c r="B55" s="5">
        <v>202522</v>
      </c>
      <c r="C55" s="5"/>
      <c r="D55" s="9">
        <v>2.7000000000000001E-3</v>
      </c>
      <c r="E55" s="9">
        <v>2.2000000000000001E-3</v>
      </c>
      <c r="F55" s="9">
        <v>2.8E-3</v>
      </c>
      <c r="G55" s="9">
        <v>2.3999999999999998E-3</v>
      </c>
      <c r="H55" s="9">
        <v>2E-3</v>
      </c>
      <c r="I55" s="9">
        <v>3.8999999999999998E-3</v>
      </c>
      <c r="J55" s="9">
        <v>6.9999999999999999E-4</v>
      </c>
      <c r="K55" s="9">
        <v>3.7000000000000002E-3</v>
      </c>
      <c r="L55" s="9">
        <v>2.2000000000000001E-3</v>
      </c>
      <c r="M55" s="9">
        <v>2.5000000000000001E-3</v>
      </c>
      <c r="N55" s="9">
        <v>2.2000000000000001E-3</v>
      </c>
      <c r="O55" s="9">
        <v>8.3999999999999995E-3</v>
      </c>
      <c r="P55" s="9">
        <v>3.3999999999999998E-3</v>
      </c>
      <c r="Q55" s="9"/>
      <c r="R55" s="9">
        <v>3.0000000000000001E-3</v>
      </c>
      <c r="S55" s="9">
        <v>1.6999999999999999E-3</v>
      </c>
      <c r="T55" s="9">
        <v>2.9999999999999997E-4</v>
      </c>
      <c r="U55" s="9">
        <v>3.2000000000000002E-3</v>
      </c>
      <c r="V55" s="9"/>
      <c r="W55" s="9"/>
      <c r="X55" s="9">
        <v>5.7999999999999996E-3</v>
      </c>
      <c r="Y55" s="9">
        <v>1.2999999999999999E-3</v>
      </c>
      <c r="Z55" s="9">
        <v>4.1000000000000003E-3</v>
      </c>
      <c r="AA55" s="9">
        <v>2.5000000000000001E-3</v>
      </c>
      <c r="AB55" s="9">
        <v>1.9E-3</v>
      </c>
      <c r="AC55" s="9">
        <v>1.1999999999999999E-3</v>
      </c>
      <c r="AD55" s="9">
        <v>2.3E-3</v>
      </c>
    </row>
    <row r="56" spans="2:30" x14ac:dyDescent="0.3">
      <c r="B56" s="5">
        <v>202523</v>
      </c>
      <c r="C56" s="5"/>
      <c r="D56" s="9">
        <v>3.0000000000000001E-3</v>
      </c>
      <c r="E56" s="9">
        <v>1.9E-3</v>
      </c>
      <c r="F56" s="9">
        <v>3.0999999999999999E-3</v>
      </c>
      <c r="G56" s="9">
        <v>1.6999999999999999E-3</v>
      </c>
      <c r="H56" s="9">
        <v>1.1000000000000001E-3</v>
      </c>
      <c r="I56" s="9">
        <v>1E-3</v>
      </c>
      <c r="J56" s="9">
        <v>2.2000000000000001E-3</v>
      </c>
      <c r="K56" s="9">
        <v>1.6999999999999999E-3</v>
      </c>
      <c r="L56" s="9">
        <v>4.7999999999999996E-3</v>
      </c>
      <c r="M56" s="9">
        <v>2.5000000000000001E-3</v>
      </c>
      <c r="N56" s="9">
        <v>5.1999999999999998E-3</v>
      </c>
      <c r="O56" s="9">
        <v>9.4999999999999998E-3</v>
      </c>
      <c r="P56" s="9">
        <v>3.5000000000000001E-3</v>
      </c>
      <c r="Q56" s="9"/>
      <c r="R56" s="9">
        <v>3.0000000000000001E-3</v>
      </c>
      <c r="S56" s="9">
        <v>1.9E-3</v>
      </c>
      <c r="T56" s="9"/>
      <c r="U56" s="9">
        <v>2.5999999999999999E-3</v>
      </c>
      <c r="V56" s="9"/>
      <c r="W56" s="9"/>
      <c r="X56" s="9">
        <v>3.8E-3</v>
      </c>
      <c r="Y56" s="9">
        <v>1.6000000000000001E-3</v>
      </c>
      <c r="Z56" s="9">
        <v>6.1999999999999998E-3</v>
      </c>
      <c r="AA56" s="9">
        <v>3.5000000000000001E-3</v>
      </c>
      <c r="AB56" s="9">
        <v>1.9E-3</v>
      </c>
      <c r="AC56" s="9">
        <v>1.4E-3</v>
      </c>
      <c r="AD56" s="9">
        <v>2.3999999999999998E-3</v>
      </c>
    </row>
    <row r="57" spans="2:30" x14ac:dyDescent="0.3">
      <c r="B57" s="5">
        <v>202524</v>
      </c>
      <c r="C57" s="5"/>
      <c r="D57" s="9">
        <v>3.3E-3</v>
      </c>
      <c r="E57" s="9">
        <v>2.5999999999999999E-3</v>
      </c>
      <c r="F57" s="9">
        <v>3.3E-3</v>
      </c>
      <c r="G57" s="9">
        <v>2.3999999999999998E-3</v>
      </c>
      <c r="H57" s="9">
        <v>2.0999999999999999E-3</v>
      </c>
      <c r="I57" s="9">
        <v>5.8999999999999999E-3</v>
      </c>
      <c r="J57" s="9">
        <v>3.0999999999999999E-3</v>
      </c>
      <c r="K57" s="9">
        <v>2.3999999999999998E-3</v>
      </c>
      <c r="L57" s="9">
        <v>3.3E-3</v>
      </c>
      <c r="M57" s="9">
        <v>5.1999999999999998E-3</v>
      </c>
      <c r="N57" s="9">
        <v>5.1000000000000004E-3</v>
      </c>
      <c r="O57" s="9">
        <v>8.9999999999999993E-3</v>
      </c>
      <c r="P57" s="9">
        <v>4.1999999999999997E-3</v>
      </c>
      <c r="Q57" s="9"/>
      <c r="R57" s="9">
        <v>2.8999999999999998E-3</v>
      </c>
      <c r="S57" s="9">
        <v>1.9E-3</v>
      </c>
      <c r="T57" s="9"/>
      <c r="U57" s="9">
        <v>2.5000000000000001E-3</v>
      </c>
      <c r="V57" s="9"/>
      <c r="W57" s="9"/>
      <c r="X57" s="9">
        <v>4.1999999999999997E-3</v>
      </c>
      <c r="Y57" s="9">
        <v>1.6000000000000001E-3</v>
      </c>
      <c r="Z57" s="9">
        <v>6.3E-3</v>
      </c>
      <c r="AA57" s="9">
        <v>3.0000000000000001E-3</v>
      </c>
      <c r="AB57" s="9">
        <v>2.3E-3</v>
      </c>
      <c r="AC57" s="9">
        <v>1.8E-3</v>
      </c>
      <c r="AD57" s="9">
        <v>2.0999999999999999E-3</v>
      </c>
    </row>
    <row r="58" spans="2:30" x14ac:dyDescent="0.3">
      <c r="B58" s="5">
        <v>202525</v>
      </c>
      <c r="C58" s="5"/>
      <c r="D58" s="9">
        <v>3.2000000000000002E-3</v>
      </c>
      <c r="E58" s="9">
        <v>2.8999999999999998E-3</v>
      </c>
      <c r="F58" s="9">
        <v>3.2000000000000002E-3</v>
      </c>
      <c r="G58" s="9">
        <v>2.0999999999999999E-3</v>
      </c>
      <c r="H58" s="9">
        <v>2.0999999999999999E-3</v>
      </c>
      <c r="I58" s="9">
        <v>6.8999999999999999E-3</v>
      </c>
      <c r="J58" s="9">
        <v>4.3E-3</v>
      </c>
      <c r="K58" s="9">
        <v>3.8999999999999998E-3</v>
      </c>
      <c r="L58" s="9">
        <v>4.4000000000000003E-3</v>
      </c>
      <c r="M58" s="9">
        <v>6.4000000000000003E-3</v>
      </c>
      <c r="N58" s="9">
        <v>4.4999999999999997E-3</v>
      </c>
      <c r="O58" s="9">
        <v>9.7000000000000003E-3</v>
      </c>
      <c r="P58" s="9">
        <v>3.3999999999999998E-3</v>
      </c>
      <c r="Q58" s="9"/>
      <c r="R58" s="9">
        <v>3.0000000000000001E-3</v>
      </c>
      <c r="S58" s="9">
        <v>1.9E-3</v>
      </c>
      <c r="T58" s="9"/>
      <c r="U58" s="9">
        <v>3.3999999999999998E-3</v>
      </c>
      <c r="V58" s="9"/>
      <c r="W58" s="9"/>
      <c r="X58" s="9">
        <v>5.0000000000000001E-3</v>
      </c>
      <c r="Y58" s="9">
        <v>1.1999999999999999E-3</v>
      </c>
      <c r="Z58" s="9">
        <v>3.5999999999999999E-3</v>
      </c>
      <c r="AA58" s="9">
        <v>3.0999999999999999E-3</v>
      </c>
      <c r="AB58" s="9">
        <v>2.8E-3</v>
      </c>
      <c r="AC58" s="9">
        <v>1.6999999999999999E-3</v>
      </c>
      <c r="AD58" s="9">
        <v>1.8E-3</v>
      </c>
    </row>
    <row r="59" spans="2:30" ht="15" thickBot="1" x14ac:dyDescent="0.35">
      <c r="B59" s="5">
        <v>202526</v>
      </c>
      <c r="C59" s="5"/>
      <c r="D59" s="9">
        <v>3.5000000000000001E-3</v>
      </c>
      <c r="E59" s="9">
        <v>2.3E-3</v>
      </c>
      <c r="F59" s="9">
        <v>3.5999999999999999E-3</v>
      </c>
      <c r="G59" s="9">
        <v>2E-3</v>
      </c>
      <c r="H59" s="9">
        <v>1.6000000000000001E-3</v>
      </c>
      <c r="I59" s="9">
        <v>7.0000000000000001E-3</v>
      </c>
      <c r="J59" s="9">
        <v>3.3999999999999998E-3</v>
      </c>
      <c r="K59" s="9">
        <v>2.5000000000000001E-3</v>
      </c>
      <c r="L59" s="9">
        <v>3.3E-3</v>
      </c>
      <c r="M59" s="9">
        <v>6.0000000000000001E-3</v>
      </c>
      <c r="N59" s="9">
        <v>2.7000000000000001E-3</v>
      </c>
      <c r="O59" s="9">
        <v>1.9300000000000001E-2</v>
      </c>
      <c r="P59" s="9">
        <v>3.2000000000000002E-3</v>
      </c>
      <c r="Q59" s="9"/>
      <c r="R59" s="9">
        <v>3.3E-3</v>
      </c>
      <c r="S59" s="9">
        <v>1.9E-3</v>
      </c>
      <c r="T59" s="9"/>
      <c r="U59" s="9">
        <v>3.5999999999999999E-3</v>
      </c>
      <c r="V59" s="9"/>
      <c r="W59" s="9"/>
      <c r="X59" s="9">
        <v>5.4999999999999997E-3</v>
      </c>
      <c r="Y59" s="9">
        <v>1.1999999999999999E-3</v>
      </c>
      <c r="Z59" s="9">
        <v>5.4999999999999997E-3</v>
      </c>
      <c r="AA59" s="9">
        <v>3.3E-3</v>
      </c>
      <c r="AB59" s="9">
        <v>3.0999999999999999E-3</v>
      </c>
      <c r="AC59" s="9">
        <v>1.6999999999999999E-3</v>
      </c>
      <c r="AD59" s="9">
        <v>2.2000000000000001E-3</v>
      </c>
    </row>
    <row r="60" spans="2:30" ht="15" thickBot="1" x14ac:dyDescent="0.35">
      <c r="B60" s="22" t="s">
        <v>82</v>
      </c>
      <c r="C60" s="22"/>
      <c r="D60" s="24">
        <f t="shared" ref="D60:AD60" si="23">AVERAGE(D34:D59)</f>
        <v>2.7884615384615383E-3</v>
      </c>
      <c r="E60" s="24">
        <f t="shared" si="23"/>
        <v>3.7538461538461536E-3</v>
      </c>
      <c r="F60" s="24">
        <f t="shared" si="23"/>
        <v>2.6923076923076922E-3</v>
      </c>
      <c r="G60" s="24">
        <f t="shared" si="23"/>
        <v>5.057692307692309E-3</v>
      </c>
      <c r="H60" s="24">
        <f t="shared" si="23"/>
        <v>3.46923076923077E-3</v>
      </c>
      <c r="I60" s="24">
        <f t="shared" si="23"/>
        <v>4.6230769230769233E-3</v>
      </c>
      <c r="J60" s="24">
        <f t="shared" si="23"/>
        <v>2.7076923076923072E-3</v>
      </c>
      <c r="K60" s="24">
        <f t="shared" si="23"/>
        <v>3.4307692307692299E-3</v>
      </c>
      <c r="L60" s="24">
        <f t="shared" si="23"/>
        <v>2.3653846153846156E-3</v>
      </c>
      <c r="M60" s="24">
        <f t="shared" si="23"/>
        <v>2.9269230769230774E-3</v>
      </c>
      <c r="N60" s="24">
        <f t="shared" si="23"/>
        <v>2.9333333333333329E-3</v>
      </c>
      <c r="O60" s="24">
        <f t="shared" si="23"/>
        <v>6.7961538461538485E-3</v>
      </c>
      <c r="P60" s="24">
        <f t="shared" si="23"/>
        <v>2.9923076923076921E-3</v>
      </c>
      <c r="Q60" s="24">
        <f t="shared" si="23"/>
        <v>-6.7871428571428569E-2</v>
      </c>
      <c r="R60" s="24">
        <f t="shared" si="23"/>
        <v>2.403846153846154E-3</v>
      </c>
      <c r="S60" s="24">
        <f t="shared" si="23"/>
        <v>1.6500000000000002E-3</v>
      </c>
      <c r="T60" s="24">
        <f t="shared" si="23"/>
        <v>2.9272727272727271E-3</v>
      </c>
      <c r="U60" s="24">
        <f t="shared" si="23"/>
        <v>3.1269230769230766E-3</v>
      </c>
      <c r="V60" s="24">
        <f t="shared" si="23"/>
        <v>3.5428571428571432E-3</v>
      </c>
      <c r="W60" s="24">
        <f t="shared" si="23"/>
        <v>2.7523809523809528E-3</v>
      </c>
      <c r="X60" s="24">
        <f t="shared" si="23"/>
        <v>3.2038461538461539E-3</v>
      </c>
      <c r="Y60" s="24">
        <f t="shared" si="23"/>
        <v>1.3884615384615383E-3</v>
      </c>
      <c r="Z60" s="24">
        <f t="shared" si="23"/>
        <v>4.0307692307692319E-3</v>
      </c>
      <c r="AA60" s="24">
        <f t="shared" si="23"/>
        <v>2.0769230769230773E-3</v>
      </c>
      <c r="AB60" s="24">
        <f t="shared" si="23"/>
        <v>1.7428571428571426E-3</v>
      </c>
      <c r="AC60" s="24">
        <f t="shared" si="23"/>
        <v>1.1666666666666663E-3</v>
      </c>
      <c r="AD60" s="24">
        <f t="shared" si="23"/>
        <v>1.4846153846153848E-3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61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45843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129</v>
      </c>
      <c r="C6" s="7">
        <v>19</v>
      </c>
      <c r="D6" s="7">
        <v>7</v>
      </c>
      <c r="E6" s="7">
        <v>1197</v>
      </c>
      <c r="F6" s="7">
        <v>1000</v>
      </c>
      <c r="G6" s="7">
        <v>5</v>
      </c>
      <c r="H6" s="9">
        <f t="shared" ref="H6:H12" si="0">IFERROR(G6/F6,0)</f>
        <v>5.0000000000000001E-3</v>
      </c>
      <c r="I6" s="9">
        <f>IFERROR((1197-F6)/1197,0)</f>
        <v>0.16457811194653299</v>
      </c>
      <c r="J6" s="7">
        <v>3720</v>
      </c>
      <c r="K6" s="11">
        <f t="shared" ref="K6:K12" si="1">IFERROR(J6/D6/F6*100,0)</f>
        <v>53.142857142857146</v>
      </c>
      <c r="L6" s="11">
        <f>K6-53.7313</f>
        <v>-0.58844285714285149</v>
      </c>
      <c r="M6" s="11">
        <v>82</v>
      </c>
      <c r="N6" s="11">
        <f t="shared" ref="N6:N12" si="2">K6-M6</f>
        <v>-28.857142857142854</v>
      </c>
      <c r="O6" s="11">
        <f>IFERROR(165140/1197,0)</f>
        <v>137.96157059314953</v>
      </c>
      <c r="P6" s="11">
        <v>0</v>
      </c>
      <c r="Q6" s="11">
        <f t="shared" ref="Q6:Q11" si="3">IFERROR(O6-P6,0)</f>
        <v>137.96157059314953</v>
      </c>
      <c r="R6" s="7">
        <v>889</v>
      </c>
      <c r="S6" s="11">
        <f t="shared" ref="S6:S11" si="4">IFERROR(R6/D6/F6*1000,0)</f>
        <v>127</v>
      </c>
      <c r="T6" s="13">
        <f t="shared" ref="T6:T12" si="5">IFERROR(J6/R6,0)</f>
        <v>4.184476940382452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238.97849462365591</v>
      </c>
      <c r="Z6" s="11">
        <f t="shared" ref="Z6:Z12" si="9">IFERROR(Y6*X6/1000,0)</f>
        <v>70.947935483870964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25</v>
      </c>
      <c r="AG6" s="7">
        <f t="shared" ref="AG6:AG11" si="10">IF(M6=0,0,IFERROR(N6/100*7*F6,0))</f>
        <v>-2019.9999999999995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89</v>
      </c>
      <c r="C7" s="7">
        <v>19</v>
      </c>
      <c r="D7" s="7">
        <v>7</v>
      </c>
      <c r="E7" s="7">
        <v>14440</v>
      </c>
      <c r="F7" s="7">
        <v>11141</v>
      </c>
      <c r="G7" s="7">
        <v>17</v>
      </c>
      <c r="H7" s="9">
        <f t="shared" si="0"/>
        <v>1.5258953415312809E-3</v>
      </c>
      <c r="I7" s="9">
        <f>IFERROR((14440-F7)/14440,0)</f>
        <v>0.22846260387811634</v>
      </c>
      <c r="J7" s="7">
        <v>58500</v>
      </c>
      <c r="K7" s="11">
        <f t="shared" si="1"/>
        <v>75.012502083680616</v>
      </c>
      <c r="L7" s="11">
        <f>K7-75.8969</f>
        <v>-0.88439791631938647</v>
      </c>
      <c r="M7" s="11">
        <v>82</v>
      </c>
      <c r="N7" s="11">
        <f t="shared" si="2"/>
        <v>-6.9874979163193842</v>
      </c>
      <c r="O7" s="11">
        <f>IFERROR(4952200/14440,0)</f>
        <v>342.95013850415512</v>
      </c>
      <c r="P7" s="11">
        <v>0</v>
      </c>
      <c r="Q7" s="11">
        <f t="shared" si="3"/>
        <v>342.95013850415512</v>
      </c>
      <c r="R7" s="7">
        <v>9730</v>
      </c>
      <c r="S7" s="11">
        <f t="shared" si="4"/>
        <v>124.76438380755766</v>
      </c>
      <c r="T7" s="13">
        <f t="shared" si="5"/>
        <v>6.0123329907502567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166.32478632478632</v>
      </c>
      <c r="Z7" s="11">
        <f t="shared" si="9"/>
        <v>62.064094017094007</v>
      </c>
      <c r="AA7" s="7">
        <v>2072</v>
      </c>
      <c r="AB7" s="15">
        <f>IFERROR(AA7/1970,0)</f>
        <v>1.0517766497461929</v>
      </c>
      <c r="AC7" s="11">
        <v>0</v>
      </c>
      <c r="AD7" s="15">
        <f>IFERROR(AC7/65,0)</f>
        <v>0</v>
      </c>
      <c r="AE7" s="11">
        <v>0</v>
      </c>
      <c r="AF7" s="11">
        <v>25</v>
      </c>
      <c r="AG7" s="7">
        <f t="shared" si="10"/>
        <v>-5449.3399999999974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89</v>
      </c>
      <c r="C8" s="7">
        <v>19</v>
      </c>
      <c r="D8" s="7">
        <v>7</v>
      </c>
      <c r="E8" s="7">
        <v>16063</v>
      </c>
      <c r="F8" s="7">
        <v>13057</v>
      </c>
      <c r="G8" s="7">
        <v>29</v>
      </c>
      <c r="H8" s="9">
        <f t="shared" si="0"/>
        <v>2.2210308646702917E-3</v>
      </c>
      <c r="I8" s="9">
        <f>IFERROR((16063-F8)/16063,0)</f>
        <v>0.18713814355973354</v>
      </c>
      <c r="J8" s="7">
        <v>61110</v>
      </c>
      <c r="K8" s="11">
        <f t="shared" si="1"/>
        <v>66.860687753695331</v>
      </c>
      <c r="L8" s="11">
        <f>K8-68.2518</f>
        <v>-1.3911122463046723</v>
      </c>
      <c r="M8" s="11">
        <v>77</v>
      </c>
      <c r="N8" s="11">
        <f t="shared" si="2"/>
        <v>-10.139312246304669</v>
      </c>
      <c r="O8" s="11">
        <f>IFERROR(5157930/16063,0)</f>
        <v>321.10626906555439</v>
      </c>
      <c r="P8" s="11">
        <v>0</v>
      </c>
      <c r="Q8" s="11">
        <f t="shared" si="3"/>
        <v>321.10626906555439</v>
      </c>
      <c r="R8" s="7">
        <v>10150</v>
      </c>
      <c r="S8" s="11">
        <f t="shared" si="4"/>
        <v>111.05154323351458</v>
      </c>
      <c r="T8" s="13">
        <f t="shared" si="5"/>
        <v>6.0206896551724141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166.0939289805269</v>
      </c>
      <c r="Z8" s="11">
        <f t="shared" si="9"/>
        <v>61.454753722794948</v>
      </c>
      <c r="AA8" s="7">
        <v>1740</v>
      </c>
      <c r="AB8" s="15">
        <f>IFERROR(AA8/1580,0)</f>
        <v>1.1012658227848102</v>
      </c>
      <c r="AC8" s="11">
        <v>0</v>
      </c>
      <c r="AD8" s="15">
        <f>IFERROR(AC8/63.7,0)</f>
        <v>0</v>
      </c>
      <c r="AE8" s="11">
        <v>0</v>
      </c>
      <c r="AF8" s="11">
        <v>25</v>
      </c>
      <c r="AG8" s="7">
        <f t="shared" si="10"/>
        <v>-9267.230000000005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50</v>
      </c>
      <c r="C9" s="7"/>
      <c r="D9" s="7">
        <v>7</v>
      </c>
      <c r="E9" s="7">
        <v>4686</v>
      </c>
      <c r="F9" s="7">
        <v>4119</v>
      </c>
      <c r="G9" s="7">
        <v>18</v>
      </c>
      <c r="H9" s="9">
        <f t="shared" si="0"/>
        <v>4.3699927166788053E-3</v>
      </c>
      <c r="I9" s="9">
        <f>IFERROR((4686-F9)/4686,0)</f>
        <v>0.12099871959026888</v>
      </c>
      <c r="J9" s="7">
        <v>28710</v>
      </c>
      <c r="K9" s="11">
        <f t="shared" si="1"/>
        <v>99.573405472895644</v>
      </c>
      <c r="L9" s="11">
        <f>K9-99.6581</f>
        <v>-8.4694527104360873E-2</v>
      </c>
      <c r="M9" s="11">
        <v>88.5</v>
      </c>
      <c r="N9" s="11">
        <f t="shared" si="2"/>
        <v>11.073405472895644</v>
      </c>
      <c r="O9" s="11">
        <f>IFERROR(875580/4686,0)</f>
        <v>186.85019206145967</v>
      </c>
      <c r="P9" s="11">
        <v>198</v>
      </c>
      <c r="Q9" s="11">
        <f t="shared" si="3"/>
        <v>-11.149807938540334</v>
      </c>
      <c r="R9" s="7">
        <v>4572</v>
      </c>
      <c r="S9" s="11">
        <f t="shared" si="4"/>
        <v>158.56830714805949</v>
      </c>
      <c r="T9" s="13">
        <f t="shared" si="5"/>
        <v>6.2795275590551185</v>
      </c>
      <c r="U9" s="7">
        <v>5040</v>
      </c>
      <c r="V9" s="11">
        <f t="shared" si="6"/>
        <v>174.79970866715223</v>
      </c>
      <c r="W9" s="11">
        <f t="shared" si="7"/>
        <v>1.1023622047244097</v>
      </c>
      <c r="X9" s="11">
        <v>362.76</v>
      </c>
      <c r="Y9" s="11">
        <f t="shared" si="8"/>
        <v>159.24764890282128</v>
      </c>
      <c r="Z9" s="11">
        <f t="shared" si="9"/>
        <v>57.768677115987451</v>
      </c>
      <c r="AA9" s="7">
        <v>1970</v>
      </c>
      <c r="AB9" s="15">
        <f>IFERROR(AA9/1950,0)</f>
        <v>1.0102564102564102</v>
      </c>
      <c r="AC9" s="11">
        <v>0</v>
      </c>
      <c r="AD9" s="15">
        <f>IFERROR(AC9/63.4,0)</f>
        <v>0</v>
      </c>
      <c r="AE9" s="11">
        <v>12</v>
      </c>
      <c r="AF9" s="11">
        <v>24</v>
      </c>
      <c r="AG9" s="7">
        <f t="shared" si="10"/>
        <v>3192.7950000000005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89</v>
      </c>
      <c r="C10" s="7">
        <v>20</v>
      </c>
      <c r="D10" s="7">
        <v>7</v>
      </c>
      <c r="E10" s="7">
        <v>5000</v>
      </c>
      <c r="F10" s="7">
        <v>4040</v>
      </c>
      <c r="G10" s="7">
        <v>18</v>
      </c>
      <c r="H10" s="9">
        <f t="shared" si="0"/>
        <v>4.4554455445544551E-3</v>
      </c>
      <c r="I10" s="9">
        <f>IFERROR((5000-F10)/5000,0)</f>
        <v>0.192</v>
      </c>
      <c r="J10" s="7">
        <v>24990</v>
      </c>
      <c r="K10" s="11">
        <f t="shared" si="1"/>
        <v>88.366336633663366</v>
      </c>
      <c r="L10" s="11">
        <f>K10-88.1152</f>
        <v>0.25113663366336425</v>
      </c>
      <c r="M10" s="11">
        <v>81</v>
      </c>
      <c r="N10" s="11">
        <f t="shared" si="2"/>
        <v>7.3663366336633658</v>
      </c>
      <c r="O10" s="11">
        <f>IFERROR(1837400/5000,0)</f>
        <v>367.48</v>
      </c>
      <c r="P10" s="11">
        <v>0</v>
      </c>
      <c r="Q10" s="11">
        <f t="shared" si="3"/>
        <v>367.48</v>
      </c>
      <c r="R10" s="7">
        <v>4319</v>
      </c>
      <c r="S10" s="11">
        <f t="shared" si="4"/>
        <v>152.72277227722773</v>
      </c>
      <c r="T10" s="13">
        <f t="shared" si="5"/>
        <v>5.7860615883306323</v>
      </c>
      <c r="U10" s="7">
        <v>5040</v>
      </c>
      <c r="V10" s="11">
        <f t="shared" si="6"/>
        <v>178.21782178217822</v>
      </c>
      <c r="W10" s="11">
        <f t="shared" si="7"/>
        <v>1.1669367909238249</v>
      </c>
      <c r="X10" s="11">
        <v>374.81</v>
      </c>
      <c r="Y10" s="11">
        <f t="shared" si="8"/>
        <v>172.82913165266106</v>
      </c>
      <c r="Z10" s="11">
        <f t="shared" si="9"/>
        <v>64.778086834733898</v>
      </c>
      <c r="AA10" s="7">
        <v>2165</v>
      </c>
      <c r="AB10" s="15">
        <f>IFERROR(AA10/1970,0)</f>
        <v>1.0989847715736041</v>
      </c>
      <c r="AC10" s="11">
        <v>0</v>
      </c>
      <c r="AD10" s="15">
        <f>IFERROR(AC10/65,0)</f>
        <v>0</v>
      </c>
      <c r="AE10" s="11">
        <v>10</v>
      </c>
      <c r="AF10" s="11">
        <v>21</v>
      </c>
      <c r="AG10" s="7">
        <f t="shared" si="10"/>
        <v>2083.2000000000003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50</v>
      </c>
      <c r="C11" s="7"/>
      <c r="D11" s="7">
        <v>7</v>
      </c>
      <c r="E11" s="7">
        <v>4819</v>
      </c>
      <c r="F11" s="7">
        <v>4476</v>
      </c>
      <c r="G11" s="7">
        <v>16</v>
      </c>
      <c r="H11" s="9">
        <f t="shared" si="0"/>
        <v>3.5746201966041107E-3</v>
      </c>
      <c r="I11" s="9">
        <f>IFERROR((4819-F11)/4819,0)</f>
        <v>7.1176592654077608E-2</v>
      </c>
      <c r="J11" s="7">
        <v>29430</v>
      </c>
      <c r="K11" s="11">
        <f t="shared" si="1"/>
        <v>93.929528916124099</v>
      </c>
      <c r="L11" s="11">
        <f>K11-93.1179</f>
        <v>0.81162891612409283</v>
      </c>
      <c r="M11" s="11">
        <v>88.5</v>
      </c>
      <c r="N11" s="11">
        <f t="shared" si="2"/>
        <v>5.4295289161240987</v>
      </c>
      <c r="O11" s="11">
        <f>IFERROR(919156/4819,0)</f>
        <v>190.73583731064537</v>
      </c>
      <c r="P11" s="11">
        <v>198</v>
      </c>
      <c r="Q11" s="11">
        <f t="shared" si="3"/>
        <v>-7.2641626893546345</v>
      </c>
      <c r="R11" s="7">
        <v>4848</v>
      </c>
      <c r="S11" s="11">
        <f t="shared" si="4"/>
        <v>154.72998851014935</v>
      </c>
      <c r="T11" s="13">
        <f t="shared" si="5"/>
        <v>6.0705445544554459</v>
      </c>
      <c r="U11" s="7">
        <v>5040</v>
      </c>
      <c r="V11" s="11">
        <f t="shared" si="6"/>
        <v>160.85790884718497</v>
      </c>
      <c r="W11" s="11">
        <f t="shared" si="7"/>
        <v>1.0396039603960396</v>
      </c>
      <c r="X11" s="11">
        <v>362.76</v>
      </c>
      <c r="Y11" s="11">
        <f t="shared" si="8"/>
        <v>164.72986748216104</v>
      </c>
      <c r="Z11" s="11">
        <f t="shared" si="9"/>
        <v>59.757406727828737</v>
      </c>
      <c r="AA11" s="7">
        <v>1865</v>
      </c>
      <c r="AB11" s="15">
        <f>IFERROR(AA11/1950,0)</f>
        <v>0.95641025641025645</v>
      </c>
      <c r="AC11" s="11">
        <v>0</v>
      </c>
      <c r="AD11" s="15">
        <f>IFERROR(AC11/63.4,0)</f>
        <v>0</v>
      </c>
      <c r="AE11" s="11">
        <v>13</v>
      </c>
      <c r="AF11" s="11">
        <v>19</v>
      </c>
      <c r="AG11" s="7">
        <f t="shared" si="10"/>
        <v>1701.1800000000028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37833</v>
      </c>
      <c r="G12" s="17">
        <f>SUM(G6:G11)</f>
        <v>103</v>
      </c>
      <c r="H12" s="18">
        <f t="shared" si="0"/>
        <v>2.7224909470568021E-3</v>
      </c>
      <c r="I12" s="18"/>
      <c r="J12" s="17">
        <f>SUM(J6:J11)</f>
        <v>206460</v>
      </c>
      <c r="K12" s="19">
        <f t="shared" si="1"/>
        <v>77.959151307815162</v>
      </c>
      <c r="L12" s="19"/>
      <c r="M12" s="19">
        <f>IFERROR(SUMPRODUCT($F6:$F11,M6:M11)/$F12, 0)</f>
        <v>81.644292020194015</v>
      </c>
      <c r="N12" s="19">
        <f t="shared" si="2"/>
        <v>-3.6851407123788533</v>
      </c>
      <c r="O12" s="19">
        <f>IFERROR(SUMPRODUCT($E6:$E11,O6:O11)/$E12, 0)</f>
        <v>300.99352883887025</v>
      </c>
      <c r="P12" s="19">
        <f>IFERROR(SUMPRODUCT($E6:$E11,P6:P11)/$E12, 0)</f>
        <v>40.731306135699597</v>
      </c>
      <c r="Q12" s="19">
        <f>IFERROR(SUMPRODUCT($E6:$E11,Q6:Q11)/$E12, 0)</f>
        <v>260.26222270317066</v>
      </c>
      <c r="R12" s="17">
        <f>SUM(R6:R11)</f>
        <v>34508</v>
      </c>
      <c r="S12" s="19">
        <f>IFERROR(R12/D12/$F12*1000,0)</f>
        <v>130.3019661595508</v>
      </c>
      <c r="T12" s="20">
        <f t="shared" si="5"/>
        <v>5.9829604729338124</v>
      </c>
      <c r="U12" s="17">
        <f>SUM(U6:U11)</f>
        <v>15120</v>
      </c>
      <c r="V12" s="19">
        <f>IFERROR(U12/D12/$F12*1000,0)</f>
        <v>57.093014035365954</v>
      </c>
      <c r="W12" s="19">
        <f t="shared" si="7"/>
        <v>0.43815926741625133</v>
      </c>
      <c r="X12" s="19">
        <f>IFERROR(SUMPRODUCT(R6:R11,X6:X11)/R12,0)</f>
        <v>367.63009765851405</v>
      </c>
      <c r="Y12" s="19">
        <f>IFERROR(($F12*S12)/($F12*K12)*100,0)</f>
        <v>167.14133488327039</v>
      </c>
      <c r="Z12" s="19">
        <f t="shared" si="9"/>
        <v>61.446185265911097</v>
      </c>
      <c r="AA12" s="17"/>
      <c r="AB12" s="21">
        <f>IFERROR(SUMPRODUCT($F6:$F11,AB6:AB11)/$F12,0)</f>
        <v>1.0302938821034395</v>
      </c>
      <c r="AC12" s="19"/>
      <c r="AD12" s="21">
        <f>AVERAGE(AD6:AD11)</f>
        <v>0</v>
      </c>
      <c r="AE12" s="19"/>
      <c r="AF12" s="19"/>
      <c r="AG12" s="17">
        <f>SUM(AG6:AG11)</f>
        <v>-9759.3949999999968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89</v>
      </c>
      <c r="C14" s="6">
        <v>26</v>
      </c>
      <c r="D14" s="6">
        <v>7</v>
      </c>
      <c r="E14" s="6">
        <v>21388</v>
      </c>
      <c r="F14" s="6">
        <v>16149</v>
      </c>
      <c r="G14" s="6">
        <v>71</v>
      </c>
      <c r="H14" s="8">
        <f t="shared" ref="H14:H28" si="12">IFERROR(G14/F14,0)</f>
        <v>4.3965570623568026E-3</v>
      </c>
      <c r="I14" s="8">
        <f>IFERROR((21388-F14)/21388,0)</f>
        <v>0.24495043949878437</v>
      </c>
      <c r="J14" s="6">
        <v>80770</v>
      </c>
      <c r="K14" s="10">
        <f t="shared" ref="K14:K28" si="13">IFERROR(J14/D14/F14*100,0)</f>
        <v>71.45068690675231</v>
      </c>
      <c r="L14" s="10">
        <f>K14-71.5607</f>
        <v>-0.11001309324768727</v>
      </c>
      <c r="M14" s="10">
        <v>78</v>
      </c>
      <c r="N14" s="10">
        <f t="shared" ref="N14:N28" si="14">K14-M14</f>
        <v>-6.5493130932476902</v>
      </c>
      <c r="O14" s="10">
        <f>IFERROR(5895440/21388,0)</f>
        <v>275.64241630821022</v>
      </c>
      <c r="P14" s="10">
        <v>0</v>
      </c>
      <c r="Q14" s="10">
        <f t="shared" ref="Q14:Q27" si="15">IFERROR(O14-P14,0)</f>
        <v>275.64241630821022</v>
      </c>
      <c r="R14" s="6">
        <v>11620</v>
      </c>
      <c r="S14" s="10">
        <f t="shared" ref="S14:S27" si="16">IFERROR(R14/D14/F14*1000,0)</f>
        <v>102.79274258468017</v>
      </c>
      <c r="T14" s="12">
        <f t="shared" ref="T14:T28" si="17">IFERROR(J14/R14,0)</f>
        <v>6.9509466437177281</v>
      </c>
      <c r="U14" s="6">
        <v>21070</v>
      </c>
      <c r="V14" s="10">
        <f t="shared" ref="V14:V27" si="18">IFERROR(U14/D14/F14*1000,0)</f>
        <v>186.38925010836584</v>
      </c>
      <c r="W14" s="10">
        <f t="shared" ref="W14:W28" si="19">IFERROR(V14/S14,0)</f>
        <v>1.8132530120481927</v>
      </c>
      <c r="X14" s="10">
        <v>289.03571428570001</v>
      </c>
      <c r="Y14" s="10">
        <f t="shared" ref="Y14:Y27" si="20">IFERROR((F14*S14)/(F14*K14)*100,0)</f>
        <v>143.86529652098551</v>
      </c>
      <c r="Z14" s="10">
        <f t="shared" ref="Z14:Z28" si="21">IFERROR(Y14*X14/1000,0)</f>
        <v>41.582208740867081</v>
      </c>
      <c r="AA14" s="6">
        <v>2030</v>
      </c>
      <c r="AB14" s="14">
        <f>IFERROR(AA14/1580,0)</f>
        <v>1.2848101265822784</v>
      </c>
      <c r="AC14" s="10">
        <v>0</v>
      </c>
      <c r="AD14" s="14">
        <f>IFERROR(AC14/63.7,0)</f>
        <v>0</v>
      </c>
      <c r="AE14" s="10">
        <v>17</v>
      </c>
      <c r="AF14" s="10">
        <v>26</v>
      </c>
      <c r="AG14" s="6">
        <f t="shared" ref="AG14:AG27" si="22">IF(M14=0,0,IFERROR(N14/100*7*F14,0))</f>
        <v>-7403.5399999999863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49</v>
      </c>
      <c r="C15" s="7"/>
      <c r="D15" s="7">
        <v>7</v>
      </c>
      <c r="E15" s="7">
        <v>10225</v>
      </c>
      <c r="F15" s="7">
        <v>8226</v>
      </c>
      <c r="G15" s="7">
        <v>174</v>
      </c>
      <c r="H15" s="9">
        <f t="shared" si="12"/>
        <v>2.1152443471918306E-2</v>
      </c>
      <c r="I15" s="9">
        <f>IFERROR((10225-F15)/10225,0)</f>
        <v>0.19550122249388754</v>
      </c>
      <c r="J15" s="7">
        <v>47070</v>
      </c>
      <c r="K15" s="11">
        <f t="shared" si="13"/>
        <v>81.744295092216319</v>
      </c>
      <c r="L15" s="11">
        <f>K15-84.5578</f>
        <v>-2.8135049077836811</v>
      </c>
      <c r="M15" s="11">
        <v>89</v>
      </c>
      <c r="N15" s="11">
        <f t="shared" si="14"/>
        <v>-7.2557049077836808</v>
      </c>
      <c r="O15" s="11">
        <f>IFERROR(1638870/10225,0)</f>
        <v>160.280684596577</v>
      </c>
      <c r="P15" s="11">
        <v>192</v>
      </c>
      <c r="Q15" s="11">
        <f t="shared" si="15"/>
        <v>-31.719315403422996</v>
      </c>
      <c r="R15" s="7">
        <v>8140</v>
      </c>
      <c r="S15" s="11">
        <f t="shared" si="16"/>
        <v>141.36362057587439</v>
      </c>
      <c r="T15" s="13">
        <f t="shared" si="17"/>
        <v>5.7825552825552826</v>
      </c>
      <c r="U15" s="7">
        <v>12660</v>
      </c>
      <c r="V15" s="11">
        <f t="shared" si="18"/>
        <v>219.86037303323957</v>
      </c>
      <c r="W15" s="11">
        <f t="shared" si="19"/>
        <v>1.5552825552825555</v>
      </c>
      <c r="X15" s="11">
        <v>286.30857142859998</v>
      </c>
      <c r="Y15" s="11">
        <f t="shared" si="20"/>
        <v>172.93392819205437</v>
      </c>
      <c r="Z15" s="11">
        <f t="shared" si="21"/>
        <v>49.512465932203177</v>
      </c>
      <c r="AA15" s="7">
        <v>2000</v>
      </c>
      <c r="AB15" s="15">
        <f>IFERROR(AA15/1950,0)</f>
        <v>1.0256410256410255</v>
      </c>
      <c r="AC15" s="11">
        <v>0</v>
      </c>
      <c r="AD15" s="15">
        <f>IFERROR(AC15/63.3,0)</f>
        <v>0</v>
      </c>
      <c r="AE15" s="11">
        <v>10</v>
      </c>
      <c r="AF15" s="11">
        <v>24</v>
      </c>
      <c r="AG15" s="7">
        <f t="shared" si="22"/>
        <v>-4177.9799999999996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78</v>
      </c>
      <c r="C16" s="7"/>
      <c r="D16" s="7">
        <v>7</v>
      </c>
      <c r="E16" s="7">
        <v>56050</v>
      </c>
      <c r="F16" s="7">
        <v>48335</v>
      </c>
      <c r="G16" s="7">
        <v>203</v>
      </c>
      <c r="H16" s="9">
        <f t="shared" si="12"/>
        <v>4.199855177407676E-3</v>
      </c>
      <c r="I16" s="9">
        <f>IFERROR((56050-F16)/56050,0)</f>
        <v>0.13764495985727029</v>
      </c>
      <c r="J16" s="7">
        <v>304580</v>
      </c>
      <c r="K16" s="11">
        <f t="shared" si="13"/>
        <v>90.020541163605188</v>
      </c>
      <c r="L16" s="11">
        <f>K16-86.7067</f>
        <v>3.3138411636051899</v>
      </c>
      <c r="M16" s="11">
        <v>85.95</v>
      </c>
      <c r="N16" s="11">
        <f t="shared" si="14"/>
        <v>4.0705411636051849</v>
      </c>
      <c r="O16" s="11">
        <f>IFERROR(19894381/56050,0)</f>
        <v>354.93989295272081</v>
      </c>
      <c r="P16" s="11">
        <v>361</v>
      </c>
      <c r="Q16" s="11">
        <f t="shared" si="15"/>
        <v>-6.0601070472791889</v>
      </c>
      <c r="R16" s="7">
        <v>40970</v>
      </c>
      <c r="S16" s="11">
        <f t="shared" si="16"/>
        <v>121.08942056185255</v>
      </c>
      <c r="T16" s="13">
        <f t="shared" si="17"/>
        <v>7.4342201610934833</v>
      </c>
      <c r="U16" s="7">
        <v>63700</v>
      </c>
      <c r="V16" s="11">
        <f t="shared" si="18"/>
        <v>188.2693700217234</v>
      </c>
      <c r="W16" s="11">
        <f t="shared" si="19"/>
        <v>1.5547961923358555</v>
      </c>
      <c r="X16" s="11">
        <v>304.62428571430002</v>
      </c>
      <c r="Y16" s="11">
        <f t="shared" si="20"/>
        <v>134.51310000656645</v>
      </c>
      <c r="Z16" s="11">
        <f t="shared" si="21"/>
        <v>40.975957008716513</v>
      </c>
      <c r="AA16" s="7">
        <v>1801</v>
      </c>
      <c r="AB16" s="15">
        <f>IFERROR(AA16/1725,0)</f>
        <v>1.0440579710144928</v>
      </c>
      <c r="AC16" s="11">
        <v>0</v>
      </c>
      <c r="AD16" s="15">
        <f>IFERROR(AC16/64.05,0)</f>
        <v>0</v>
      </c>
      <c r="AE16" s="11">
        <v>20</v>
      </c>
      <c r="AF16" s="11">
        <v>26</v>
      </c>
      <c r="AG16" s="7">
        <f t="shared" si="22"/>
        <v>13772.472499999962</v>
      </c>
      <c r="AH16" s="7">
        <v>85</v>
      </c>
      <c r="AI16" s="7">
        <v>6.5882352941000004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IFERROR(630/F16,0)</f>
        <v>1.3034033309196235E-2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71</v>
      </c>
      <c r="C17" s="7"/>
      <c r="D17" s="7">
        <v>7</v>
      </c>
      <c r="E17" s="7">
        <v>51536</v>
      </c>
      <c r="F17" s="7">
        <v>46467</v>
      </c>
      <c r="G17" s="7">
        <v>148</v>
      </c>
      <c r="H17" s="9">
        <f t="shared" si="12"/>
        <v>3.1850560612908087E-3</v>
      </c>
      <c r="I17" s="9">
        <f>IFERROR((51536-F17)/51536,0)</f>
        <v>9.8358429059298355E-2</v>
      </c>
      <c r="J17" s="7">
        <v>269620</v>
      </c>
      <c r="K17" s="11">
        <f t="shared" si="13"/>
        <v>82.891391432937041</v>
      </c>
      <c r="L17" s="11">
        <f>K17-83.7499</f>
        <v>-0.85850856706295531</v>
      </c>
      <c r="M17" s="11">
        <v>88</v>
      </c>
      <c r="N17" s="11">
        <f t="shared" si="14"/>
        <v>-5.1086085670629586</v>
      </c>
      <c r="O17" s="11">
        <f>IFERROR(15895882/51536,0)</f>
        <v>308.44229276622167</v>
      </c>
      <c r="P17" s="11">
        <v>321</v>
      </c>
      <c r="Q17" s="11">
        <f t="shared" si="15"/>
        <v>-12.557707233778331</v>
      </c>
      <c r="R17" s="7">
        <v>38190</v>
      </c>
      <c r="S17" s="11">
        <f t="shared" si="16"/>
        <v>117.4105125296293</v>
      </c>
      <c r="T17" s="13">
        <f t="shared" si="17"/>
        <v>7.0599633411887925</v>
      </c>
      <c r="U17" s="7">
        <v>59000</v>
      </c>
      <c r="V17" s="11">
        <f t="shared" si="18"/>
        <v>181.38832781482407</v>
      </c>
      <c r="W17" s="11">
        <f t="shared" si="19"/>
        <v>1.5449070437287253</v>
      </c>
      <c r="X17" s="11">
        <v>303.36142857139998</v>
      </c>
      <c r="Y17" s="11">
        <f t="shared" si="20"/>
        <v>141.64379497069947</v>
      </c>
      <c r="Z17" s="11">
        <f t="shared" si="21"/>
        <v>42.969263990585873</v>
      </c>
      <c r="AA17" s="7">
        <v>1668</v>
      </c>
      <c r="AB17" s="15">
        <f>IFERROR(AA17/1725,0)</f>
        <v>0.96695652173913038</v>
      </c>
      <c r="AC17" s="11">
        <v>0</v>
      </c>
      <c r="AD17" s="15">
        <f>IFERROR(AC17/63.7,0)</f>
        <v>0</v>
      </c>
      <c r="AE17" s="11">
        <v>21</v>
      </c>
      <c r="AF17" s="11">
        <v>25</v>
      </c>
      <c r="AG17" s="7">
        <f t="shared" si="22"/>
        <v>-16616.720000000016</v>
      </c>
      <c r="AH17" s="7">
        <v>23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IFERROR(1400/F17,0)</f>
        <v>3.0128908687886025E-2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62</v>
      </c>
      <c r="B18" s="5">
        <v>50</v>
      </c>
      <c r="C18" s="7"/>
      <c r="D18" s="7">
        <v>7</v>
      </c>
      <c r="E18" s="7">
        <v>52424</v>
      </c>
      <c r="F18" s="7">
        <v>47544</v>
      </c>
      <c r="G18" s="7">
        <v>277</v>
      </c>
      <c r="H18" s="9">
        <f t="shared" si="12"/>
        <v>5.8261820629311794E-3</v>
      </c>
      <c r="I18" s="9">
        <f>IFERROR((52424-F18)/52424,0)</f>
        <v>9.3087135663055084E-2</v>
      </c>
      <c r="J18" s="7">
        <v>302040</v>
      </c>
      <c r="K18" s="11">
        <f t="shared" si="13"/>
        <v>90.755029927165211</v>
      </c>
      <c r="L18" s="11">
        <f>K18-91.3944</f>
        <v>-0.63937007283479375</v>
      </c>
      <c r="M18" s="11">
        <v>93.85</v>
      </c>
      <c r="N18" s="11">
        <f t="shared" si="14"/>
        <v>-3.0949700728347835</v>
      </c>
      <c r="O18" s="11">
        <f>IFERROR(9533280/52424,0)</f>
        <v>181.84953456432169</v>
      </c>
      <c r="P18" s="11">
        <v>195</v>
      </c>
      <c r="Q18" s="11">
        <f t="shared" si="15"/>
        <v>-13.150465435678313</v>
      </c>
      <c r="R18" s="7">
        <v>37593</v>
      </c>
      <c r="S18" s="11">
        <f t="shared" si="16"/>
        <v>112.95702026393596</v>
      </c>
      <c r="T18" s="13">
        <f t="shared" si="17"/>
        <v>8.0344745032319853</v>
      </c>
      <c r="U18" s="7">
        <v>60664</v>
      </c>
      <c r="V18" s="11">
        <f t="shared" si="18"/>
        <v>182.27927213288143</v>
      </c>
      <c r="W18" s="11">
        <f t="shared" si="19"/>
        <v>1.6137046790625915</v>
      </c>
      <c r="X18" s="11">
        <v>291.55428571430002</v>
      </c>
      <c r="Y18" s="11">
        <f t="shared" si="20"/>
        <v>124.46364719904648</v>
      </c>
      <c r="Z18" s="11">
        <f t="shared" si="21"/>
        <v>36.287909756514637</v>
      </c>
      <c r="AA18" s="7">
        <v>1690</v>
      </c>
      <c r="AB18" s="15">
        <f>IFERROR(AA18/1720,0)</f>
        <v>0.98255813953488369</v>
      </c>
      <c r="AC18" s="11">
        <v>0</v>
      </c>
      <c r="AD18" s="15">
        <f>IFERROR(AC18/62.65,0)</f>
        <v>0</v>
      </c>
      <c r="AE18" s="11">
        <v>18</v>
      </c>
      <c r="AF18" s="11">
        <v>25</v>
      </c>
      <c r="AG18" s="7">
        <f t="shared" si="22"/>
        <v>-10300.307999999986</v>
      </c>
      <c r="AH18" s="7">
        <v>30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IFERROR(1400/F18,0)</f>
        <v>2.9446407538280331E-2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63</v>
      </c>
      <c r="B19" s="5">
        <v>40</v>
      </c>
      <c r="C19" s="7"/>
      <c r="D19" s="7">
        <v>7</v>
      </c>
      <c r="E19" s="7">
        <v>50525</v>
      </c>
      <c r="F19" s="7">
        <v>48496</v>
      </c>
      <c r="G19" s="7">
        <v>131</v>
      </c>
      <c r="H19" s="9">
        <f t="shared" si="12"/>
        <v>2.7012537116463215E-3</v>
      </c>
      <c r="I19" s="9">
        <f>IFERROR((50525-F19)/50525,0)</f>
        <v>4.01583374567046E-2</v>
      </c>
      <c r="J19" s="7">
        <v>309660</v>
      </c>
      <c r="K19" s="11">
        <f t="shared" si="13"/>
        <v>91.218126973653199</v>
      </c>
      <c r="L19" s="11">
        <f>K19-90.7374</f>
        <v>0.48072697365320494</v>
      </c>
      <c r="M19" s="11">
        <v>93.5</v>
      </c>
      <c r="N19" s="11">
        <f t="shared" si="14"/>
        <v>-2.2818730263468012</v>
      </c>
      <c r="O19" s="11">
        <f>IFERROR(6166970/50525,0)</f>
        <v>122.05779317169718</v>
      </c>
      <c r="P19" s="11">
        <v>133</v>
      </c>
      <c r="Q19" s="11">
        <f t="shared" si="15"/>
        <v>-10.942206828302815</v>
      </c>
      <c r="R19" s="7">
        <v>38880</v>
      </c>
      <c r="S19" s="11">
        <f t="shared" si="16"/>
        <v>114.53080077296508</v>
      </c>
      <c r="T19" s="13">
        <f t="shared" si="17"/>
        <v>7.9645061728395063</v>
      </c>
      <c r="U19" s="7">
        <v>70484</v>
      </c>
      <c r="V19" s="11">
        <f t="shared" si="18"/>
        <v>207.62831691568081</v>
      </c>
      <c r="W19" s="11">
        <f t="shared" si="19"/>
        <v>1.8128600823045267</v>
      </c>
      <c r="X19" s="11">
        <v>285.34571428570001</v>
      </c>
      <c r="Y19" s="11">
        <f t="shared" si="20"/>
        <v>125.55706258477039</v>
      </c>
      <c r="Z19" s="11">
        <f t="shared" si="21"/>
        <v>35.827169706865654</v>
      </c>
      <c r="AA19" s="7">
        <v>1692</v>
      </c>
      <c r="AB19" s="15">
        <f>IFERROR(AA19/1570,0)</f>
        <v>1.0777070063694267</v>
      </c>
      <c r="AC19" s="11">
        <v>0</v>
      </c>
      <c r="AD19" s="15">
        <f>IFERROR(AC19/60.9,0)</f>
        <v>0</v>
      </c>
      <c r="AE19" s="11">
        <v>17</v>
      </c>
      <c r="AF19" s="11">
        <v>26</v>
      </c>
      <c r="AG19" s="7">
        <f t="shared" si="22"/>
        <v>-7746.3200000000143</v>
      </c>
      <c r="AH19" s="7">
        <v>30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IFERROR(980/F19,0)</f>
        <v>2.0207852193995381E-2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64</v>
      </c>
      <c r="B20" s="5">
        <v>59</v>
      </c>
      <c r="C20" s="7"/>
      <c r="D20" s="7">
        <v>7</v>
      </c>
      <c r="E20" s="7">
        <v>50845</v>
      </c>
      <c r="F20" s="7">
        <v>48049</v>
      </c>
      <c r="G20" s="7">
        <v>91</v>
      </c>
      <c r="H20" s="9">
        <f t="shared" si="12"/>
        <v>1.8938999771067036E-3</v>
      </c>
      <c r="I20" s="9">
        <f>IFERROR((50845-F20)/50845,0)</f>
        <v>5.4990657881797619E-2</v>
      </c>
      <c r="J20" s="7">
        <v>312020</v>
      </c>
      <c r="K20" s="11">
        <f t="shared" si="13"/>
        <v>92.768394169047667</v>
      </c>
      <c r="L20" s="11">
        <f>K20-93.3498</f>
        <v>-0.58140583095233467</v>
      </c>
      <c r="M20" s="11">
        <v>91.65</v>
      </c>
      <c r="N20" s="11">
        <f t="shared" si="14"/>
        <v>1.1183941690476615</v>
      </c>
      <c r="O20" s="11">
        <f>IFERROR(12520050/50845,0)</f>
        <v>246.23955157832629</v>
      </c>
      <c r="P20" s="11">
        <v>250</v>
      </c>
      <c r="Q20" s="11">
        <f t="shared" si="15"/>
        <v>-3.7604484216737148</v>
      </c>
      <c r="R20" s="7">
        <v>38916</v>
      </c>
      <c r="S20" s="11">
        <f t="shared" si="16"/>
        <v>115.70331477093325</v>
      </c>
      <c r="T20" s="13">
        <f t="shared" si="17"/>
        <v>8.017781889197245</v>
      </c>
      <c r="U20" s="7">
        <v>67800</v>
      </c>
      <c r="V20" s="11">
        <f t="shared" si="18"/>
        <v>201.57993476897096</v>
      </c>
      <c r="W20" s="11">
        <f t="shared" si="19"/>
        <v>1.742213999383287</v>
      </c>
      <c r="X20" s="11">
        <v>302.5528571429</v>
      </c>
      <c r="Y20" s="11">
        <f t="shared" si="20"/>
        <v>124.72277418114226</v>
      </c>
      <c r="Z20" s="11">
        <f t="shared" si="21"/>
        <v>37.735231679293314</v>
      </c>
      <c r="AA20" s="7">
        <v>1670</v>
      </c>
      <c r="AB20" s="15">
        <f>IFERROR(AA20/1725,0)</f>
        <v>0.96811594202898554</v>
      </c>
      <c r="AC20" s="11">
        <v>0</v>
      </c>
      <c r="AD20" s="15">
        <f>IFERROR(AC20/63.15,0)</f>
        <v>0</v>
      </c>
      <c r="AE20" s="11">
        <v>18</v>
      </c>
      <c r="AF20" s="11">
        <v>26</v>
      </c>
      <c r="AG20" s="7">
        <f t="shared" si="22"/>
        <v>3761.6404999999763</v>
      </c>
      <c r="AH20" s="7">
        <v>26</v>
      </c>
      <c r="AI20" s="7">
        <v>23.8461538462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IFERROR(1400/F20,0)</f>
        <v>2.9136922724718517E-2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65</v>
      </c>
      <c r="B21" s="5">
        <v>26</v>
      </c>
      <c r="C21" s="7"/>
      <c r="D21" s="7">
        <v>7</v>
      </c>
      <c r="E21" s="7">
        <v>21024</v>
      </c>
      <c r="F21" s="7">
        <v>20556</v>
      </c>
      <c r="G21" s="7">
        <v>28</v>
      </c>
      <c r="H21" s="9">
        <f t="shared" si="12"/>
        <v>1.3621327106440942E-3</v>
      </c>
      <c r="I21" s="9">
        <f>IFERROR((21024-F21)/21024,0)</f>
        <v>2.2260273972602738E-2</v>
      </c>
      <c r="J21" s="7">
        <v>90690</v>
      </c>
      <c r="K21" s="11">
        <f t="shared" si="13"/>
        <v>63.026436494037199</v>
      </c>
      <c r="L21" s="11">
        <f>K21-62.6492</f>
        <v>0.37723649403719861</v>
      </c>
      <c r="M21" s="11">
        <v>95</v>
      </c>
      <c r="N21" s="11">
        <f t="shared" si="14"/>
        <v>-31.973563505962801</v>
      </c>
      <c r="O21" s="11">
        <f>IFERROR(474840/21024,0)</f>
        <v>22.585616438356166</v>
      </c>
      <c r="P21" s="11">
        <v>45</v>
      </c>
      <c r="Q21" s="11">
        <f t="shared" si="15"/>
        <v>-22.414383561643834</v>
      </c>
      <c r="R21" s="7">
        <v>17710</v>
      </c>
      <c r="S21" s="11">
        <f t="shared" si="16"/>
        <v>123.07841992605566</v>
      </c>
      <c r="T21" s="13">
        <f t="shared" si="17"/>
        <v>5.120835686053077</v>
      </c>
      <c r="U21" s="7">
        <v>17700</v>
      </c>
      <c r="V21" s="11">
        <f t="shared" si="18"/>
        <v>123.00892335918604</v>
      </c>
      <c r="W21" s="11">
        <f t="shared" si="19"/>
        <v>0.99943534726143402</v>
      </c>
      <c r="X21" s="11">
        <v>289.03571428570001</v>
      </c>
      <c r="Y21" s="11">
        <f t="shared" si="20"/>
        <v>195.28062630940565</v>
      </c>
      <c r="Z21" s="11">
        <f t="shared" si="21"/>
        <v>56.443075311497921</v>
      </c>
      <c r="AA21" s="7">
        <v>1650</v>
      </c>
      <c r="AB21" s="15">
        <f>IFERROR(AA21/1860,0)</f>
        <v>0.88709677419354838</v>
      </c>
      <c r="AC21" s="11">
        <v>0</v>
      </c>
      <c r="AD21" s="15">
        <f>IFERROR(AC21/58.5,0)</f>
        <v>0</v>
      </c>
      <c r="AE21" s="11">
        <v>17</v>
      </c>
      <c r="AF21" s="11">
        <v>26</v>
      </c>
      <c r="AG21" s="7">
        <f t="shared" si="22"/>
        <v>-46007.399999999987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50</v>
      </c>
      <c r="C22" s="7"/>
      <c r="D22" s="7">
        <v>7</v>
      </c>
      <c r="E22" s="7">
        <v>21875</v>
      </c>
      <c r="F22" s="7">
        <v>20868</v>
      </c>
      <c r="G22" s="7">
        <v>25</v>
      </c>
      <c r="H22" s="9">
        <f t="shared" si="12"/>
        <v>1.1980065171554534E-3</v>
      </c>
      <c r="I22" s="9">
        <f>IFERROR((21875-F22)/21875,0)</f>
        <v>4.6034285714285715E-2</v>
      </c>
      <c r="J22" s="7">
        <v>133200</v>
      </c>
      <c r="K22" s="11">
        <f t="shared" si="13"/>
        <v>91.1854103343465</v>
      </c>
      <c r="L22" s="11">
        <f>K22-93.0455</f>
        <v>-1.8600896656535042</v>
      </c>
      <c r="M22" s="11">
        <v>88.5</v>
      </c>
      <c r="N22" s="11">
        <f t="shared" si="14"/>
        <v>2.6854103343464999</v>
      </c>
      <c r="O22" s="11">
        <f>IFERROR(4311870/21875,0)</f>
        <v>197.11405714285715</v>
      </c>
      <c r="P22" s="11">
        <v>198</v>
      </c>
      <c r="Q22" s="11">
        <f t="shared" si="15"/>
        <v>-0.88594285714285093</v>
      </c>
      <c r="R22" s="7">
        <v>16450</v>
      </c>
      <c r="S22" s="11">
        <f t="shared" si="16"/>
        <v>112.61261261261261</v>
      </c>
      <c r="T22" s="13">
        <f t="shared" si="17"/>
        <v>8.0972644376899687</v>
      </c>
      <c r="U22" s="7">
        <v>30332</v>
      </c>
      <c r="V22" s="11">
        <f t="shared" si="18"/>
        <v>207.64533530490976</v>
      </c>
      <c r="W22" s="11">
        <f t="shared" si="19"/>
        <v>1.8438905775075989</v>
      </c>
      <c r="X22" s="11">
        <v>287.65285714290002</v>
      </c>
      <c r="Y22" s="11">
        <f t="shared" si="20"/>
        <v>123.49849849849849</v>
      </c>
      <c r="Z22" s="11">
        <f t="shared" si="21"/>
        <v>35.524695945951237</v>
      </c>
      <c r="AA22" s="7">
        <v>2056</v>
      </c>
      <c r="AB22" s="15">
        <f>IFERROR(AA22/1950,0)</f>
        <v>1.0543589743589743</v>
      </c>
      <c r="AC22" s="11">
        <v>0</v>
      </c>
      <c r="AD22" s="15">
        <f>IFERROR(AC22/63.4,0)</f>
        <v>0</v>
      </c>
      <c r="AE22" s="11">
        <v>18</v>
      </c>
      <c r="AF22" s="11">
        <v>25</v>
      </c>
      <c r="AG22" s="7">
        <f t="shared" si="22"/>
        <v>3922.7399999999934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IFERROR(595/F22,0)</f>
        <v>2.8512555108299788E-2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67</v>
      </c>
      <c r="B23" s="5">
        <v>109</v>
      </c>
      <c r="C23" s="7">
        <v>42</v>
      </c>
      <c r="D23" s="7">
        <v>7</v>
      </c>
      <c r="E23" s="7">
        <v>51833</v>
      </c>
      <c r="F23" s="7">
        <v>38750</v>
      </c>
      <c r="G23" s="7">
        <v>244</v>
      </c>
      <c r="H23" s="9">
        <f t="shared" si="12"/>
        <v>6.2967741935483872E-3</v>
      </c>
      <c r="I23" s="9">
        <f>IFERROR((51833-F23)/51833,0)</f>
        <v>0.25240676788918259</v>
      </c>
      <c r="J23" s="7">
        <v>144880</v>
      </c>
      <c r="K23" s="11">
        <f t="shared" si="13"/>
        <v>53.411981566820273</v>
      </c>
      <c r="L23" s="11">
        <f>K23-57.9063</f>
        <v>-4.4943184331797283</v>
      </c>
      <c r="M23" s="11">
        <v>69</v>
      </c>
      <c r="N23" s="11">
        <f t="shared" si="14"/>
        <v>-15.588018433179727</v>
      </c>
      <c r="O23" s="11">
        <f>IFERROR(21750888/51833,0)</f>
        <v>419.63397835355852</v>
      </c>
      <c r="P23" s="11">
        <v>0</v>
      </c>
      <c r="Q23" s="11">
        <f t="shared" si="15"/>
        <v>419.63397835355852</v>
      </c>
      <c r="R23" s="7">
        <v>32446</v>
      </c>
      <c r="S23" s="11">
        <f t="shared" si="16"/>
        <v>119.61658986175115</v>
      </c>
      <c r="T23" s="13">
        <f t="shared" si="17"/>
        <v>4.4652653639893973</v>
      </c>
      <c r="U23" s="7">
        <v>55613</v>
      </c>
      <c r="V23" s="11">
        <f t="shared" si="18"/>
        <v>205.02488479262669</v>
      </c>
      <c r="W23" s="11">
        <f t="shared" si="19"/>
        <v>1.7140171361647041</v>
      </c>
      <c r="X23" s="11">
        <v>286.76857142860001</v>
      </c>
      <c r="Y23" s="11">
        <f t="shared" si="20"/>
        <v>223.95085588072888</v>
      </c>
      <c r="Z23" s="11">
        <f t="shared" si="21"/>
        <v>64.222067011128914</v>
      </c>
      <c r="AA23" s="7">
        <v>1650</v>
      </c>
      <c r="AB23" s="15">
        <f>IFERROR(AA23/0,0)</f>
        <v>0</v>
      </c>
      <c r="AC23" s="11">
        <v>0</v>
      </c>
      <c r="AD23" s="15">
        <f>IFERROR(AC23/0,0)</f>
        <v>0</v>
      </c>
      <c r="AE23" s="11">
        <v>17</v>
      </c>
      <c r="AF23" s="11">
        <v>26</v>
      </c>
      <c r="AG23" s="7">
        <f t="shared" si="22"/>
        <v>-42282.500000000007</v>
      </c>
      <c r="AH23" s="7">
        <v>22</v>
      </c>
      <c r="AI23" s="7">
        <v>15.4545454545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IFERROR(1400/F23,0)</f>
        <v>3.612903225806452E-2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81</v>
      </c>
      <c r="B24" s="5">
        <v>101</v>
      </c>
      <c r="C24" s="7">
        <v>41</v>
      </c>
      <c r="D24" s="7">
        <v>7</v>
      </c>
      <c r="E24" s="7">
        <v>21623</v>
      </c>
      <c r="F24" s="7">
        <v>17545</v>
      </c>
      <c r="G24" s="7">
        <v>69</v>
      </c>
      <c r="H24" s="9">
        <f t="shared" si="12"/>
        <v>3.932744371615845E-3</v>
      </c>
      <c r="I24" s="9">
        <f>IFERROR((21623-F24)/21623,0)</f>
        <v>0.18859547703833882</v>
      </c>
      <c r="J24" s="7">
        <v>76860</v>
      </c>
      <c r="K24" s="11">
        <f t="shared" si="13"/>
        <v>62.581932174408664</v>
      </c>
      <c r="L24" s="11">
        <f>K24-65.5728</f>
        <v>-2.9908678255913372</v>
      </c>
      <c r="M24" s="11">
        <v>68</v>
      </c>
      <c r="N24" s="11">
        <f t="shared" si="14"/>
        <v>-5.4180678255913364</v>
      </c>
      <c r="O24" s="11">
        <f>IFERROR(9284555/21623,0)</f>
        <v>429.38329556490771</v>
      </c>
      <c r="P24" s="11">
        <v>0</v>
      </c>
      <c r="Q24" s="11">
        <f t="shared" si="15"/>
        <v>429.38329556490771</v>
      </c>
      <c r="R24" s="7">
        <v>14884</v>
      </c>
      <c r="S24" s="11">
        <f t="shared" si="16"/>
        <v>121.19040833774376</v>
      </c>
      <c r="T24" s="13">
        <f t="shared" si="17"/>
        <v>5.1639344262295079</v>
      </c>
      <c r="U24" s="7">
        <v>27806</v>
      </c>
      <c r="V24" s="11">
        <f t="shared" si="18"/>
        <v>226.40556935227781</v>
      </c>
      <c r="W24" s="11">
        <f t="shared" si="19"/>
        <v>1.8681805966138134</v>
      </c>
      <c r="X24" s="11">
        <v>279.34571428570001</v>
      </c>
      <c r="Y24" s="11">
        <f t="shared" si="20"/>
        <v>193.65079365079362</v>
      </c>
      <c r="Z24" s="11">
        <f t="shared" si="21"/>
        <v>54.095519274373643</v>
      </c>
      <c r="AA24" s="7">
        <v>2850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17</v>
      </c>
      <c r="AF24" s="11">
        <v>26</v>
      </c>
      <c r="AG24" s="7">
        <f t="shared" si="22"/>
        <v>-6654.1999999999989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IFERROR(560/F24,0)</f>
        <v>3.1917925334853235E-2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68</v>
      </c>
      <c r="B25" s="5">
        <v>40</v>
      </c>
      <c r="C25" s="7"/>
      <c r="D25" s="7">
        <v>7</v>
      </c>
      <c r="E25" s="7">
        <v>21339</v>
      </c>
      <c r="F25" s="7">
        <v>20725</v>
      </c>
      <c r="G25" s="7">
        <v>24</v>
      </c>
      <c r="H25" s="9">
        <f t="shared" si="12"/>
        <v>1.158021712907117E-3</v>
      </c>
      <c r="I25" s="9">
        <f>IFERROR((21339-F25)/21339,0)</f>
        <v>2.8773607010637799E-2</v>
      </c>
      <c r="J25" s="7">
        <v>128700</v>
      </c>
      <c r="K25" s="11">
        <f t="shared" si="13"/>
        <v>88.712734792348797</v>
      </c>
      <c r="L25" s="11">
        <f>K25-90.4897</f>
        <v>-1.7769652076512017</v>
      </c>
      <c r="M25" s="11">
        <v>92.5</v>
      </c>
      <c r="N25" s="11">
        <f t="shared" si="14"/>
        <v>-3.7872652076512026</v>
      </c>
      <c r="O25" s="11">
        <f>IFERROR(2745960/21339,0)</f>
        <v>128.68269365949669</v>
      </c>
      <c r="P25" s="11">
        <v>136</v>
      </c>
      <c r="Q25" s="11">
        <f t="shared" si="15"/>
        <v>-7.3173063405033076</v>
      </c>
      <c r="R25" s="7">
        <v>17980</v>
      </c>
      <c r="S25" s="11">
        <f t="shared" si="16"/>
        <v>123.93589522660692</v>
      </c>
      <c r="T25" s="13">
        <f t="shared" si="17"/>
        <v>7.1579532814238043</v>
      </c>
      <c r="U25" s="7">
        <v>35242</v>
      </c>
      <c r="V25" s="11">
        <f t="shared" si="18"/>
        <v>242.9226262278132</v>
      </c>
      <c r="W25" s="11">
        <f t="shared" si="19"/>
        <v>1.9600667408231369</v>
      </c>
      <c r="X25" s="11">
        <v>276.21571428570002</v>
      </c>
      <c r="Y25" s="11">
        <f t="shared" si="20"/>
        <v>139.70473970473967</v>
      </c>
      <c r="Z25" s="11">
        <f t="shared" si="21"/>
        <v>38.588644466642464</v>
      </c>
      <c r="AA25" s="7">
        <v>2000</v>
      </c>
      <c r="AB25" s="15">
        <f>IFERROR(AA25/1930,0)</f>
        <v>1.0362694300518134</v>
      </c>
      <c r="AC25" s="11">
        <v>0</v>
      </c>
      <c r="AD25" s="15">
        <f>IFERROR(AC25/62.3,0)</f>
        <v>0</v>
      </c>
      <c r="AE25" s="11">
        <v>17</v>
      </c>
      <c r="AF25" s="11">
        <v>25</v>
      </c>
      <c r="AG25" s="7">
        <f t="shared" si="22"/>
        <v>-5494.3749999999818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IFERROR(490/F25,0)</f>
        <v>2.3642943305186973E-2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69</v>
      </c>
      <c r="B26" s="5">
        <v>27</v>
      </c>
      <c r="C26" s="7"/>
      <c r="D26" s="7">
        <v>7</v>
      </c>
      <c r="E26" s="7">
        <v>64976</v>
      </c>
      <c r="F26" s="7">
        <v>63997</v>
      </c>
      <c r="G26" s="7">
        <v>123</v>
      </c>
      <c r="H26" s="9">
        <f t="shared" si="12"/>
        <v>1.9219650921136928E-3</v>
      </c>
      <c r="I26" s="9">
        <f>IFERROR((64976-F26)/64976,0)</f>
        <v>1.5067101699088894E-2</v>
      </c>
      <c r="J26" s="7">
        <v>433740</v>
      </c>
      <c r="K26" s="11">
        <f t="shared" si="13"/>
        <v>96.821502793657743</v>
      </c>
      <c r="L26" s="11">
        <f>K26-92.0729</f>
        <v>4.7486027936577386</v>
      </c>
      <c r="M26" s="11">
        <v>95.5</v>
      </c>
      <c r="N26" s="11">
        <f t="shared" si="14"/>
        <v>1.3215027936577428</v>
      </c>
      <c r="O26" s="11">
        <f>IFERROR(3156980/64976,0)</f>
        <v>48.586862841664612</v>
      </c>
      <c r="P26" s="11">
        <v>47</v>
      </c>
      <c r="Q26" s="11">
        <f t="shared" si="15"/>
        <v>1.5868628416646118</v>
      </c>
      <c r="R26" s="7">
        <v>45650</v>
      </c>
      <c r="S26" s="11">
        <f t="shared" si="16"/>
        <v>101.90209808941937</v>
      </c>
      <c r="T26" s="13">
        <f t="shared" si="17"/>
        <v>9.5014238773274915</v>
      </c>
      <c r="U26" s="7">
        <v>101270</v>
      </c>
      <c r="V26" s="11">
        <f t="shared" si="18"/>
        <v>226.05970369146769</v>
      </c>
      <c r="W26" s="11">
        <f t="shared" si="19"/>
        <v>2.2184008762322018</v>
      </c>
      <c r="X26" s="11">
        <v>296.06714285710001</v>
      </c>
      <c r="Y26" s="11">
        <f t="shared" si="20"/>
        <v>105.24738322497346</v>
      </c>
      <c r="Z26" s="11">
        <f t="shared" si="21"/>
        <v>31.160292044604169</v>
      </c>
      <c r="AA26" s="7">
        <v>1551</v>
      </c>
      <c r="AB26" s="15">
        <f>IFERROR(AA26/1515,0)</f>
        <v>1.0237623762376238</v>
      </c>
      <c r="AC26" s="11">
        <v>0</v>
      </c>
      <c r="AD26" s="15">
        <f>IFERROR(AC26/55.5,0)</f>
        <v>0</v>
      </c>
      <c r="AE26" s="11">
        <v>22</v>
      </c>
      <c r="AF26" s="11">
        <v>26</v>
      </c>
      <c r="AG26" s="7">
        <f t="shared" si="22"/>
        <v>5920.0550000000194</v>
      </c>
      <c r="AH26" s="7">
        <v>18</v>
      </c>
      <c r="AI26" s="7">
        <v>20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ht="15" thickBot="1" x14ac:dyDescent="0.35">
      <c r="A27" s="5" t="s">
        <v>70</v>
      </c>
      <c r="B27" s="5">
        <v>98</v>
      </c>
      <c r="C27" s="7">
        <v>26</v>
      </c>
      <c r="D27" s="7">
        <v>7</v>
      </c>
      <c r="E27" s="7">
        <v>47224</v>
      </c>
      <c r="F27" s="7">
        <v>36346</v>
      </c>
      <c r="G27" s="7">
        <v>122</v>
      </c>
      <c r="H27" s="9">
        <f t="shared" si="12"/>
        <v>3.3566279645628129E-3</v>
      </c>
      <c r="I27" s="9">
        <f>IFERROR((47224-F27)/47224,0)</f>
        <v>0.23034897509740809</v>
      </c>
      <c r="J27" s="7">
        <v>164560</v>
      </c>
      <c r="K27" s="11">
        <f t="shared" si="13"/>
        <v>64.679941200053449</v>
      </c>
      <c r="L27" s="11">
        <f>K27-65.3175</f>
        <v>-0.63755879994654663</v>
      </c>
      <c r="M27" s="11">
        <v>74</v>
      </c>
      <c r="N27" s="11">
        <f t="shared" si="14"/>
        <v>-9.3200587999465512</v>
      </c>
      <c r="O27" s="11">
        <f>IFERROR(17448970/47224,0)</f>
        <v>369.49368964933086</v>
      </c>
      <c r="P27" s="11">
        <v>0</v>
      </c>
      <c r="Q27" s="11">
        <f t="shared" si="15"/>
        <v>369.49368964933086</v>
      </c>
      <c r="R27" s="7">
        <v>30100</v>
      </c>
      <c r="S27" s="11">
        <f t="shared" si="16"/>
        <v>118.30737907885324</v>
      </c>
      <c r="T27" s="13">
        <f t="shared" si="17"/>
        <v>5.4671096345514947</v>
      </c>
      <c r="U27" s="7">
        <v>50200</v>
      </c>
      <c r="V27" s="11">
        <f t="shared" si="18"/>
        <v>197.30998105509744</v>
      </c>
      <c r="W27" s="11">
        <f t="shared" si="19"/>
        <v>1.6677740863787376</v>
      </c>
      <c r="X27" s="11">
        <v>290.89285714290003</v>
      </c>
      <c r="Y27" s="11">
        <f t="shared" si="20"/>
        <v>182.91200777831796</v>
      </c>
      <c r="Z27" s="11">
        <f t="shared" si="21"/>
        <v>53.207796548379264</v>
      </c>
      <c r="AA27" s="7">
        <v>1564</v>
      </c>
      <c r="AB27" s="15">
        <f>IFERROR(AA27/1580,0)</f>
        <v>0.98987341772151893</v>
      </c>
      <c r="AC27" s="11">
        <v>0</v>
      </c>
      <c r="AD27" s="15">
        <f>IFERROR(AC27/63.7,0)</f>
        <v>0</v>
      </c>
      <c r="AE27" s="11">
        <v>12</v>
      </c>
      <c r="AF27" s="11">
        <v>24</v>
      </c>
      <c r="AG27" s="7">
        <f t="shared" si="22"/>
        <v>-23712.280000000013</v>
      </c>
      <c r="AH27" s="7">
        <v>37</v>
      </c>
      <c r="AI27" s="7">
        <v>6.4864864864999996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IFERROR(840/F27,0)</f>
        <v>2.3111208936334122E-2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16" t="s">
        <v>73</v>
      </c>
      <c r="B28" s="16"/>
      <c r="C28" s="17"/>
      <c r="D28" s="17">
        <f>AVERAGE(D14:D27)</f>
        <v>7</v>
      </c>
      <c r="E28" s="17">
        <f>SUM(E14:E27)</f>
        <v>542887</v>
      </c>
      <c r="F28" s="17">
        <f>SUM(F14:F27)</f>
        <v>482053</v>
      </c>
      <c r="G28" s="17">
        <f>SUM(G14:G27)</f>
        <v>1730</v>
      </c>
      <c r="H28" s="18">
        <f t="shared" si="12"/>
        <v>3.5888169973011265E-3</v>
      </c>
      <c r="I28" s="18"/>
      <c r="J28" s="17">
        <f>SUM(J14:J27)</f>
        <v>2798390</v>
      </c>
      <c r="K28" s="19">
        <f t="shared" si="13"/>
        <v>82.930715087345163</v>
      </c>
      <c r="L28" s="19"/>
      <c r="M28" s="19">
        <f>IFERROR(SUMPRODUCT($F14:$F27,M14:M27)/$F28, 0)</f>
        <v>87.169096551623994</v>
      </c>
      <c r="N28" s="19">
        <f t="shared" si="14"/>
        <v>-4.2383814642788309</v>
      </c>
      <c r="O28" s="19">
        <f>IFERROR(SUMPRODUCT($E14:$E27,O14:O27)/$E28, 0)</f>
        <v>240.78479683617402</v>
      </c>
      <c r="P28" s="19">
        <f>IFERROR(SUMPRODUCT($E14:$E27,P14:P27)/$E28, 0)</f>
        <v>146.67392477624256</v>
      </c>
      <c r="Q28" s="19">
        <f>IFERROR(SUMPRODUCT($E14:$E27,Q14:Q27)/$E28, 0)</f>
        <v>94.110872059931438</v>
      </c>
      <c r="R28" s="17">
        <f>SUM(R14:R27)</f>
        <v>389529</v>
      </c>
      <c r="S28" s="19">
        <f>IFERROR(R28/D28/$F28*1000,0)</f>
        <v>115.43751413226347</v>
      </c>
      <c r="T28" s="20">
        <f t="shared" si="17"/>
        <v>7.1840350782611822</v>
      </c>
      <c r="U28" s="17">
        <f>SUM(U14:U27)</f>
        <v>673541</v>
      </c>
      <c r="V28" s="19">
        <f>IFERROR(U28/D28/$F28*1000,0)</f>
        <v>199.60490414361666</v>
      </c>
      <c r="W28" s="19">
        <f t="shared" si="19"/>
        <v>1.7291164457588519</v>
      </c>
      <c r="X28" s="19">
        <f>IFERROR(SUMPRODUCT(R14:R27,X14:X27)/R28,0)</f>
        <v>293.00629896985856</v>
      </c>
      <c r="Y28" s="19">
        <f>IFERROR(($F28*S28)/($F28*K28)*100,0)</f>
        <v>139.19753858468621</v>
      </c>
      <c r="Z28" s="19">
        <f t="shared" si="21"/>
        <v>40.785755606412991</v>
      </c>
      <c r="AA28" s="17"/>
      <c r="AB28" s="21">
        <f>IFERROR(SUMPRODUCT($F14:$F27,AB14:AB27)/$F28,0)</f>
        <v>0.89883794300394759</v>
      </c>
      <c r="AC28" s="19"/>
      <c r="AD28" s="21">
        <f>AVERAGE(AD14:AD27)</f>
        <v>0</v>
      </c>
      <c r="AE28" s="19"/>
      <c r="AF28" s="19"/>
      <c r="AG28" s="17">
        <f>SUM(AG14:AG27)</f>
        <v>-143018.71500000003</v>
      </c>
      <c r="AH28" s="17">
        <f>SUM(AH14:AH27)</f>
        <v>271</v>
      </c>
      <c r="AI28" s="17">
        <f>IFERROR(SUMPRODUCT(AH14:AH27,AI14:AI27)/AH28, 0)</f>
        <v>13.948339483391884</v>
      </c>
      <c r="AJ28" s="19">
        <f>AVERAGE(AJ14:AJ27)</f>
        <v>0</v>
      </c>
      <c r="AK28" s="19">
        <f>AVERAGE(AK14:AK27)</f>
        <v>0</v>
      </c>
      <c r="AL28" s="19">
        <f>AVERAGE(AL14:AL27)</f>
        <v>0</v>
      </c>
      <c r="AM28" s="19">
        <f>AVERAGE(AM14:AM27)</f>
        <v>0</v>
      </c>
      <c r="AN28" s="19">
        <f>AVERAGE(AN14:AN27)</f>
        <v>0</v>
      </c>
      <c r="AO28" s="20"/>
      <c r="AP28" s="19"/>
      <c r="AQ28" s="17"/>
      <c r="AR28" s="17"/>
      <c r="AS28" s="17"/>
      <c r="AT28" s="17"/>
    </row>
    <row r="29" spans="1:46" ht="15" thickBot="1" x14ac:dyDescent="0.35"/>
    <row r="30" spans="1:46" ht="15" thickBot="1" x14ac:dyDescent="0.35">
      <c r="A30" s="23" t="s">
        <v>74</v>
      </c>
      <c r="B30" s="23"/>
      <c r="C30" s="23"/>
      <c r="D30" s="23">
        <f>IFERROR($F$12/$F30*D$12,0)+IFERROR($F$28/$F30*D$28,0)</f>
        <v>7</v>
      </c>
      <c r="E30" s="23">
        <f>E12+E28</f>
        <v>589092</v>
      </c>
      <c r="F30" s="23">
        <f>F12+F28</f>
        <v>519886</v>
      </c>
      <c r="G30" s="23">
        <f>G12+G28</f>
        <v>1833</v>
      </c>
      <c r="H30" s="24">
        <f>IFERROR(G30/F30,0)</f>
        <v>3.5257729579176974E-3</v>
      </c>
      <c r="I30" s="23"/>
      <c r="J30" s="23">
        <f>J12+J28</f>
        <v>3004850</v>
      </c>
      <c r="K30" s="25">
        <f>IFERROR(J30/D30/F30*100,0)</f>
        <v>82.568925824947343</v>
      </c>
      <c r="L30" s="23"/>
      <c r="M30" s="25">
        <f>IFERROR($F$12/$F30*M$12,0)+IFERROR($F$28/$F30*M$28,0)</f>
        <v>86.767047006459109</v>
      </c>
      <c r="N30" s="25">
        <f>K30-M30</f>
        <v>-4.1981211815117661</v>
      </c>
      <c r="O30" s="23">
        <f>IFERROR($E$12/$E30*O$12,0)+IFERROR($E$28/$E30*O$28,0)</f>
        <v>245.50722467797902</v>
      </c>
      <c r="P30" s="23">
        <f>IFERROR($E$12/$E30*P$12,0)+IFERROR($E$28/$E30*P$28,0)</f>
        <v>138.36439299803763</v>
      </c>
      <c r="Q30" s="23">
        <f>IFERROR($E$12/$E30*Q$12,0)+IFERROR($E$28/$E30*Q$28,0)</f>
        <v>107.14283167994134</v>
      </c>
      <c r="R30" s="23">
        <f>R12+R28</f>
        <v>424037</v>
      </c>
      <c r="S30" s="25">
        <f>IFERROR(R30/D30/$F30*1000,0)</f>
        <v>116.51922591820954</v>
      </c>
      <c r="T30" s="26">
        <f>IFERROR(J30/R30,0)</f>
        <v>7.0862919981039392</v>
      </c>
      <c r="U30" s="23">
        <f>U12+U28</f>
        <v>688661</v>
      </c>
      <c r="V30" s="25">
        <f>IFERROR(U30/D30/$F30*1000,0)</f>
        <v>189.23406834795099</v>
      </c>
      <c r="W30" s="25">
        <f>IFERROR(V30/S30,0)</f>
        <v>1.6240587495902479</v>
      </c>
      <c r="X30" s="25">
        <f>IFERROR($F$12/$F30*X$12,0)+IFERROR($F$28/$F30*X$28,0)</f>
        <v>298.43680137959439</v>
      </c>
      <c r="Y30" s="25">
        <f>IFERROR(($F30*S30)/($F30*K30)*100,0)</f>
        <v>141.11752666522455</v>
      </c>
      <c r="Z30" s="25">
        <f>IFERROR(Y30*X30/1000,0)</f>
        <v>42.114663276569232</v>
      </c>
      <c r="AA30" s="23"/>
      <c r="AB30" s="27"/>
      <c r="AC30" s="23"/>
      <c r="AD30" s="27"/>
      <c r="AE30" s="23"/>
      <c r="AF30" s="23"/>
      <c r="AG30" s="23">
        <f>AG12+AG28</f>
        <v>-152778.11000000002</v>
      </c>
      <c r="AH30" s="23">
        <f>AH12+AH28</f>
        <v>271</v>
      </c>
      <c r="AI30" s="23">
        <f>IFERROR(AH$12/AH30*AI$12,0)+IFERROR(AH$28/AH30*AI$28,0)</f>
        <v>13.948339483391884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2" spans="1:46" x14ac:dyDescent="0.3">
      <c r="A32" s="31" t="s">
        <v>75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x14ac:dyDescent="0.3">
      <c r="A33" s="32"/>
      <c r="B33" s="32" t="s">
        <v>76</v>
      </c>
      <c r="C33" s="32"/>
      <c r="D33" s="32" t="s">
        <v>77</v>
      </c>
      <c r="E33" s="32" t="s">
        <v>78</v>
      </c>
      <c r="F33" s="32" t="s">
        <v>79</v>
      </c>
      <c r="G33" s="32" t="s">
        <v>50</v>
      </c>
      <c r="H33" s="32" t="s">
        <v>51</v>
      </c>
      <c r="I33" s="32" t="s">
        <v>49</v>
      </c>
      <c r="J33" s="32" t="s">
        <v>52</v>
      </c>
      <c r="K33" s="32" t="s">
        <v>53</v>
      </c>
      <c r="L33" s="32" t="s">
        <v>54</v>
      </c>
      <c r="M33" s="32" t="s">
        <v>56</v>
      </c>
      <c r="N33" s="32" t="s">
        <v>65</v>
      </c>
      <c r="O33" s="32" t="s">
        <v>58</v>
      </c>
      <c r="P33" s="32" t="s">
        <v>59</v>
      </c>
      <c r="Q33" s="32" t="s">
        <v>80</v>
      </c>
      <c r="R33" s="32" t="s">
        <v>60</v>
      </c>
      <c r="S33" s="32" t="s">
        <v>69</v>
      </c>
      <c r="T33" s="32" t="s">
        <v>61</v>
      </c>
      <c r="U33" s="32" t="s">
        <v>70</v>
      </c>
      <c r="V33" s="32" t="s">
        <v>71</v>
      </c>
      <c r="W33" s="32" t="s">
        <v>72</v>
      </c>
      <c r="X33" s="32" t="s">
        <v>62</v>
      </c>
      <c r="Y33" s="32" t="s">
        <v>66</v>
      </c>
      <c r="Z33" s="32" t="s">
        <v>67</v>
      </c>
      <c r="AA33" s="32" t="s">
        <v>81</v>
      </c>
      <c r="AB33" s="32" t="s">
        <v>63</v>
      </c>
      <c r="AC33" s="32" t="s">
        <v>68</v>
      </c>
      <c r="AD33" s="32" t="s">
        <v>64</v>
      </c>
    </row>
    <row r="34" spans="1:30" x14ac:dyDescent="0.3">
      <c r="B34" s="4">
        <v>202501</v>
      </c>
      <c r="C34" s="4"/>
      <c r="D34" s="8">
        <v>2.8E-3</v>
      </c>
      <c r="E34" s="8">
        <v>5.1000000000000004E-3</v>
      </c>
      <c r="F34" s="8">
        <v>2.5999999999999999E-3</v>
      </c>
      <c r="G34" s="8">
        <v>7.7999999999999996E-3</v>
      </c>
      <c r="H34" s="8">
        <v>4.4999999999999997E-3</v>
      </c>
      <c r="I34" s="8">
        <v>3.5000000000000001E-3</v>
      </c>
      <c r="J34" s="8">
        <v>3.2000000000000002E-3</v>
      </c>
      <c r="K34" s="8">
        <v>4.7999999999999996E-3</v>
      </c>
      <c r="L34" s="8">
        <v>1.9E-3</v>
      </c>
      <c r="M34" s="8">
        <v>2.3999999999999998E-3</v>
      </c>
      <c r="N34" s="8">
        <v>2E-3</v>
      </c>
      <c r="O34" s="8">
        <v>5.7999999999999996E-3</v>
      </c>
      <c r="P34" s="8">
        <v>2.3999999999999998E-3</v>
      </c>
      <c r="Q34" s="8">
        <v>3.3999999999999998E-3</v>
      </c>
      <c r="R34" s="8">
        <v>1.6999999999999999E-3</v>
      </c>
      <c r="S34" s="8"/>
      <c r="T34" s="8">
        <v>2.5000000000000001E-3</v>
      </c>
      <c r="U34" s="8">
        <v>5.3E-3</v>
      </c>
      <c r="V34" s="8">
        <v>6.3E-3</v>
      </c>
      <c r="W34" s="8">
        <v>2.7000000000000001E-3</v>
      </c>
      <c r="X34" s="8">
        <v>1.5E-3</v>
      </c>
      <c r="Y34" s="8">
        <v>1.4E-3</v>
      </c>
      <c r="Z34" s="8">
        <v>2.8E-3</v>
      </c>
      <c r="AA34" s="8">
        <v>1.6999999999999999E-3</v>
      </c>
      <c r="AB34" s="8"/>
      <c r="AC34" s="8"/>
      <c r="AD34" s="8">
        <v>6.9999999999999999E-4</v>
      </c>
    </row>
    <row r="35" spans="1:30" x14ac:dyDescent="0.3">
      <c r="B35" s="5">
        <v>202502</v>
      </c>
      <c r="C35" s="5"/>
      <c r="D35" s="9">
        <v>2.8999999999999998E-3</v>
      </c>
      <c r="E35" s="9">
        <v>4.4000000000000003E-3</v>
      </c>
      <c r="F35" s="9">
        <v>2.7000000000000001E-3</v>
      </c>
      <c r="G35" s="9">
        <v>6.3E-3</v>
      </c>
      <c r="H35" s="9">
        <v>4.4999999999999997E-3</v>
      </c>
      <c r="I35" s="9">
        <v>4.4000000000000003E-3</v>
      </c>
      <c r="J35" s="9">
        <v>3.2000000000000002E-3</v>
      </c>
      <c r="K35" s="9">
        <v>2.7000000000000001E-3</v>
      </c>
      <c r="L35" s="9">
        <v>2.0999999999999999E-3</v>
      </c>
      <c r="M35" s="9">
        <v>3.3999999999999998E-3</v>
      </c>
      <c r="N35" s="9">
        <v>1.9E-3</v>
      </c>
      <c r="O35" s="9">
        <v>1.32E-2</v>
      </c>
      <c r="P35" s="9">
        <v>2.3999999999999998E-3</v>
      </c>
      <c r="Q35" s="9">
        <v>4.1999999999999997E-3</v>
      </c>
      <c r="R35" s="9">
        <v>1.6999999999999999E-3</v>
      </c>
      <c r="S35" s="9"/>
      <c r="T35" s="9">
        <v>2.5000000000000001E-3</v>
      </c>
      <c r="U35" s="9">
        <v>5.7999999999999996E-3</v>
      </c>
      <c r="V35" s="9">
        <v>3.5999999999999999E-3</v>
      </c>
      <c r="W35" s="9">
        <v>2.3E-3</v>
      </c>
      <c r="X35" s="9">
        <v>1.5E-3</v>
      </c>
      <c r="Y35" s="9">
        <v>1E-3</v>
      </c>
      <c r="Z35" s="9">
        <v>3.0000000000000001E-3</v>
      </c>
      <c r="AA35" s="9">
        <v>1.8E-3</v>
      </c>
      <c r="AB35" s="9"/>
      <c r="AC35" s="9"/>
      <c r="AD35" s="9">
        <v>1E-3</v>
      </c>
    </row>
    <row r="36" spans="1:30" x14ac:dyDescent="0.3">
      <c r="B36" s="5">
        <v>202503</v>
      </c>
      <c r="C36" s="5"/>
      <c r="D36" s="9">
        <v>2.8E-3</v>
      </c>
      <c r="E36" s="9">
        <v>4.8999999999999998E-3</v>
      </c>
      <c r="F36" s="9">
        <v>2.5999999999999999E-3</v>
      </c>
      <c r="G36" s="9">
        <v>5.8999999999999999E-3</v>
      </c>
      <c r="H36" s="9">
        <v>5.8999999999999999E-3</v>
      </c>
      <c r="I36" s="9">
        <v>3.5999999999999999E-3</v>
      </c>
      <c r="J36" s="9">
        <v>3.3999999999999998E-3</v>
      </c>
      <c r="K36" s="9">
        <v>3.2000000000000002E-3</v>
      </c>
      <c r="L36" s="9">
        <v>3.0000000000000001E-3</v>
      </c>
      <c r="M36" s="9">
        <v>2.2000000000000001E-3</v>
      </c>
      <c r="N36" s="9">
        <v>1.6000000000000001E-3</v>
      </c>
      <c r="O36" s="9">
        <v>9.7999999999999997E-3</v>
      </c>
      <c r="P36" s="9">
        <v>2.5000000000000001E-3</v>
      </c>
      <c r="Q36" s="9">
        <v>3.3E-3</v>
      </c>
      <c r="R36" s="9">
        <v>1.8E-3</v>
      </c>
      <c r="S36" s="9"/>
      <c r="T36" s="9">
        <v>2.5000000000000001E-3</v>
      </c>
      <c r="U36" s="9">
        <v>5.4999999999999997E-3</v>
      </c>
      <c r="V36" s="9">
        <v>3.5000000000000001E-3</v>
      </c>
      <c r="W36" s="9">
        <v>2.5000000000000001E-3</v>
      </c>
      <c r="X36" s="9">
        <v>1.6999999999999999E-3</v>
      </c>
      <c r="Y36" s="9">
        <v>6.9999999999999999E-4</v>
      </c>
      <c r="Z36" s="9">
        <v>2.8E-3</v>
      </c>
      <c r="AA36" s="9">
        <v>1.4E-3</v>
      </c>
      <c r="AB36" s="9"/>
      <c r="AC36" s="9"/>
      <c r="AD36" s="9">
        <v>1.6000000000000001E-3</v>
      </c>
    </row>
    <row r="37" spans="1:30" x14ac:dyDescent="0.3">
      <c r="B37" s="5">
        <v>202504</v>
      </c>
      <c r="C37" s="5"/>
      <c r="D37" s="9">
        <v>2.5999999999999999E-3</v>
      </c>
      <c r="E37" s="9">
        <v>5.1000000000000004E-3</v>
      </c>
      <c r="F37" s="9">
        <v>2.3999999999999998E-3</v>
      </c>
      <c r="G37" s="9">
        <v>5.8999999999999999E-3</v>
      </c>
      <c r="H37" s="9">
        <v>5.7999999999999996E-3</v>
      </c>
      <c r="I37" s="9">
        <v>6.3E-3</v>
      </c>
      <c r="J37" s="9">
        <v>5.0000000000000001E-3</v>
      </c>
      <c r="K37" s="9">
        <v>4.1000000000000003E-3</v>
      </c>
      <c r="L37" s="9">
        <v>1.9E-3</v>
      </c>
      <c r="M37" s="9">
        <v>2.3999999999999998E-3</v>
      </c>
      <c r="N37" s="9">
        <v>2.2000000000000001E-3</v>
      </c>
      <c r="O37" s="9">
        <v>7.3000000000000001E-3</v>
      </c>
      <c r="P37" s="9">
        <v>2.5000000000000001E-3</v>
      </c>
      <c r="Q37" s="9">
        <v>4.1000000000000003E-3</v>
      </c>
      <c r="R37" s="9">
        <v>1.6999999999999999E-3</v>
      </c>
      <c r="S37" s="9"/>
      <c r="T37" s="9">
        <v>2.5999999999999999E-3</v>
      </c>
      <c r="U37" s="9">
        <v>3.2000000000000002E-3</v>
      </c>
      <c r="V37" s="9">
        <v>3.7000000000000002E-3</v>
      </c>
      <c r="W37" s="9">
        <v>2.5000000000000001E-3</v>
      </c>
      <c r="X37" s="9">
        <v>1.6000000000000001E-3</v>
      </c>
      <c r="Y37" s="9">
        <v>8.9999999999999998E-4</v>
      </c>
      <c r="Z37" s="9">
        <v>3.5000000000000001E-3</v>
      </c>
      <c r="AA37" s="9">
        <v>1.6000000000000001E-3</v>
      </c>
      <c r="AB37" s="9"/>
      <c r="AC37" s="9"/>
      <c r="AD37" s="9">
        <v>8.9999999999999998E-4</v>
      </c>
    </row>
    <row r="38" spans="1:30" x14ac:dyDescent="0.3">
      <c r="B38" s="5">
        <v>202505</v>
      </c>
      <c r="C38" s="5"/>
      <c r="D38" s="9">
        <v>2.5999999999999999E-3</v>
      </c>
      <c r="E38" s="9">
        <v>4.1000000000000003E-3</v>
      </c>
      <c r="F38" s="9">
        <v>2.5000000000000001E-3</v>
      </c>
      <c r="G38" s="9">
        <v>5.3E-3</v>
      </c>
      <c r="H38" s="9">
        <v>4.7000000000000002E-3</v>
      </c>
      <c r="I38" s="9">
        <v>2.7000000000000001E-3</v>
      </c>
      <c r="J38" s="9">
        <v>1.6000000000000001E-3</v>
      </c>
      <c r="K38" s="9">
        <v>3.0000000000000001E-3</v>
      </c>
      <c r="L38" s="9">
        <v>2.8E-3</v>
      </c>
      <c r="M38" s="9">
        <v>2.5000000000000001E-3</v>
      </c>
      <c r="N38" s="9">
        <v>2.7000000000000001E-3</v>
      </c>
      <c r="O38" s="9">
        <v>4.5999999999999999E-3</v>
      </c>
      <c r="P38" s="9">
        <v>4.1000000000000003E-3</v>
      </c>
      <c r="Q38" s="9">
        <v>4.1000000000000003E-3</v>
      </c>
      <c r="R38" s="9">
        <v>1.6999999999999999E-3</v>
      </c>
      <c r="S38" s="9"/>
      <c r="T38" s="9">
        <v>2.3E-3</v>
      </c>
      <c r="U38" s="9">
        <v>2.2000000000000001E-3</v>
      </c>
      <c r="V38" s="9">
        <v>4.4000000000000003E-3</v>
      </c>
      <c r="W38" s="9">
        <v>2.3E-3</v>
      </c>
      <c r="X38" s="9">
        <v>1.6000000000000001E-3</v>
      </c>
      <c r="Y38" s="9">
        <v>8.9999999999999998E-4</v>
      </c>
      <c r="Z38" s="9">
        <v>3.0999999999999999E-3</v>
      </c>
      <c r="AA38" s="9">
        <v>1.5E-3</v>
      </c>
      <c r="AB38" s="9"/>
      <c r="AC38" s="9"/>
      <c r="AD38" s="9">
        <v>8.9999999999999998E-4</v>
      </c>
    </row>
    <row r="39" spans="1:30" x14ac:dyDescent="0.3">
      <c r="B39" s="5">
        <v>202506</v>
      </c>
      <c r="C39" s="5"/>
      <c r="D39" s="9">
        <v>1.9E-3</v>
      </c>
      <c r="E39" s="9">
        <v>4.4999999999999997E-3</v>
      </c>
      <c r="F39" s="9">
        <v>1.6999999999999999E-3</v>
      </c>
      <c r="G39" s="9">
        <v>5.8999999999999999E-3</v>
      </c>
      <c r="H39" s="9">
        <v>5.4000000000000003E-3</v>
      </c>
      <c r="I39" s="9">
        <v>4.4999999999999997E-3</v>
      </c>
      <c r="J39" s="9">
        <v>2.5000000000000001E-3</v>
      </c>
      <c r="K39" s="9">
        <v>3.0000000000000001E-3</v>
      </c>
      <c r="L39" s="9">
        <v>1.2999999999999999E-3</v>
      </c>
      <c r="M39" s="9">
        <v>3.7000000000000002E-3</v>
      </c>
      <c r="N39" s="9">
        <v>2.5000000000000001E-3</v>
      </c>
      <c r="O39" s="9">
        <v>4.0000000000000001E-3</v>
      </c>
      <c r="P39" s="9">
        <v>2.7000000000000001E-3</v>
      </c>
      <c r="Q39" s="9">
        <v>3.8E-3</v>
      </c>
      <c r="R39" s="9">
        <v>1.5E-3</v>
      </c>
      <c r="S39" s="9"/>
      <c r="T39" s="9">
        <v>1.6999999999999999E-3</v>
      </c>
      <c r="U39" s="9">
        <v>3.0000000000000001E-3</v>
      </c>
      <c r="V39" s="9">
        <v>3.5999999999999999E-3</v>
      </c>
      <c r="W39" s="9">
        <v>1.8E-3</v>
      </c>
      <c r="X39" s="9">
        <v>8.9999999999999998E-4</v>
      </c>
      <c r="Y39" s="9">
        <v>5.9999999999999995E-4</v>
      </c>
      <c r="Z39" s="9">
        <v>1.6999999999999999E-3</v>
      </c>
      <c r="AA39" s="9">
        <v>1E-3</v>
      </c>
      <c r="AB39" s="9">
        <v>0</v>
      </c>
      <c r="AC39" s="9">
        <v>0</v>
      </c>
      <c r="AD39" s="9">
        <v>5.0000000000000001E-4</v>
      </c>
    </row>
    <row r="40" spans="1:30" x14ac:dyDescent="0.3">
      <c r="B40" s="5">
        <v>202507</v>
      </c>
      <c r="C40" s="5"/>
      <c r="D40" s="9">
        <v>2.3999999999999998E-3</v>
      </c>
      <c r="E40" s="9">
        <v>4.5999999999999999E-3</v>
      </c>
      <c r="F40" s="9">
        <v>2.2000000000000001E-3</v>
      </c>
      <c r="G40" s="9">
        <v>5.7999999999999996E-3</v>
      </c>
      <c r="H40" s="9">
        <v>4.3E-3</v>
      </c>
      <c r="I40" s="9">
        <v>4.4999999999999997E-3</v>
      </c>
      <c r="J40" s="9">
        <v>2.5000000000000001E-3</v>
      </c>
      <c r="K40" s="9">
        <v>5.1000000000000004E-3</v>
      </c>
      <c r="L40" s="9">
        <v>3.8E-3</v>
      </c>
      <c r="M40" s="9">
        <v>8.0999999999999996E-3</v>
      </c>
      <c r="N40" s="9">
        <v>2.8E-3</v>
      </c>
      <c r="O40" s="9">
        <v>4.4999999999999997E-3</v>
      </c>
      <c r="P40" s="9">
        <v>2E-3</v>
      </c>
      <c r="Q40" s="9">
        <v>4.8999999999999998E-3</v>
      </c>
      <c r="R40" s="9">
        <v>1.4E-3</v>
      </c>
      <c r="S40" s="9"/>
      <c r="T40" s="9">
        <v>1.9E-3</v>
      </c>
      <c r="U40" s="9">
        <v>4.3E-3</v>
      </c>
      <c r="V40" s="9">
        <v>4.1999999999999997E-3</v>
      </c>
      <c r="W40" s="9">
        <v>4.4000000000000003E-3</v>
      </c>
      <c r="X40" s="9">
        <v>1.1000000000000001E-3</v>
      </c>
      <c r="Y40" s="9">
        <v>5.0000000000000001E-4</v>
      </c>
      <c r="Z40" s="9">
        <v>2.0999999999999999E-3</v>
      </c>
      <c r="AA40" s="9">
        <v>1.1999999999999999E-3</v>
      </c>
      <c r="AB40" s="9">
        <v>8.9999999999999998E-4</v>
      </c>
      <c r="AC40" s="9">
        <v>8.0000000000000004E-4</v>
      </c>
      <c r="AD40" s="9">
        <v>6.9999999999999999E-4</v>
      </c>
    </row>
    <row r="41" spans="1:30" x14ac:dyDescent="0.3">
      <c r="B41" s="5">
        <v>202508</v>
      </c>
      <c r="C41" s="5"/>
      <c r="D41" s="9">
        <v>2E-3</v>
      </c>
      <c r="E41" s="9">
        <v>4.4000000000000003E-3</v>
      </c>
      <c r="F41" s="9">
        <v>1.8E-3</v>
      </c>
      <c r="G41" s="9">
        <v>6.6E-3</v>
      </c>
      <c r="H41" s="9">
        <v>3.8E-3</v>
      </c>
      <c r="I41" s="9">
        <v>2.7000000000000001E-3</v>
      </c>
      <c r="J41" s="9">
        <v>3.2000000000000002E-3</v>
      </c>
      <c r="K41" s="9">
        <v>4.1999999999999997E-3</v>
      </c>
      <c r="L41" s="9">
        <v>2.0999999999999999E-3</v>
      </c>
      <c r="M41" s="9">
        <v>2.5999999999999999E-3</v>
      </c>
      <c r="N41" s="9">
        <v>2.8999999999999998E-3</v>
      </c>
      <c r="O41" s="9">
        <v>5.1999999999999998E-3</v>
      </c>
      <c r="P41" s="9">
        <v>1.9E-3</v>
      </c>
      <c r="Q41" s="9">
        <v>2.3999999999999998E-3</v>
      </c>
      <c r="R41" s="9">
        <v>1.2999999999999999E-3</v>
      </c>
      <c r="S41" s="9"/>
      <c r="T41" s="9">
        <v>1.9E-3</v>
      </c>
      <c r="U41" s="9">
        <v>3.0999999999999999E-3</v>
      </c>
      <c r="V41" s="9">
        <v>3.2000000000000002E-3</v>
      </c>
      <c r="W41" s="9">
        <v>2.3E-3</v>
      </c>
      <c r="X41" s="9">
        <v>1.1000000000000001E-3</v>
      </c>
      <c r="Y41" s="9">
        <v>5.0000000000000001E-4</v>
      </c>
      <c r="Z41" s="9">
        <v>2.8E-3</v>
      </c>
      <c r="AA41" s="9">
        <v>1.2999999999999999E-3</v>
      </c>
      <c r="AB41" s="9">
        <v>1.1999999999999999E-3</v>
      </c>
      <c r="AC41" s="9">
        <v>6.9999999999999999E-4</v>
      </c>
      <c r="AD41" s="9">
        <v>5.9999999999999995E-4</v>
      </c>
    </row>
    <row r="42" spans="1:30" x14ac:dyDescent="0.3">
      <c r="B42" s="5">
        <v>202509</v>
      </c>
      <c r="C42" s="5"/>
      <c r="D42" s="9">
        <v>3.0000000000000001E-3</v>
      </c>
      <c r="E42" s="9">
        <v>8.8000000000000005E-3</v>
      </c>
      <c r="F42" s="9">
        <v>2.5000000000000001E-3</v>
      </c>
      <c r="G42" s="9">
        <v>1.7299999999999999E-2</v>
      </c>
      <c r="H42" s="9">
        <v>5.7000000000000002E-3</v>
      </c>
      <c r="I42" s="9">
        <v>9.1999999999999998E-3</v>
      </c>
      <c r="J42" s="9">
        <v>5.1000000000000004E-3</v>
      </c>
      <c r="K42" s="9">
        <v>4.4000000000000003E-3</v>
      </c>
      <c r="L42" s="9">
        <v>3.8999999999999998E-3</v>
      </c>
      <c r="M42" s="9">
        <v>2.0999999999999999E-3</v>
      </c>
      <c r="N42" s="9">
        <v>5.1999999999999998E-3</v>
      </c>
      <c r="O42" s="9">
        <v>5.0000000000000001E-3</v>
      </c>
      <c r="P42" s="9">
        <v>2.7000000000000001E-3</v>
      </c>
      <c r="Q42" s="9">
        <v>4.8999999999999998E-3</v>
      </c>
      <c r="R42" s="9">
        <v>2E-3</v>
      </c>
      <c r="S42" s="9"/>
      <c r="T42" s="9">
        <v>2.5000000000000001E-3</v>
      </c>
      <c r="U42" s="9">
        <v>3.0999999999999999E-3</v>
      </c>
      <c r="V42" s="9">
        <v>4.5999999999999999E-3</v>
      </c>
      <c r="W42" s="9">
        <v>2.8E-3</v>
      </c>
      <c r="X42" s="9">
        <v>1.6999999999999999E-3</v>
      </c>
      <c r="Y42" s="9">
        <v>1E-3</v>
      </c>
      <c r="Z42" s="9">
        <v>3.5999999999999999E-3</v>
      </c>
      <c r="AA42" s="9">
        <v>1.6000000000000001E-3</v>
      </c>
      <c r="AB42" s="9">
        <v>2.3E-3</v>
      </c>
      <c r="AC42" s="9">
        <v>1.1999999999999999E-3</v>
      </c>
      <c r="AD42" s="9">
        <v>1.1999999999999999E-3</v>
      </c>
    </row>
    <row r="43" spans="1:30" x14ac:dyDescent="0.3">
      <c r="B43" s="5">
        <v>202510</v>
      </c>
      <c r="C43" s="5"/>
      <c r="D43" s="9">
        <v>2.8E-3</v>
      </c>
      <c r="E43" s="9">
        <v>8.0000000000000002E-3</v>
      </c>
      <c r="F43" s="9">
        <v>2.3999999999999998E-3</v>
      </c>
      <c r="G43" s="9">
        <v>1.47E-2</v>
      </c>
      <c r="H43" s="9">
        <v>7.1000000000000004E-3</v>
      </c>
      <c r="I43" s="9">
        <v>1.12E-2</v>
      </c>
      <c r="J43" s="9">
        <v>2.8E-3</v>
      </c>
      <c r="K43" s="9">
        <v>2.0999999999999999E-3</v>
      </c>
      <c r="L43" s="9">
        <v>3.0000000000000001E-3</v>
      </c>
      <c r="M43" s="9">
        <v>2.5000000000000001E-3</v>
      </c>
      <c r="N43" s="9">
        <v>3.3999999999999998E-3</v>
      </c>
      <c r="O43" s="9">
        <v>5.5999999999999999E-3</v>
      </c>
      <c r="P43" s="9">
        <v>2.8999999999999998E-3</v>
      </c>
      <c r="Q43" s="9">
        <v>4.1999999999999997E-3</v>
      </c>
      <c r="R43" s="9">
        <v>2.3E-3</v>
      </c>
      <c r="S43" s="9"/>
      <c r="T43" s="9">
        <v>2.5000000000000001E-3</v>
      </c>
      <c r="U43" s="9">
        <v>2.5999999999999999E-3</v>
      </c>
      <c r="V43" s="9">
        <v>3.3999999999999998E-3</v>
      </c>
      <c r="W43" s="9">
        <v>2.5000000000000001E-3</v>
      </c>
      <c r="X43" s="9">
        <v>2E-3</v>
      </c>
      <c r="Y43" s="9">
        <v>1E-3</v>
      </c>
      <c r="Z43" s="9">
        <v>3.5000000000000001E-3</v>
      </c>
      <c r="AA43" s="9">
        <v>1.6999999999999999E-3</v>
      </c>
      <c r="AB43" s="9">
        <v>1.6999999999999999E-3</v>
      </c>
      <c r="AC43" s="9">
        <v>1.6000000000000001E-3</v>
      </c>
      <c r="AD43" s="9">
        <v>1.2999999999999999E-3</v>
      </c>
    </row>
    <row r="44" spans="1:30" x14ac:dyDescent="0.3">
      <c r="B44" s="5">
        <v>202511</v>
      </c>
      <c r="C44" s="5"/>
      <c r="D44" s="9">
        <v>2.3E-3</v>
      </c>
      <c r="E44" s="9">
        <v>3.5999999999999999E-3</v>
      </c>
      <c r="F44" s="9">
        <v>2.2000000000000001E-3</v>
      </c>
      <c r="G44" s="9">
        <v>5.0000000000000001E-3</v>
      </c>
      <c r="H44" s="9">
        <v>4.1000000000000003E-3</v>
      </c>
      <c r="I44" s="9">
        <v>6.6E-3</v>
      </c>
      <c r="J44" s="9">
        <v>1.9E-3</v>
      </c>
      <c r="K44" s="9">
        <v>2.0999999999999999E-3</v>
      </c>
      <c r="L44" s="9">
        <v>1.2999999999999999E-3</v>
      </c>
      <c r="M44" s="9">
        <v>2E-3</v>
      </c>
      <c r="N44" s="9">
        <v>2.5999999999999999E-3</v>
      </c>
      <c r="O44" s="9">
        <v>3.5000000000000001E-3</v>
      </c>
      <c r="P44" s="9">
        <v>2.5000000000000001E-3</v>
      </c>
      <c r="Q44" s="9">
        <v>3.5000000000000001E-3</v>
      </c>
      <c r="R44" s="9">
        <v>2.3E-3</v>
      </c>
      <c r="S44" s="9"/>
      <c r="T44" s="9">
        <v>3.0000000000000001E-3</v>
      </c>
      <c r="U44" s="9">
        <v>2.3E-3</v>
      </c>
      <c r="V44" s="9">
        <v>3.0999999999999999E-3</v>
      </c>
      <c r="W44" s="9">
        <v>2.8E-3</v>
      </c>
      <c r="X44" s="9">
        <v>1.9E-3</v>
      </c>
      <c r="Y44" s="9">
        <v>8.9999999999999998E-4</v>
      </c>
      <c r="Z44" s="9">
        <v>3.5000000000000001E-3</v>
      </c>
      <c r="AA44" s="9">
        <v>1.5E-3</v>
      </c>
      <c r="AB44" s="9">
        <v>1.1000000000000001E-3</v>
      </c>
      <c r="AC44" s="9">
        <v>1.1999999999999999E-3</v>
      </c>
      <c r="AD44" s="9">
        <v>1.4E-3</v>
      </c>
    </row>
    <row r="45" spans="1:30" x14ac:dyDescent="0.3">
      <c r="B45" s="5">
        <v>202512</v>
      </c>
      <c r="C45" s="5"/>
      <c r="D45" s="9">
        <v>2.5000000000000001E-3</v>
      </c>
      <c r="E45" s="9">
        <v>3.0999999999999999E-3</v>
      </c>
      <c r="F45" s="9">
        <v>2.3999999999999998E-3</v>
      </c>
      <c r="G45" s="9">
        <v>3.3999999999999998E-3</v>
      </c>
      <c r="H45" s="9">
        <v>3.2000000000000002E-3</v>
      </c>
      <c r="I45" s="9">
        <v>4.7000000000000002E-3</v>
      </c>
      <c r="J45" s="9">
        <v>8.9999999999999998E-4</v>
      </c>
      <c r="K45" s="9">
        <v>4.1999999999999997E-3</v>
      </c>
      <c r="L45" s="9">
        <v>2.5999999999999999E-3</v>
      </c>
      <c r="M45" s="9">
        <v>1.9E-3</v>
      </c>
      <c r="N45" s="9">
        <v>3.2000000000000002E-3</v>
      </c>
      <c r="O45" s="9">
        <v>4.4000000000000003E-3</v>
      </c>
      <c r="P45" s="9">
        <v>3.7000000000000002E-3</v>
      </c>
      <c r="Q45" s="9">
        <v>3.2000000000000002E-3</v>
      </c>
      <c r="R45" s="9">
        <v>2.5999999999999999E-3</v>
      </c>
      <c r="S45" s="9"/>
      <c r="T45" s="9">
        <v>3.3999999999999998E-3</v>
      </c>
      <c r="U45" s="9">
        <v>2.5000000000000001E-3</v>
      </c>
      <c r="V45" s="9">
        <v>3.0999999999999999E-3</v>
      </c>
      <c r="W45" s="9">
        <v>3.2000000000000002E-3</v>
      </c>
      <c r="X45" s="9">
        <v>1.5E-3</v>
      </c>
      <c r="Y45" s="9">
        <v>8.0000000000000004E-4</v>
      </c>
      <c r="Z45" s="9">
        <v>3.8999999999999998E-3</v>
      </c>
      <c r="AA45" s="9">
        <v>3.5999999999999999E-3</v>
      </c>
      <c r="AB45" s="9">
        <v>1.1000000000000001E-3</v>
      </c>
      <c r="AC45" s="9">
        <v>1E-3</v>
      </c>
      <c r="AD45" s="9">
        <v>8.9999999999999998E-4</v>
      </c>
    </row>
    <row r="46" spans="1:30" x14ac:dyDescent="0.3">
      <c r="B46" s="5">
        <v>202513</v>
      </c>
      <c r="C46" s="5"/>
      <c r="D46" s="9">
        <v>2.5000000000000001E-3</v>
      </c>
      <c r="E46" s="9">
        <v>3.0000000000000001E-3</v>
      </c>
      <c r="F46" s="9">
        <v>2.5000000000000001E-3</v>
      </c>
      <c r="G46" s="9">
        <v>3.0000000000000001E-3</v>
      </c>
      <c r="H46" s="9">
        <v>2.8999999999999998E-3</v>
      </c>
      <c r="I46" s="9">
        <v>4.7000000000000002E-3</v>
      </c>
      <c r="J46" s="9">
        <v>2.5999999999999999E-3</v>
      </c>
      <c r="K46" s="9">
        <v>4.4999999999999997E-3</v>
      </c>
      <c r="L46" s="9">
        <v>1.6999999999999999E-3</v>
      </c>
      <c r="M46" s="9">
        <v>2E-3</v>
      </c>
      <c r="N46" s="9">
        <v>3.5999999999999999E-3</v>
      </c>
      <c r="O46" s="9">
        <v>5.3E-3</v>
      </c>
      <c r="P46" s="9">
        <v>2.5000000000000001E-3</v>
      </c>
      <c r="Q46" s="9">
        <v>3.8E-3</v>
      </c>
      <c r="R46" s="9">
        <v>3.0000000000000001E-3</v>
      </c>
      <c r="S46" s="9"/>
      <c r="T46" s="9">
        <v>3.5999999999999999E-3</v>
      </c>
      <c r="U46" s="9">
        <v>2.5000000000000001E-3</v>
      </c>
      <c r="V46" s="9">
        <v>3.5000000000000001E-3</v>
      </c>
      <c r="W46" s="9">
        <v>3.0999999999999999E-3</v>
      </c>
      <c r="X46" s="9">
        <v>2E-3</v>
      </c>
      <c r="Y46" s="9">
        <v>1.1000000000000001E-3</v>
      </c>
      <c r="Z46" s="9">
        <v>3.7000000000000002E-3</v>
      </c>
      <c r="AA46" s="9">
        <v>1.8E-3</v>
      </c>
      <c r="AB46" s="9">
        <v>1.6999999999999999E-3</v>
      </c>
      <c r="AC46" s="9">
        <v>8.9999999999999998E-4</v>
      </c>
      <c r="AD46" s="9">
        <v>1E-3</v>
      </c>
    </row>
    <row r="47" spans="1:30" x14ac:dyDescent="0.3">
      <c r="B47" s="5">
        <v>202514</v>
      </c>
      <c r="C47" s="5"/>
      <c r="D47" s="9">
        <v>2.5999999999999999E-3</v>
      </c>
      <c r="E47" s="9">
        <v>4.1999999999999997E-3</v>
      </c>
      <c r="F47" s="9">
        <v>2.5000000000000001E-3</v>
      </c>
      <c r="G47" s="9">
        <v>4.8999999999999998E-3</v>
      </c>
      <c r="H47" s="9">
        <v>3.2000000000000002E-3</v>
      </c>
      <c r="I47" s="9">
        <v>2.8E-3</v>
      </c>
      <c r="J47" s="9">
        <v>6.1000000000000004E-3</v>
      </c>
      <c r="K47" s="9">
        <v>7.1000000000000004E-3</v>
      </c>
      <c r="L47" s="9">
        <v>8.9999999999999998E-4</v>
      </c>
      <c r="M47" s="9">
        <v>2.0999999999999999E-3</v>
      </c>
      <c r="N47" s="9">
        <v>3.7000000000000002E-3</v>
      </c>
      <c r="O47" s="9">
        <v>3.8999999999999998E-3</v>
      </c>
      <c r="P47" s="9">
        <v>2.5000000000000001E-3</v>
      </c>
      <c r="Q47" s="9">
        <v>-1</v>
      </c>
      <c r="R47" s="9">
        <v>2.8E-3</v>
      </c>
      <c r="S47" s="9"/>
      <c r="T47" s="9">
        <v>3.5999999999999999E-3</v>
      </c>
      <c r="U47" s="9">
        <v>2.0999999999999999E-3</v>
      </c>
      <c r="V47" s="9">
        <v>3.2000000000000002E-3</v>
      </c>
      <c r="W47" s="9">
        <v>3.2000000000000002E-3</v>
      </c>
      <c r="X47" s="9">
        <v>2.3999999999999998E-3</v>
      </c>
      <c r="Y47" s="9">
        <v>1.1999999999999999E-3</v>
      </c>
      <c r="Z47" s="9">
        <v>4.7999999999999996E-3</v>
      </c>
      <c r="AA47" s="9">
        <v>1.6999999999999999E-3</v>
      </c>
      <c r="AB47" s="9">
        <v>1.6999999999999999E-3</v>
      </c>
      <c r="AC47" s="9">
        <v>1.1000000000000001E-3</v>
      </c>
      <c r="AD47" s="9">
        <v>1.1000000000000001E-3</v>
      </c>
    </row>
    <row r="48" spans="1:30" x14ac:dyDescent="0.3">
      <c r="B48" s="5">
        <v>202515</v>
      </c>
      <c r="C48" s="5"/>
      <c r="D48" s="9">
        <v>2.5000000000000001E-3</v>
      </c>
      <c r="E48" s="9">
        <v>3.3E-3</v>
      </c>
      <c r="F48" s="9">
        <v>2.3999999999999998E-3</v>
      </c>
      <c r="G48" s="9">
        <v>5.1000000000000004E-3</v>
      </c>
      <c r="H48" s="9">
        <v>2.8E-3</v>
      </c>
      <c r="I48" s="9">
        <v>1.9E-3</v>
      </c>
      <c r="J48" s="9">
        <v>2.3999999999999998E-3</v>
      </c>
      <c r="K48" s="9">
        <v>3.0999999999999999E-3</v>
      </c>
      <c r="L48" s="9">
        <v>1.5E-3</v>
      </c>
      <c r="M48" s="9">
        <v>1.8E-3</v>
      </c>
      <c r="N48" s="9"/>
      <c r="O48" s="9">
        <v>5.3E-3</v>
      </c>
      <c r="P48" s="9">
        <v>2.5000000000000001E-3</v>
      </c>
      <c r="Q48" s="9"/>
      <c r="R48" s="9">
        <v>2.5000000000000001E-3</v>
      </c>
      <c r="S48" s="9"/>
      <c r="T48" s="9">
        <v>3.7000000000000002E-3</v>
      </c>
      <c r="U48" s="9">
        <v>2.5999999999999999E-3</v>
      </c>
      <c r="V48" s="9">
        <v>2.8999999999999998E-3</v>
      </c>
      <c r="W48" s="9">
        <v>3.5999999999999999E-3</v>
      </c>
      <c r="X48" s="9">
        <v>2.5999999999999999E-3</v>
      </c>
      <c r="Y48" s="9">
        <v>8.0000000000000004E-4</v>
      </c>
      <c r="Z48" s="9">
        <v>3.7000000000000002E-3</v>
      </c>
      <c r="AA48" s="9">
        <v>1.9E-3</v>
      </c>
      <c r="AB48" s="9">
        <v>1.4E-3</v>
      </c>
      <c r="AC48" s="9">
        <v>8.9999999999999998E-4</v>
      </c>
      <c r="AD48" s="9">
        <v>1.4E-3</v>
      </c>
    </row>
    <row r="49" spans="2:30" x14ac:dyDescent="0.3">
      <c r="B49" s="5">
        <v>202516</v>
      </c>
      <c r="C49" s="5"/>
      <c r="D49" s="9">
        <v>2.7000000000000001E-3</v>
      </c>
      <c r="E49" s="9">
        <v>2.8E-3</v>
      </c>
      <c r="F49" s="9">
        <v>2.5999999999999999E-3</v>
      </c>
      <c r="G49" s="9">
        <v>3.8999999999999998E-3</v>
      </c>
      <c r="H49" s="9">
        <v>2.5000000000000001E-3</v>
      </c>
      <c r="I49" s="9">
        <v>2.8999999999999998E-3</v>
      </c>
      <c r="J49" s="9">
        <v>1.9E-3</v>
      </c>
      <c r="K49" s="9">
        <v>2.2000000000000001E-3</v>
      </c>
      <c r="L49" s="9">
        <v>2.5999999999999999E-3</v>
      </c>
      <c r="M49" s="9">
        <v>1.9E-3</v>
      </c>
      <c r="N49" s="9"/>
      <c r="O49" s="9">
        <v>5.0000000000000001E-3</v>
      </c>
      <c r="P49" s="9">
        <v>2.5000000000000001E-3</v>
      </c>
      <c r="Q49" s="9"/>
      <c r="R49" s="9">
        <v>2.8E-3</v>
      </c>
      <c r="S49" s="9"/>
      <c r="T49" s="9">
        <v>4.0000000000000001E-3</v>
      </c>
      <c r="U49" s="9">
        <v>2.3E-3</v>
      </c>
      <c r="V49" s="9">
        <v>3.0999999999999999E-3</v>
      </c>
      <c r="W49" s="9">
        <v>3.5999999999999999E-3</v>
      </c>
      <c r="X49" s="9">
        <v>3.3999999999999998E-3</v>
      </c>
      <c r="Y49" s="9">
        <v>1.1999999999999999E-3</v>
      </c>
      <c r="Z49" s="9">
        <v>4.3E-3</v>
      </c>
      <c r="AA49" s="9">
        <v>2.2000000000000001E-3</v>
      </c>
      <c r="AB49" s="9">
        <v>1.6000000000000001E-3</v>
      </c>
      <c r="AC49" s="9">
        <v>1.2999999999999999E-3</v>
      </c>
      <c r="AD49" s="9">
        <v>1.2999999999999999E-3</v>
      </c>
    </row>
    <row r="50" spans="2:30" x14ac:dyDescent="0.3">
      <c r="B50" s="5">
        <v>202517</v>
      </c>
      <c r="C50" s="5"/>
      <c r="D50" s="9">
        <v>2.8E-3</v>
      </c>
      <c r="E50" s="9">
        <v>2.5999999999999999E-3</v>
      </c>
      <c r="F50" s="9">
        <v>2.8E-3</v>
      </c>
      <c r="G50" s="9">
        <v>2.8E-3</v>
      </c>
      <c r="H50" s="9">
        <v>2.8999999999999998E-3</v>
      </c>
      <c r="I50" s="9">
        <v>3.8E-3</v>
      </c>
      <c r="J50" s="9">
        <v>1.4E-3</v>
      </c>
      <c r="K50" s="9">
        <v>2.3999999999999998E-3</v>
      </c>
      <c r="L50" s="9">
        <v>1.6999999999999999E-3</v>
      </c>
      <c r="M50" s="9">
        <v>1.2999999999999999E-3</v>
      </c>
      <c r="N50" s="9"/>
      <c r="O50" s="9">
        <v>8.2000000000000007E-3</v>
      </c>
      <c r="P50" s="9">
        <v>3.0999999999999999E-3</v>
      </c>
      <c r="Q50" s="9"/>
      <c r="R50" s="9">
        <v>2.8E-3</v>
      </c>
      <c r="S50" s="9"/>
      <c r="T50" s="9">
        <v>3.8999999999999998E-3</v>
      </c>
      <c r="U50" s="9">
        <v>2.8999999999999998E-3</v>
      </c>
      <c r="V50" s="9">
        <v>3.5999999999999999E-3</v>
      </c>
      <c r="W50" s="9">
        <v>2.7000000000000001E-3</v>
      </c>
      <c r="X50" s="9">
        <v>3.3E-3</v>
      </c>
      <c r="Y50" s="9">
        <v>8.9999999999999998E-4</v>
      </c>
      <c r="Z50" s="9">
        <v>4.1999999999999997E-3</v>
      </c>
      <c r="AA50" s="9">
        <v>2E-3</v>
      </c>
      <c r="AB50" s="9">
        <v>2.2000000000000001E-3</v>
      </c>
      <c r="AC50" s="9">
        <v>8.9999999999999998E-4</v>
      </c>
      <c r="AD50" s="9">
        <v>1.2999999999999999E-3</v>
      </c>
    </row>
    <row r="51" spans="2:30" x14ac:dyDescent="0.3">
      <c r="B51" s="5">
        <v>202518</v>
      </c>
      <c r="C51" s="5"/>
      <c r="D51" s="9">
        <v>3.7000000000000002E-3</v>
      </c>
      <c r="E51" s="9">
        <v>2.5999999999999999E-3</v>
      </c>
      <c r="F51" s="9">
        <v>3.7000000000000002E-3</v>
      </c>
      <c r="G51" s="9">
        <v>3.0999999999999999E-3</v>
      </c>
      <c r="H51" s="9">
        <v>2.2000000000000001E-3</v>
      </c>
      <c r="I51" s="9">
        <v>8.6999999999999994E-3</v>
      </c>
      <c r="J51" s="9">
        <v>2.5999999999999999E-3</v>
      </c>
      <c r="K51" s="9">
        <v>2.3999999999999998E-3</v>
      </c>
      <c r="L51" s="9">
        <v>1.6999999999999999E-3</v>
      </c>
      <c r="M51" s="9">
        <v>1.4E-3</v>
      </c>
      <c r="N51" s="9"/>
      <c r="O51" s="9">
        <v>4.8999999999999998E-3</v>
      </c>
      <c r="P51" s="9">
        <v>4.1999999999999997E-3</v>
      </c>
      <c r="Q51" s="9"/>
      <c r="R51" s="9">
        <v>3.0000000000000001E-3</v>
      </c>
      <c r="S51" s="9"/>
      <c r="T51" s="9">
        <v>4.1999999999999997E-3</v>
      </c>
      <c r="U51" s="9">
        <v>2.0999999999999999E-3</v>
      </c>
      <c r="V51" s="9">
        <v>3.3E-3</v>
      </c>
      <c r="W51" s="9">
        <v>3.7000000000000002E-3</v>
      </c>
      <c r="X51" s="9">
        <v>4.1999999999999997E-3</v>
      </c>
      <c r="Y51" s="9">
        <v>9.1999999999999998E-3</v>
      </c>
      <c r="Z51" s="9">
        <v>9.4000000000000004E-3</v>
      </c>
      <c r="AA51" s="9">
        <v>1.9E-3</v>
      </c>
      <c r="AB51" s="9">
        <v>1.8E-3</v>
      </c>
      <c r="AC51" s="9">
        <v>1.6000000000000001E-3</v>
      </c>
      <c r="AD51" s="9">
        <v>1.8E-3</v>
      </c>
    </row>
    <row r="52" spans="2:30" x14ac:dyDescent="0.3">
      <c r="B52" s="5">
        <v>202519</v>
      </c>
      <c r="C52" s="5"/>
      <c r="D52" s="9">
        <v>2.8999999999999998E-3</v>
      </c>
      <c r="E52" s="9">
        <v>2.3E-3</v>
      </c>
      <c r="F52" s="9">
        <v>2.8999999999999998E-3</v>
      </c>
      <c r="G52" s="9">
        <v>2.5000000000000001E-3</v>
      </c>
      <c r="H52" s="9">
        <v>2.0999999999999999E-3</v>
      </c>
      <c r="I52" s="9">
        <v>1E-3</v>
      </c>
      <c r="J52" s="9">
        <v>2.0999999999999999E-3</v>
      </c>
      <c r="K52" s="9">
        <v>4.3E-3</v>
      </c>
      <c r="L52" s="9">
        <v>1.2999999999999999E-3</v>
      </c>
      <c r="M52" s="9">
        <v>1.6999999999999999E-3</v>
      </c>
      <c r="N52" s="9"/>
      <c r="O52" s="9">
        <v>5.1999999999999998E-3</v>
      </c>
      <c r="P52" s="9">
        <v>3.2000000000000002E-3</v>
      </c>
      <c r="Q52" s="9"/>
      <c r="R52" s="9">
        <v>2.5999999999999999E-3</v>
      </c>
      <c r="S52" s="9">
        <v>1.1999999999999999E-3</v>
      </c>
      <c r="T52" s="9">
        <v>3.8999999999999998E-3</v>
      </c>
      <c r="U52" s="9">
        <v>3.3999999999999998E-3</v>
      </c>
      <c r="V52" s="9">
        <v>4.1000000000000003E-3</v>
      </c>
      <c r="W52" s="9">
        <v>3.5000000000000001E-3</v>
      </c>
      <c r="X52" s="9">
        <v>4.4999999999999997E-3</v>
      </c>
      <c r="Y52" s="9">
        <v>2E-3</v>
      </c>
      <c r="Z52" s="9">
        <v>4.8999999999999998E-3</v>
      </c>
      <c r="AA52" s="9">
        <v>3.0000000000000001E-3</v>
      </c>
      <c r="AB52" s="9">
        <v>1.9E-3</v>
      </c>
      <c r="AC52" s="9">
        <v>1E-3</v>
      </c>
      <c r="AD52" s="9">
        <v>2E-3</v>
      </c>
    </row>
    <row r="53" spans="2:30" x14ac:dyDescent="0.3">
      <c r="B53" s="5">
        <v>202520</v>
      </c>
      <c r="C53" s="5"/>
      <c r="D53" s="9">
        <v>2.7000000000000001E-3</v>
      </c>
      <c r="E53" s="9">
        <v>2.2000000000000001E-3</v>
      </c>
      <c r="F53" s="9">
        <v>2.7000000000000001E-3</v>
      </c>
      <c r="G53" s="9">
        <v>2.8E-3</v>
      </c>
      <c r="H53" s="9">
        <v>1.8E-3</v>
      </c>
      <c r="I53" s="9">
        <v>2.8999999999999998E-3</v>
      </c>
      <c r="J53" s="9">
        <v>2.0999999999999999E-3</v>
      </c>
      <c r="K53" s="9">
        <v>3.3999999999999998E-3</v>
      </c>
      <c r="L53" s="9">
        <v>8.9999999999999998E-4</v>
      </c>
      <c r="M53" s="9">
        <v>3.5000000000000001E-3</v>
      </c>
      <c r="N53" s="9">
        <v>6.9999999999999999E-4</v>
      </c>
      <c r="O53" s="9">
        <v>4.4000000000000003E-3</v>
      </c>
      <c r="P53" s="9">
        <v>3.5999999999999999E-3</v>
      </c>
      <c r="Q53" s="9"/>
      <c r="R53" s="9">
        <v>2.7000000000000001E-3</v>
      </c>
      <c r="S53" s="9">
        <v>1.1999999999999999E-3</v>
      </c>
      <c r="T53" s="9">
        <v>3.8E-3</v>
      </c>
      <c r="U53" s="9">
        <v>2.8E-3</v>
      </c>
      <c r="V53" s="9">
        <v>4.0000000000000001E-3</v>
      </c>
      <c r="W53" s="9">
        <v>2.3E-3</v>
      </c>
      <c r="X53" s="9">
        <v>4.3E-3</v>
      </c>
      <c r="Y53" s="9">
        <v>1.1999999999999999E-3</v>
      </c>
      <c r="Z53" s="9">
        <v>4.0000000000000001E-3</v>
      </c>
      <c r="AA53" s="9">
        <v>2.5000000000000001E-3</v>
      </c>
      <c r="AB53" s="9">
        <v>1.9E-3</v>
      </c>
      <c r="AC53" s="9">
        <v>1.4E-3</v>
      </c>
      <c r="AD53" s="9">
        <v>1.8E-3</v>
      </c>
    </row>
    <row r="54" spans="2:30" x14ac:dyDescent="0.3">
      <c r="B54" s="5">
        <v>202521</v>
      </c>
      <c r="C54" s="5"/>
      <c r="D54" s="9">
        <v>3.8E-3</v>
      </c>
      <c r="E54" s="9">
        <v>2.0999999999999999E-3</v>
      </c>
      <c r="F54" s="9">
        <v>3.8999999999999998E-3</v>
      </c>
      <c r="G54" s="9">
        <v>2.8999999999999998E-3</v>
      </c>
      <c r="H54" s="9">
        <v>1.9E-3</v>
      </c>
      <c r="I54" s="9">
        <v>2.8999999999999998E-3</v>
      </c>
      <c r="J54" s="9">
        <v>2.0000000000000001E-4</v>
      </c>
      <c r="K54" s="9">
        <v>2.7000000000000001E-3</v>
      </c>
      <c r="L54" s="9">
        <v>1.5E-3</v>
      </c>
      <c r="M54" s="9">
        <v>2E-3</v>
      </c>
      <c r="N54" s="9">
        <v>8.9999999999999998E-4</v>
      </c>
      <c r="O54" s="9">
        <v>5.7000000000000002E-3</v>
      </c>
      <c r="P54" s="9">
        <v>3.7000000000000002E-3</v>
      </c>
      <c r="Q54" s="9"/>
      <c r="R54" s="9">
        <v>3.0999999999999999E-3</v>
      </c>
      <c r="S54" s="9">
        <v>1.5E-3</v>
      </c>
      <c r="T54" s="9">
        <v>4.1000000000000003E-3</v>
      </c>
      <c r="U54" s="9">
        <v>2.3999999999999998E-3</v>
      </c>
      <c r="V54" s="9">
        <v>0</v>
      </c>
      <c r="W54" s="9">
        <v>0</v>
      </c>
      <c r="X54" s="9">
        <v>1.4200000000000001E-2</v>
      </c>
      <c r="Y54" s="9">
        <v>1.4E-3</v>
      </c>
      <c r="Z54" s="9">
        <v>3.8E-3</v>
      </c>
      <c r="AA54" s="9">
        <v>1.6999999999999999E-3</v>
      </c>
      <c r="AB54" s="9">
        <v>2.0999999999999999E-3</v>
      </c>
      <c r="AC54" s="9">
        <v>1.1000000000000001E-3</v>
      </c>
      <c r="AD54" s="9">
        <v>4.4000000000000003E-3</v>
      </c>
    </row>
    <row r="55" spans="2:30" x14ac:dyDescent="0.3">
      <c r="B55" s="5">
        <v>202522</v>
      </c>
      <c r="C55" s="5"/>
      <c r="D55" s="9">
        <v>2.7000000000000001E-3</v>
      </c>
      <c r="E55" s="9">
        <v>2.2000000000000001E-3</v>
      </c>
      <c r="F55" s="9">
        <v>2.8E-3</v>
      </c>
      <c r="G55" s="9">
        <v>2.3999999999999998E-3</v>
      </c>
      <c r="H55" s="9">
        <v>2E-3</v>
      </c>
      <c r="I55" s="9">
        <v>3.8999999999999998E-3</v>
      </c>
      <c r="J55" s="9">
        <v>6.9999999999999999E-4</v>
      </c>
      <c r="K55" s="9">
        <v>3.7000000000000002E-3</v>
      </c>
      <c r="L55" s="9">
        <v>2.2000000000000001E-3</v>
      </c>
      <c r="M55" s="9">
        <v>2.5000000000000001E-3</v>
      </c>
      <c r="N55" s="9">
        <v>2.2000000000000001E-3</v>
      </c>
      <c r="O55" s="9">
        <v>8.3999999999999995E-3</v>
      </c>
      <c r="P55" s="9">
        <v>3.3999999999999998E-3</v>
      </c>
      <c r="Q55" s="9"/>
      <c r="R55" s="9">
        <v>3.0000000000000001E-3</v>
      </c>
      <c r="S55" s="9">
        <v>1.6999999999999999E-3</v>
      </c>
      <c r="T55" s="9">
        <v>2.9999999999999997E-4</v>
      </c>
      <c r="U55" s="9">
        <v>3.2000000000000002E-3</v>
      </c>
      <c r="V55" s="9"/>
      <c r="W55" s="9"/>
      <c r="X55" s="9">
        <v>5.7999999999999996E-3</v>
      </c>
      <c r="Y55" s="9">
        <v>1.2999999999999999E-3</v>
      </c>
      <c r="Z55" s="9">
        <v>4.1000000000000003E-3</v>
      </c>
      <c r="AA55" s="9">
        <v>2.5000000000000001E-3</v>
      </c>
      <c r="AB55" s="9">
        <v>1.9E-3</v>
      </c>
      <c r="AC55" s="9">
        <v>1.1999999999999999E-3</v>
      </c>
      <c r="AD55" s="9">
        <v>2.3E-3</v>
      </c>
    </row>
    <row r="56" spans="2:30" x14ac:dyDescent="0.3">
      <c r="B56" s="5">
        <v>202523</v>
      </c>
      <c r="C56" s="5"/>
      <c r="D56" s="9">
        <v>3.0000000000000001E-3</v>
      </c>
      <c r="E56" s="9">
        <v>1.9E-3</v>
      </c>
      <c r="F56" s="9">
        <v>3.0999999999999999E-3</v>
      </c>
      <c r="G56" s="9">
        <v>1.6999999999999999E-3</v>
      </c>
      <c r="H56" s="9">
        <v>1.1000000000000001E-3</v>
      </c>
      <c r="I56" s="9">
        <v>1E-3</v>
      </c>
      <c r="J56" s="9">
        <v>2.2000000000000001E-3</v>
      </c>
      <c r="K56" s="9">
        <v>1.6999999999999999E-3</v>
      </c>
      <c r="L56" s="9">
        <v>4.7999999999999996E-3</v>
      </c>
      <c r="M56" s="9">
        <v>2.5000000000000001E-3</v>
      </c>
      <c r="N56" s="9">
        <v>5.1999999999999998E-3</v>
      </c>
      <c r="O56" s="9">
        <v>9.4999999999999998E-3</v>
      </c>
      <c r="P56" s="9">
        <v>3.5000000000000001E-3</v>
      </c>
      <c r="Q56" s="9"/>
      <c r="R56" s="9">
        <v>3.0000000000000001E-3</v>
      </c>
      <c r="S56" s="9">
        <v>1.9E-3</v>
      </c>
      <c r="T56" s="9"/>
      <c r="U56" s="9">
        <v>2.5999999999999999E-3</v>
      </c>
      <c r="V56" s="9"/>
      <c r="W56" s="9"/>
      <c r="X56" s="9">
        <v>3.8E-3</v>
      </c>
      <c r="Y56" s="9">
        <v>1.6000000000000001E-3</v>
      </c>
      <c r="Z56" s="9">
        <v>6.1999999999999998E-3</v>
      </c>
      <c r="AA56" s="9">
        <v>3.5000000000000001E-3</v>
      </c>
      <c r="AB56" s="9">
        <v>1.9E-3</v>
      </c>
      <c r="AC56" s="9">
        <v>1.4E-3</v>
      </c>
      <c r="AD56" s="9">
        <v>2.3999999999999998E-3</v>
      </c>
    </row>
    <row r="57" spans="2:30" x14ac:dyDescent="0.3">
      <c r="B57" s="5">
        <v>202524</v>
      </c>
      <c r="C57" s="5"/>
      <c r="D57" s="9">
        <v>3.3E-3</v>
      </c>
      <c r="E57" s="9">
        <v>2.5999999999999999E-3</v>
      </c>
      <c r="F57" s="9">
        <v>3.3E-3</v>
      </c>
      <c r="G57" s="9">
        <v>2.3999999999999998E-3</v>
      </c>
      <c r="H57" s="9">
        <v>2.0999999999999999E-3</v>
      </c>
      <c r="I57" s="9">
        <v>5.8999999999999999E-3</v>
      </c>
      <c r="J57" s="9">
        <v>3.0999999999999999E-3</v>
      </c>
      <c r="K57" s="9">
        <v>2.3999999999999998E-3</v>
      </c>
      <c r="L57" s="9">
        <v>3.3E-3</v>
      </c>
      <c r="M57" s="9">
        <v>5.1999999999999998E-3</v>
      </c>
      <c r="N57" s="9">
        <v>5.1000000000000004E-3</v>
      </c>
      <c r="O57" s="9">
        <v>8.9999999999999993E-3</v>
      </c>
      <c r="P57" s="9">
        <v>4.1999999999999997E-3</v>
      </c>
      <c r="Q57" s="9"/>
      <c r="R57" s="9">
        <v>2.8999999999999998E-3</v>
      </c>
      <c r="S57" s="9">
        <v>1.9E-3</v>
      </c>
      <c r="T57" s="9"/>
      <c r="U57" s="9">
        <v>2.5000000000000001E-3</v>
      </c>
      <c r="V57" s="9"/>
      <c r="W57" s="9"/>
      <c r="X57" s="9">
        <v>4.1999999999999997E-3</v>
      </c>
      <c r="Y57" s="9">
        <v>1.6000000000000001E-3</v>
      </c>
      <c r="Z57" s="9">
        <v>6.3E-3</v>
      </c>
      <c r="AA57" s="9">
        <v>3.0000000000000001E-3</v>
      </c>
      <c r="AB57" s="9">
        <v>2.3E-3</v>
      </c>
      <c r="AC57" s="9">
        <v>1.8E-3</v>
      </c>
      <c r="AD57" s="9">
        <v>2.0999999999999999E-3</v>
      </c>
    </row>
    <row r="58" spans="2:30" x14ac:dyDescent="0.3">
      <c r="B58" s="5">
        <v>202525</v>
      </c>
      <c r="C58" s="5"/>
      <c r="D58" s="9">
        <v>3.2000000000000002E-3</v>
      </c>
      <c r="E58" s="9">
        <v>2.8999999999999998E-3</v>
      </c>
      <c r="F58" s="9">
        <v>3.2000000000000002E-3</v>
      </c>
      <c r="G58" s="9">
        <v>2.0999999999999999E-3</v>
      </c>
      <c r="H58" s="9">
        <v>2.0999999999999999E-3</v>
      </c>
      <c r="I58" s="9">
        <v>6.8999999999999999E-3</v>
      </c>
      <c r="J58" s="9">
        <v>4.3E-3</v>
      </c>
      <c r="K58" s="9">
        <v>3.8999999999999998E-3</v>
      </c>
      <c r="L58" s="9">
        <v>4.4000000000000003E-3</v>
      </c>
      <c r="M58" s="9">
        <v>6.4000000000000003E-3</v>
      </c>
      <c r="N58" s="9">
        <v>4.4999999999999997E-3</v>
      </c>
      <c r="O58" s="9">
        <v>9.7000000000000003E-3</v>
      </c>
      <c r="P58" s="9">
        <v>3.3999999999999998E-3</v>
      </c>
      <c r="Q58" s="9"/>
      <c r="R58" s="9">
        <v>3.0000000000000001E-3</v>
      </c>
      <c r="S58" s="9">
        <v>1.9E-3</v>
      </c>
      <c r="T58" s="9"/>
      <c r="U58" s="9">
        <v>3.3999999999999998E-3</v>
      </c>
      <c r="V58" s="9"/>
      <c r="W58" s="9"/>
      <c r="X58" s="9">
        <v>5.0000000000000001E-3</v>
      </c>
      <c r="Y58" s="9">
        <v>1.1999999999999999E-3</v>
      </c>
      <c r="Z58" s="9">
        <v>3.5999999999999999E-3</v>
      </c>
      <c r="AA58" s="9">
        <v>3.0999999999999999E-3</v>
      </c>
      <c r="AB58" s="9">
        <v>2.8E-3</v>
      </c>
      <c r="AC58" s="9">
        <v>1.6999999999999999E-3</v>
      </c>
      <c r="AD58" s="9">
        <v>1.8E-3</v>
      </c>
    </row>
    <row r="59" spans="2:30" x14ac:dyDescent="0.3">
      <c r="B59" s="5">
        <v>202526</v>
      </c>
      <c r="C59" s="5"/>
      <c r="D59" s="9">
        <v>3.5000000000000001E-3</v>
      </c>
      <c r="E59" s="9">
        <v>2.3E-3</v>
      </c>
      <c r="F59" s="9">
        <v>3.5999999999999999E-3</v>
      </c>
      <c r="G59" s="9">
        <v>2E-3</v>
      </c>
      <c r="H59" s="9">
        <v>1.6000000000000001E-3</v>
      </c>
      <c r="I59" s="9">
        <v>7.0000000000000001E-3</v>
      </c>
      <c r="J59" s="9">
        <v>3.3999999999999998E-3</v>
      </c>
      <c r="K59" s="9">
        <v>2.5000000000000001E-3</v>
      </c>
      <c r="L59" s="9">
        <v>3.3E-3</v>
      </c>
      <c r="M59" s="9">
        <v>6.0000000000000001E-3</v>
      </c>
      <c r="N59" s="9">
        <v>2.7000000000000001E-3</v>
      </c>
      <c r="O59" s="9">
        <v>1.9300000000000001E-2</v>
      </c>
      <c r="P59" s="9">
        <v>3.2000000000000002E-3</v>
      </c>
      <c r="Q59" s="9"/>
      <c r="R59" s="9">
        <v>3.3E-3</v>
      </c>
      <c r="S59" s="9">
        <v>1.9E-3</v>
      </c>
      <c r="T59" s="9"/>
      <c r="U59" s="9">
        <v>3.5999999999999999E-3</v>
      </c>
      <c r="V59" s="9"/>
      <c r="W59" s="9"/>
      <c r="X59" s="9">
        <v>5.4999999999999997E-3</v>
      </c>
      <c r="Y59" s="9">
        <v>1.1999999999999999E-3</v>
      </c>
      <c r="Z59" s="9">
        <v>5.4999999999999997E-3</v>
      </c>
      <c r="AA59" s="9">
        <v>3.3E-3</v>
      </c>
      <c r="AB59" s="9">
        <v>3.0999999999999999E-3</v>
      </c>
      <c r="AC59" s="9">
        <v>1.6999999999999999E-3</v>
      </c>
      <c r="AD59" s="9">
        <v>2.2000000000000001E-3</v>
      </c>
    </row>
    <row r="60" spans="2:30" ht="15" thickBot="1" x14ac:dyDescent="0.35">
      <c r="B60" s="5">
        <v>202527</v>
      </c>
      <c r="C60" s="5"/>
      <c r="D60" s="9">
        <v>3.5000000000000001E-3</v>
      </c>
      <c r="E60" s="9">
        <v>2.7000000000000001E-3</v>
      </c>
      <c r="F60" s="9">
        <v>3.5999999999999999E-3</v>
      </c>
      <c r="G60" s="9">
        <v>1.5E-3</v>
      </c>
      <c r="H60" s="9">
        <v>2.2000000000000001E-3</v>
      </c>
      <c r="I60" s="9">
        <v>5.0000000000000001E-3</v>
      </c>
      <c r="J60" s="9">
        <v>4.4000000000000003E-3</v>
      </c>
      <c r="K60" s="9">
        <v>4.4999999999999997E-3</v>
      </c>
      <c r="L60" s="9">
        <v>3.5999999999999999E-3</v>
      </c>
      <c r="M60" s="9">
        <v>4.4000000000000003E-3</v>
      </c>
      <c r="N60" s="9">
        <v>1.4E-3</v>
      </c>
      <c r="O60" s="9">
        <v>2.12E-2</v>
      </c>
      <c r="P60" s="9">
        <v>4.1999999999999997E-3</v>
      </c>
      <c r="Q60" s="9"/>
      <c r="R60" s="9">
        <v>3.2000000000000002E-3</v>
      </c>
      <c r="S60" s="9">
        <v>1.9E-3</v>
      </c>
      <c r="T60" s="9"/>
      <c r="U60" s="9">
        <v>3.3999999999999998E-3</v>
      </c>
      <c r="V60" s="9"/>
      <c r="W60" s="9"/>
      <c r="X60" s="9">
        <v>5.7999999999999996E-3</v>
      </c>
      <c r="Y60" s="9">
        <v>1.1999999999999999E-3</v>
      </c>
      <c r="Z60" s="9">
        <v>6.3E-3</v>
      </c>
      <c r="AA60" s="9">
        <v>3.8999999999999998E-3</v>
      </c>
      <c r="AB60" s="9">
        <v>2.7000000000000001E-3</v>
      </c>
      <c r="AC60" s="9">
        <v>1.1999999999999999E-3</v>
      </c>
      <c r="AD60" s="9">
        <v>1.9E-3</v>
      </c>
    </row>
    <row r="61" spans="2:30" ht="15" thickBot="1" x14ac:dyDescent="0.35">
      <c r="B61" s="22" t="s">
        <v>82</v>
      </c>
      <c r="C61" s="22"/>
      <c r="D61" s="24">
        <f t="shared" ref="D61:AD61" si="23">AVERAGE(D34:D60)</f>
        <v>2.8148148148148147E-3</v>
      </c>
      <c r="E61" s="24">
        <f t="shared" si="23"/>
        <v>3.7148148148148145E-3</v>
      </c>
      <c r="F61" s="24">
        <f t="shared" si="23"/>
        <v>2.7259259259259259E-3</v>
      </c>
      <c r="G61" s="24">
        <f t="shared" si="23"/>
        <v>4.9259259259259273E-3</v>
      </c>
      <c r="H61" s="24">
        <f t="shared" si="23"/>
        <v>3.4222222222222228E-3</v>
      </c>
      <c r="I61" s="24">
        <f t="shared" si="23"/>
        <v>4.6370370370370376E-3</v>
      </c>
      <c r="J61" s="24">
        <f t="shared" si="23"/>
        <v>2.7703703703703701E-3</v>
      </c>
      <c r="K61" s="24">
        <f t="shared" si="23"/>
        <v>3.4703703703703698E-3</v>
      </c>
      <c r="L61" s="24">
        <f t="shared" si="23"/>
        <v>2.4111111111111113E-3</v>
      </c>
      <c r="M61" s="24">
        <f t="shared" si="23"/>
        <v>2.9814814814814821E-3</v>
      </c>
      <c r="N61" s="24">
        <f t="shared" si="23"/>
        <v>2.8636363636363638E-3</v>
      </c>
      <c r="O61" s="24">
        <f t="shared" si="23"/>
        <v>7.3296296296296313E-3</v>
      </c>
      <c r="P61" s="24">
        <f t="shared" si="23"/>
        <v>3.0370370370370364E-3</v>
      </c>
      <c r="Q61" s="24">
        <f t="shared" si="23"/>
        <v>-6.7871428571428569E-2</v>
      </c>
      <c r="R61" s="24">
        <f t="shared" si="23"/>
        <v>2.4333333333333329E-3</v>
      </c>
      <c r="S61" s="24">
        <f t="shared" si="23"/>
        <v>1.677777777777778E-3</v>
      </c>
      <c r="T61" s="24">
        <f t="shared" si="23"/>
        <v>2.9272727272727271E-3</v>
      </c>
      <c r="U61" s="24">
        <f t="shared" si="23"/>
        <v>3.1370370370370371E-3</v>
      </c>
      <c r="V61" s="24">
        <f t="shared" si="23"/>
        <v>3.5428571428571432E-3</v>
      </c>
      <c r="W61" s="24">
        <f t="shared" si="23"/>
        <v>2.7523809523809528E-3</v>
      </c>
      <c r="X61" s="24">
        <f t="shared" si="23"/>
        <v>3.3E-3</v>
      </c>
      <c r="Y61" s="24">
        <f t="shared" si="23"/>
        <v>1.3814814814814811E-3</v>
      </c>
      <c r="Z61" s="24">
        <f t="shared" si="23"/>
        <v>4.1148148148148151E-3</v>
      </c>
      <c r="AA61" s="24">
        <f t="shared" si="23"/>
        <v>2.1444444444444449E-3</v>
      </c>
      <c r="AB61" s="24">
        <f t="shared" si="23"/>
        <v>1.7863636363636361E-3</v>
      </c>
      <c r="AC61" s="24">
        <f t="shared" si="23"/>
        <v>1.168181818181818E-3</v>
      </c>
      <c r="AD61" s="24">
        <f t="shared" si="23"/>
        <v>1.5E-3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T65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45844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45850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130</v>
      </c>
      <c r="C6" s="7">
        <v>20</v>
      </c>
      <c r="D6" s="7">
        <v>7</v>
      </c>
      <c r="E6" s="7">
        <v>1197</v>
      </c>
      <c r="F6" s="7">
        <v>997</v>
      </c>
      <c r="G6" s="7">
        <v>3</v>
      </c>
      <c r="H6" s="9">
        <f t="shared" ref="H6:H12" si="0">IFERROR(G6/F6,0)</f>
        <v>3.009027081243731E-3</v>
      </c>
      <c r="I6" s="9">
        <f>IFERROR((1197-F6)/1197,0)</f>
        <v>0.16708437761069339</v>
      </c>
      <c r="J6" s="7">
        <v>3690</v>
      </c>
      <c r="K6" s="11">
        <f t="shared" ref="K6:K12" si="1">IFERROR(J6/D6/F6*100,0)</f>
        <v>52.872904427568415</v>
      </c>
      <c r="L6" s="11">
        <f>K6-53.1429</f>
        <v>-0.26999557243158279</v>
      </c>
      <c r="M6" s="11">
        <v>81</v>
      </c>
      <c r="N6" s="11">
        <f t="shared" ref="N6:N12" si="2">K6-M6</f>
        <v>-28.127095572431585</v>
      </c>
      <c r="O6" s="11">
        <f>IFERROR(168830/1197,0)</f>
        <v>141.04427736006684</v>
      </c>
      <c r="P6" s="11">
        <v>0</v>
      </c>
      <c r="Q6" s="11">
        <f t="shared" ref="Q6:Q11" si="3">IFERROR(O6-P6,0)</f>
        <v>141.04427736006684</v>
      </c>
      <c r="R6" s="7">
        <v>875</v>
      </c>
      <c r="S6" s="11">
        <f t="shared" ref="S6:S11" si="4">IFERROR(R6/D6/F6*1000,0)</f>
        <v>125.37612838515547</v>
      </c>
      <c r="T6" s="13">
        <f t="shared" ref="T6:T12" si="5">IFERROR(J6/R6,0)</f>
        <v>4.2171428571428571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254.4685714286</v>
      </c>
      <c r="Y6" s="11">
        <f t="shared" ref="Y6:Y11" si="8">IFERROR((F6*S6)/(F6*K6)*100,0)</f>
        <v>237.12737127371275</v>
      </c>
      <c r="Z6" s="11">
        <f t="shared" ref="Z6:Z12" si="9">IFERROR(Y6*X6/1000,0)</f>
        <v>60.34146341464092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19</v>
      </c>
      <c r="AG6" s="7">
        <f t="shared" ref="AG6:AG11" si="10">IF(M6=0,0,IFERROR(N6/100*7*F6,0))</f>
        <v>-1962.9900000000005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90</v>
      </c>
      <c r="C7" s="7">
        <v>20</v>
      </c>
      <c r="D7" s="7">
        <v>7</v>
      </c>
      <c r="E7" s="7">
        <v>14440</v>
      </c>
      <c r="F7" s="7">
        <v>11121</v>
      </c>
      <c r="G7" s="7">
        <v>20</v>
      </c>
      <c r="H7" s="9">
        <f t="shared" si="0"/>
        <v>1.7983994245121841E-3</v>
      </c>
      <c r="I7" s="9">
        <f>IFERROR((14440-F7)/14440,0)</f>
        <v>0.22984764542936287</v>
      </c>
      <c r="J7" s="7">
        <v>57210</v>
      </c>
      <c r="K7" s="11">
        <f t="shared" si="1"/>
        <v>73.4903079116729</v>
      </c>
      <c r="L7" s="11">
        <f>K7-75.0125</f>
        <v>-1.5221920883271025</v>
      </c>
      <c r="M7" s="11">
        <v>81</v>
      </c>
      <c r="N7" s="11">
        <f t="shared" si="2"/>
        <v>-7.5096920883270997</v>
      </c>
      <c r="O7" s="11">
        <f>IFERROR(5009410/14440,0)</f>
        <v>346.91204986149586</v>
      </c>
      <c r="P7" s="11">
        <v>0</v>
      </c>
      <c r="Q7" s="11">
        <f t="shared" si="3"/>
        <v>346.91204986149586</v>
      </c>
      <c r="R7" s="7">
        <v>9720</v>
      </c>
      <c r="S7" s="11">
        <f t="shared" si="4"/>
        <v>124.86030290184594</v>
      </c>
      <c r="T7" s="13">
        <f t="shared" si="5"/>
        <v>5.8858024691358022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169.90036706869429</v>
      </c>
      <c r="Z7" s="11">
        <f t="shared" si="9"/>
        <v>63.398321971683274</v>
      </c>
      <c r="AA7" s="7">
        <v>0</v>
      </c>
      <c r="AB7" s="15">
        <f>IFERROR(AA7/1970,0)</f>
        <v>0</v>
      </c>
      <c r="AC7" s="11">
        <v>0</v>
      </c>
      <c r="AD7" s="15">
        <f>IFERROR(AC7/65,0)</f>
        <v>0</v>
      </c>
      <c r="AE7" s="11">
        <v>0</v>
      </c>
      <c r="AF7" s="11">
        <v>19</v>
      </c>
      <c r="AG7" s="7">
        <f t="shared" si="10"/>
        <v>-5846.069999999997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90</v>
      </c>
      <c r="C8" s="7">
        <v>20</v>
      </c>
      <c r="D8" s="7">
        <v>7</v>
      </c>
      <c r="E8" s="7">
        <v>16063</v>
      </c>
      <c r="F8" s="7">
        <v>13034</v>
      </c>
      <c r="G8" s="7">
        <v>23</v>
      </c>
      <c r="H8" s="9">
        <f t="shared" si="0"/>
        <v>1.7646156206843639E-3</v>
      </c>
      <c r="I8" s="9">
        <f>IFERROR((16063-F8)/16063,0)</f>
        <v>0.18857000560293843</v>
      </c>
      <c r="J8" s="7">
        <v>60390</v>
      </c>
      <c r="K8" s="11">
        <f t="shared" si="1"/>
        <v>66.189526293868781</v>
      </c>
      <c r="L8" s="11">
        <f>K8-66.8607</f>
        <v>-0.67117370613121352</v>
      </c>
      <c r="M8" s="11">
        <v>77</v>
      </c>
      <c r="N8" s="11">
        <f t="shared" si="2"/>
        <v>-10.810473706131219</v>
      </c>
      <c r="O8" s="11">
        <f>IFERROR(5218320/16063,0)</f>
        <v>324.86584075203882</v>
      </c>
      <c r="P8" s="11">
        <v>0</v>
      </c>
      <c r="Q8" s="11">
        <f t="shared" si="3"/>
        <v>324.86584075203882</v>
      </c>
      <c r="R8" s="7">
        <v>10150</v>
      </c>
      <c r="S8" s="11">
        <f t="shared" si="4"/>
        <v>111.24750652140555</v>
      </c>
      <c r="T8" s="13">
        <f t="shared" si="5"/>
        <v>5.9497536945812808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168.07418446762711</v>
      </c>
      <c r="Z8" s="11">
        <f t="shared" si="9"/>
        <v>62.187448253022026</v>
      </c>
      <c r="AA8" s="7">
        <v>0</v>
      </c>
      <c r="AB8" s="15">
        <f>IFERROR(AA8/1580,0)</f>
        <v>0</v>
      </c>
      <c r="AC8" s="11">
        <v>0</v>
      </c>
      <c r="AD8" s="15">
        <f>IFERROR(AC8/63.7,0)</f>
        <v>0</v>
      </c>
      <c r="AE8" s="11">
        <v>0</v>
      </c>
      <c r="AF8" s="11">
        <v>19</v>
      </c>
      <c r="AG8" s="7">
        <f t="shared" si="10"/>
        <v>-9863.260000000002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51</v>
      </c>
      <c r="C9" s="7"/>
      <c r="D9" s="7">
        <v>7</v>
      </c>
      <c r="E9" s="7">
        <v>4686</v>
      </c>
      <c r="F9" s="7">
        <v>4111</v>
      </c>
      <c r="G9" s="7">
        <v>8</v>
      </c>
      <c r="H9" s="9">
        <f t="shared" si="0"/>
        <v>1.9459985405010946E-3</v>
      </c>
      <c r="I9" s="9">
        <f>IFERROR((4686-F9)/4686,0)</f>
        <v>0.12270593256508749</v>
      </c>
      <c r="J9" s="7">
        <v>28590</v>
      </c>
      <c r="K9" s="11">
        <f t="shared" si="1"/>
        <v>99.350175487368389</v>
      </c>
      <c r="L9" s="11">
        <f>K9-99.5734</f>
        <v>-0.22322451263161724</v>
      </c>
      <c r="M9" s="11">
        <v>88</v>
      </c>
      <c r="N9" s="11">
        <f t="shared" si="2"/>
        <v>11.350175487368389</v>
      </c>
      <c r="O9" s="11">
        <f>IFERROR(904170/4686,0)</f>
        <v>192.95134443021766</v>
      </c>
      <c r="P9" s="11">
        <v>204</v>
      </c>
      <c r="Q9" s="11">
        <f t="shared" si="3"/>
        <v>-11.048655569782341</v>
      </c>
      <c r="R9" s="7">
        <v>4803</v>
      </c>
      <c r="S9" s="11">
        <f t="shared" si="4"/>
        <v>166.90412482190635</v>
      </c>
      <c r="T9" s="13">
        <f t="shared" si="5"/>
        <v>5.9525296689569016</v>
      </c>
      <c r="U9" s="7">
        <v>5040</v>
      </c>
      <c r="V9" s="11">
        <f t="shared" si="6"/>
        <v>175.13986864509852</v>
      </c>
      <c r="W9" s="11">
        <f t="shared" si="7"/>
        <v>1.0493441599000626</v>
      </c>
      <c r="X9" s="11">
        <v>362.76</v>
      </c>
      <c r="Y9" s="11">
        <f t="shared" si="8"/>
        <v>167.99580272822664</v>
      </c>
      <c r="Z9" s="11">
        <f t="shared" si="9"/>
        <v>60.942157397691496</v>
      </c>
      <c r="AA9" s="7">
        <v>0</v>
      </c>
      <c r="AB9" s="15">
        <f>IFERROR(AA9/1950,0)</f>
        <v>0</v>
      </c>
      <c r="AC9" s="11">
        <v>0</v>
      </c>
      <c r="AD9" s="15">
        <f>IFERROR(AC9/63.4,0)</f>
        <v>0</v>
      </c>
      <c r="AE9" s="11">
        <v>12</v>
      </c>
      <c r="AF9" s="11">
        <v>23</v>
      </c>
      <c r="AG9" s="7">
        <f t="shared" si="10"/>
        <v>3266.2400000000016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90</v>
      </c>
      <c r="C10" s="7"/>
      <c r="D10" s="7">
        <v>7</v>
      </c>
      <c r="E10" s="7">
        <v>5000</v>
      </c>
      <c r="F10" s="7">
        <v>4030</v>
      </c>
      <c r="G10" s="7">
        <v>10</v>
      </c>
      <c r="H10" s="9">
        <f t="shared" si="0"/>
        <v>2.4813895781637717E-3</v>
      </c>
      <c r="I10" s="9">
        <f>IFERROR((5000-F10)/5000,0)</f>
        <v>0.19400000000000001</v>
      </c>
      <c r="J10" s="7">
        <v>24750</v>
      </c>
      <c r="K10" s="11">
        <f t="shared" si="1"/>
        <v>87.734845799361921</v>
      </c>
      <c r="L10" s="11">
        <f>K10-88.3663</f>
        <v>-0.63145420063807478</v>
      </c>
      <c r="M10" s="11">
        <v>73</v>
      </c>
      <c r="N10" s="11">
        <f t="shared" si="2"/>
        <v>14.734845799361921</v>
      </c>
      <c r="O10" s="11">
        <f>IFERROR(1862150/5000,0)</f>
        <v>372.43</v>
      </c>
      <c r="P10" s="11">
        <v>414</v>
      </c>
      <c r="Q10" s="11">
        <f t="shared" si="3"/>
        <v>-41.569999999999993</v>
      </c>
      <c r="R10" s="7">
        <v>4477</v>
      </c>
      <c r="S10" s="11">
        <f t="shared" si="4"/>
        <v>158.70258773484579</v>
      </c>
      <c r="T10" s="13">
        <f t="shared" si="5"/>
        <v>5.5282555282555279</v>
      </c>
      <c r="U10" s="7">
        <v>5040</v>
      </c>
      <c r="V10" s="11">
        <f t="shared" si="6"/>
        <v>178.66004962779155</v>
      </c>
      <c r="W10" s="11">
        <f t="shared" si="7"/>
        <v>1.1257538530265803</v>
      </c>
      <c r="X10" s="11">
        <v>374.81</v>
      </c>
      <c r="Y10" s="11">
        <f t="shared" si="8"/>
        <v>180.88888888888889</v>
      </c>
      <c r="Z10" s="11">
        <f t="shared" si="9"/>
        <v>67.798964444444437</v>
      </c>
      <c r="AA10" s="7">
        <v>2160</v>
      </c>
      <c r="AB10" s="15">
        <f>IFERROR(AA10/1970,0)</f>
        <v>1.0964467005076142</v>
      </c>
      <c r="AC10" s="11">
        <v>0</v>
      </c>
      <c r="AD10" s="15">
        <f>IFERROR(AC10/65,0)</f>
        <v>0</v>
      </c>
      <c r="AE10" s="11">
        <v>13</v>
      </c>
      <c r="AF10" s="11">
        <v>20</v>
      </c>
      <c r="AG10" s="7">
        <f t="shared" si="10"/>
        <v>4156.6999999999971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51</v>
      </c>
      <c r="C11" s="7"/>
      <c r="D11" s="7">
        <v>7</v>
      </c>
      <c r="E11" s="7">
        <v>4819</v>
      </c>
      <c r="F11" s="7">
        <v>4462</v>
      </c>
      <c r="G11" s="7">
        <v>14</v>
      </c>
      <c r="H11" s="9">
        <f t="shared" si="0"/>
        <v>3.1376064545047063E-3</v>
      </c>
      <c r="I11" s="9">
        <f>IFERROR((4819-F11)/4819,0)</f>
        <v>7.4081759701182817E-2</v>
      </c>
      <c r="J11" s="7">
        <v>28890</v>
      </c>
      <c r="K11" s="11">
        <f t="shared" si="1"/>
        <v>92.495357623103018</v>
      </c>
      <c r="L11" s="11">
        <f>K11-93.9295</f>
        <v>-1.4341423768969861</v>
      </c>
      <c r="M11" s="11">
        <v>88</v>
      </c>
      <c r="N11" s="11">
        <f t="shared" si="2"/>
        <v>4.4953576231030183</v>
      </c>
      <c r="O11" s="11">
        <f>IFERROR(948046/4819,0)</f>
        <v>196.73085702427889</v>
      </c>
      <c r="P11" s="11">
        <v>204</v>
      </c>
      <c r="Q11" s="11">
        <f t="shared" si="3"/>
        <v>-7.2691429757211097</v>
      </c>
      <c r="R11" s="7">
        <v>5344</v>
      </c>
      <c r="S11" s="11">
        <f t="shared" si="4"/>
        <v>171.09560094768523</v>
      </c>
      <c r="T11" s="13">
        <f t="shared" si="5"/>
        <v>5.4060628742514973</v>
      </c>
      <c r="U11" s="7">
        <v>5040</v>
      </c>
      <c r="V11" s="11">
        <f t="shared" si="6"/>
        <v>161.36261766024205</v>
      </c>
      <c r="W11" s="11">
        <f t="shared" si="7"/>
        <v>0.94311377245508976</v>
      </c>
      <c r="X11" s="11">
        <v>362.76</v>
      </c>
      <c r="Y11" s="11">
        <f t="shared" si="8"/>
        <v>184.97750086535137</v>
      </c>
      <c r="Z11" s="11">
        <f t="shared" si="9"/>
        <v>67.102438213914866</v>
      </c>
      <c r="AA11" s="7">
        <v>0</v>
      </c>
      <c r="AB11" s="15">
        <f>IFERROR(AA11/1950,0)</f>
        <v>0</v>
      </c>
      <c r="AC11" s="11">
        <v>0</v>
      </c>
      <c r="AD11" s="15">
        <f>IFERROR(AC11/63.4,0)</f>
        <v>0</v>
      </c>
      <c r="AE11" s="11">
        <v>12</v>
      </c>
      <c r="AF11" s="11">
        <v>20</v>
      </c>
      <c r="AG11" s="7">
        <f t="shared" si="10"/>
        <v>1404.0799999999967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37755</v>
      </c>
      <c r="G12" s="17">
        <f>SUM(G6:G11)</f>
        <v>78</v>
      </c>
      <c r="H12" s="18">
        <f t="shared" si="0"/>
        <v>2.0659515295987285E-3</v>
      </c>
      <c r="I12" s="18"/>
      <c r="J12" s="17">
        <f>SUM(J6:J11)</f>
        <v>203520</v>
      </c>
      <c r="K12" s="19">
        <f t="shared" si="1"/>
        <v>77.00777569669107</v>
      </c>
      <c r="L12" s="19"/>
      <c r="M12" s="19">
        <f>IFERROR(SUMPRODUCT($F6:$F11,M6:M11)/$F12, 0)</f>
        <v>80.354655012581119</v>
      </c>
      <c r="N12" s="19">
        <f t="shared" si="2"/>
        <v>-3.3468793158900496</v>
      </c>
      <c r="O12" s="19">
        <f>IFERROR(SUMPRODUCT($E6:$E11,O6:O11)/$E12, 0)</f>
        <v>305.39824694297153</v>
      </c>
      <c r="P12" s="19">
        <f>IFERROR(SUMPRODUCT($E6:$E11,P6:P11)/$E12, 0)</f>
        <v>86.765934422681525</v>
      </c>
      <c r="Q12" s="19">
        <f>IFERROR(SUMPRODUCT($E6:$E11,Q6:Q11)/$E12, 0)</f>
        <v>218.63231252029001</v>
      </c>
      <c r="R12" s="17">
        <f>SUM(R6:R11)</f>
        <v>35369</v>
      </c>
      <c r="S12" s="19">
        <f>IFERROR(R12/D12/$F12*1000,0)</f>
        <v>133.8290103486766</v>
      </c>
      <c r="T12" s="20">
        <f t="shared" si="5"/>
        <v>5.7541915236506549</v>
      </c>
      <c r="U12" s="17">
        <f>SUM(U6:U11)</f>
        <v>15120</v>
      </c>
      <c r="V12" s="19">
        <f>IFERROR(U12/D12/$F12*1000,0)</f>
        <v>57.210965435041714</v>
      </c>
      <c r="W12" s="19">
        <f t="shared" si="7"/>
        <v>0.4274930023466878</v>
      </c>
      <c r="X12" s="19">
        <f>IFERROR(SUMPRODUCT(R6:R11,X6:X11)/R12,0)</f>
        <v>366.53928835986386</v>
      </c>
      <c r="Y12" s="19">
        <f>IFERROR(($F12*S12)/($F12*K12)*100,0)</f>
        <v>173.78636006289307</v>
      </c>
      <c r="Z12" s="19">
        <f t="shared" si="9"/>
        <v>63.699528744103887</v>
      </c>
      <c r="AA12" s="17"/>
      <c r="AB12" s="21">
        <f>IFERROR(SUMPRODUCT($F6:$F11,AB6:AB11)/$F12,0)</f>
        <v>0.11703562979858786</v>
      </c>
      <c r="AC12" s="19"/>
      <c r="AD12" s="21">
        <f>AVERAGE(AD6:AD11)</f>
        <v>0</v>
      </c>
      <c r="AE12" s="19"/>
      <c r="AF12" s="19"/>
      <c r="AG12" s="17">
        <f>SUM(AG6:AG11)</f>
        <v>-8845.3000000000047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90</v>
      </c>
      <c r="C14" s="6">
        <v>27</v>
      </c>
      <c r="D14" s="6">
        <v>7</v>
      </c>
      <c r="E14" s="6">
        <v>21388</v>
      </c>
      <c r="F14" s="6">
        <v>16056</v>
      </c>
      <c r="G14" s="6">
        <v>93</v>
      </c>
      <c r="H14" s="8">
        <f t="shared" ref="H14:H31" si="12">IFERROR(G14/F14,0)</f>
        <v>5.7922272047832585E-3</v>
      </c>
      <c r="I14" s="8">
        <f>IFERROR((21388-F14)/21388,0)</f>
        <v>0.24929867215260895</v>
      </c>
      <c r="J14" s="6">
        <v>80800</v>
      </c>
      <c r="K14" s="10">
        <f t="shared" ref="K14:K31" si="13">IFERROR(J14/D14/F14*100,0)</f>
        <v>71.891237810520323</v>
      </c>
      <c r="L14" s="10">
        <f>K14-71.4507</f>
        <v>0.44053781052032548</v>
      </c>
      <c r="M14" s="10">
        <v>77</v>
      </c>
      <c r="N14" s="10">
        <f t="shared" ref="N14:N31" si="14">K14-M14</f>
        <v>-5.1087621894796769</v>
      </c>
      <c r="O14" s="10">
        <f>IFERROR(5976240/21388,0)</f>
        <v>279.4202356461567</v>
      </c>
      <c r="P14" s="10">
        <v>0</v>
      </c>
      <c r="Q14" s="10">
        <f t="shared" ref="Q14:Q30" si="15">IFERROR(O14-P14,0)</f>
        <v>279.4202356461567</v>
      </c>
      <c r="R14" s="6">
        <v>11320</v>
      </c>
      <c r="S14" s="10">
        <f t="shared" ref="S14:S30" si="16">IFERROR(R14/D14/F14*1000,0)</f>
        <v>100.7189123781052</v>
      </c>
      <c r="T14" s="12">
        <f t="shared" ref="T14:T31" si="17">IFERROR(J14/R14,0)</f>
        <v>7.137809187279152</v>
      </c>
      <c r="U14" s="6">
        <v>21190</v>
      </c>
      <c r="V14" s="10">
        <f t="shared" ref="V14:V30" si="18">IFERROR(U14/D14/F14*1000,0)</f>
        <v>188.53655064417396</v>
      </c>
      <c r="W14" s="10">
        <f t="shared" ref="W14:W31" si="19">IFERROR(V14/S14,0)</f>
        <v>1.8719081272084805</v>
      </c>
      <c r="X14" s="10">
        <v>300.80571428569999</v>
      </c>
      <c r="Y14" s="10">
        <f t="shared" ref="Y14:Y30" si="20">IFERROR((F14*S14)/(F14*K14)*100,0)</f>
        <v>140.0990099009901</v>
      </c>
      <c r="Z14" s="10">
        <f t="shared" ref="Z14:Z31" si="21">IFERROR(Y14*X14/1000,0)</f>
        <v>42.142582743986686</v>
      </c>
      <c r="AA14" s="6">
        <v>2090</v>
      </c>
      <c r="AB14" s="14">
        <f>IFERROR(AA14/1580,0)</f>
        <v>1.3227848101265822</v>
      </c>
      <c r="AC14" s="10">
        <v>0</v>
      </c>
      <c r="AD14" s="14">
        <f>IFERROR(AC14/63.7,0)</f>
        <v>0</v>
      </c>
      <c r="AE14" s="10">
        <v>17</v>
      </c>
      <c r="AF14" s="10">
        <v>25</v>
      </c>
      <c r="AG14" s="6">
        <f t="shared" ref="AG14:AG30" si="22">IF(M14=0,0,IFERROR(N14/100*7*F14,0))</f>
        <v>-5741.8399999999992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50</v>
      </c>
      <c r="C15" s="7"/>
      <c r="D15" s="7">
        <v>7</v>
      </c>
      <c r="E15" s="7">
        <v>10225</v>
      </c>
      <c r="F15" s="7">
        <v>8125</v>
      </c>
      <c r="G15" s="7">
        <v>101</v>
      </c>
      <c r="H15" s="9">
        <f t="shared" si="12"/>
        <v>1.2430769230769231E-2</v>
      </c>
      <c r="I15" s="9">
        <f>IFERROR((10225-F15)/10225,0)</f>
        <v>0.20537897310513448</v>
      </c>
      <c r="J15" s="7">
        <v>46770</v>
      </c>
      <c r="K15" s="11">
        <f t="shared" si="13"/>
        <v>82.232967032967025</v>
      </c>
      <c r="L15" s="11">
        <f>K15-81.7443</f>
        <v>0.48866703296702951</v>
      </c>
      <c r="M15" s="11">
        <v>88.5</v>
      </c>
      <c r="N15" s="11">
        <f t="shared" si="14"/>
        <v>-6.267032967032975</v>
      </c>
      <c r="O15" s="11">
        <f>IFERROR(1685640/10225,0)</f>
        <v>164.85476772616136</v>
      </c>
      <c r="P15" s="11">
        <v>198</v>
      </c>
      <c r="Q15" s="11">
        <f t="shared" si="15"/>
        <v>-33.145232273838644</v>
      </c>
      <c r="R15" s="7">
        <v>8260</v>
      </c>
      <c r="S15" s="11">
        <f t="shared" si="16"/>
        <v>145.23076923076923</v>
      </c>
      <c r="T15" s="13">
        <f t="shared" si="17"/>
        <v>5.6622276029055687</v>
      </c>
      <c r="U15" s="7">
        <v>12730</v>
      </c>
      <c r="V15" s="11">
        <f t="shared" si="18"/>
        <v>223.82417582417582</v>
      </c>
      <c r="W15" s="11">
        <f t="shared" si="19"/>
        <v>1.5411622276029056</v>
      </c>
      <c r="X15" s="11">
        <v>282.76571428570003</v>
      </c>
      <c r="Y15" s="11">
        <f t="shared" si="20"/>
        <v>176.60893735300408</v>
      </c>
      <c r="Z15" s="11">
        <f t="shared" si="21"/>
        <v>49.938952319860647</v>
      </c>
      <c r="AA15" s="7">
        <v>2030</v>
      </c>
      <c r="AB15" s="15">
        <f>IFERROR(AA15/1950,0)</f>
        <v>1.0410256410256411</v>
      </c>
      <c r="AC15" s="11">
        <v>0</v>
      </c>
      <c r="AD15" s="15">
        <f>IFERROR(AC15/63.4,0)</f>
        <v>0</v>
      </c>
      <c r="AE15" s="11">
        <v>13</v>
      </c>
      <c r="AF15" s="11">
        <v>25</v>
      </c>
      <c r="AG15" s="7">
        <f t="shared" si="22"/>
        <v>-3564.3750000000041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79</v>
      </c>
      <c r="C16" s="7"/>
      <c r="D16" s="7">
        <v>7</v>
      </c>
      <c r="E16" s="7">
        <v>56050</v>
      </c>
      <c r="F16" s="7">
        <v>48108</v>
      </c>
      <c r="G16" s="7">
        <v>227</v>
      </c>
      <c r="H16" s="9">
        <f t="shared" si="12"/>
        <v>4.7185499293256839E-3</v>
      </c>
      <c r="I16" s="9">
        <f>IFERROR((56050-F16)/56050,0)</f>
        <v>0.14169491525423727</v>
      </c>
      <c r="J16" s="7">
        <v>290640</v>
      </c>
      <c r="K16" s="11">
        <f t="shared" si="13"/>
        <v>86.305811923172854</v>
      </c>
      <c r="L16" s="11">
        <f>K16-90.0205</f>
        <v>-3.7146880768271444</v>
      </c>
      <c r="M16" s="11">
        <v>85.55</v>
      </c>
      <c r="N16" s="11">
        <f t="shared" si="14"/>
        <v>0.75581192317285684</v>
      </c>
      <c r="O16" s="11">
        <f>IFERROR(20185021/56050,0)</f>
        <v>360.12526315789472</v>
      </c>
      <c r="P16" s="11">
        <v>366</v>
      </c>
      <c r="Q16" s="11">
        <f t="shared" si="15"/>
        <v>-5.8747368421052784</v>
      </c>
      <c r="R16" s="7">
        <v>40310</v>
      </c>
      <c r="S16" s="11">
        <f t="shared" si="16"/>
        <v>119.70091104538598</v>
      </c>
      <c r="T16" s="13">
        <f t="shared" si="17"/>
        <v>7.2101215579260733</v>
      </c>
      <c r="U16" s="7">
        <v>64600</v>
      </c>
      <c r="V16" s="11">
        <f t="shared" si="18"/>
        <v>191.83028661701647</v>
      </c>
      <c r="W16" s="11">
        <f t="shared" si="19"/>
        <v>1.602580004961548</v>
      </c>
      <c r="X16" s="11">
        <v>306.60714285709997</v>
      </c>
      <c r="Y16" s="11">
        <f t="shared" si="20"/>
        <v>138.69391687310767</v>
      </c>
      <c r="Z16" s="11">
        <f t="shared" si="21"/>
        <v>42.524545584123672</v>
      </c>
      <c r="AA16" s="7">
        <v>1803</v>
      </c>
      <c r="AB16" s="15">
        <f>IFERROR(AA16/1725,0)</f>
        <v>1.0452173913043479</v>
      </c>
      <c r="AC16" s="11">
        <v>0</v>
      </c>
      <c r="AD16" s="15">
        <f>IFERROR(AC16/64.1,0)</f>
        <v>0</v>
      </c>
      <c r="AE16" s="11">
        <v>21</v>
      </c>
      <c r="AF16" s="11">
        <v>26</v>
      </c>
      <c r="AG16" s="7">
        <f t="shared" si="22"/>
        <v>2545.2419999999856</v>
      </c>
      <c r="AH16" s="7">
        <v>36</v>
      </c>
      <c r="AI16" s="7">
        <v>6.6666666667000003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IFERROR(1170/F16,0)</f>
        <v>2.4320279371414316E-2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72</v>
      </c>
      <c r="C17" s="7"/>
      <c r="D17" s="7">
        <v>7</v>
      </c>
      <c r="E17" s="7">
        <v>51536</v>
      </c>
      <c r="F17" s="7">
        <v>46067</v>
      </c>
      <c r="G17" s="7">
        <v>400</v>
      </c>
      <c r="H17" s="9">
        <f t="shared" si="12"/>
        <v>8.6830051880956004E-3</v>
      </c>
      <c r="I17" s="9">
        <f>IFERROR((51536-F17)/51536,0)</f>
        <v>0.10611999379074821</v>
      </c>
      <c r="J17" s="7">
        <v>260840</v>
      </c>
      <c r="K17" s="11">
        <f t="shared" si="13"/>
        <v>80.888395473673441</v>
      </c>
      <c r="L17" s="11">
        <f>K17-82.8914</f>
        <v>-2.0030045263265635</v>
      </c>
      <c r="M17" s="11">
        <v>87.8</v>
      </c>
      <c r="N17" s="11">
        <f t="shared" si="14"/>
        <v>-6.9116045263265562</v>
      </c>
      <c r="O17" s="11">
        <f>IFERROR(16156722/51536,0)</f>
        <v>313.5036091276001</v>
      </c>
      <c r="P17" s="11">
        <v>327</v>
      </c>
      <c r="Q17" s="11">
        <f t="shared" si="15"/>
        <v>-13.4963908723999</v>
      </c>
      <c r="R17" s="7">
        <v>36680</v>
      </c>
      <c r="S17" s="11">
        <f t="shared" si="16"/>
        <v>113.74736796405236</v>
      </c>
      <c r="T17" s="13">
        <f t="shared" si="17"/>
        <v>7.1112322791712108</v>
      </c>
      <c r="U17" s="7">
        <v>67318</v>
      </c>
      <c r="V17" s="11">
        <f t="shared" si="18"/>
        <v>208.75805116150701</v>
      </c>
      <c r="W17" s="11">
        <f t="shared" si="19"/>
        <v>1.8352780806979281</v>
      </c>
      <c r="X17" s="11">
        <v>307.35285714290001</v>
      </c>
      <c r="Y17" s="11">
        <f t="shared" si="20"/>
        <v>140.62260389510811</v>
      </c>
      <c r="Z17" s="11">
        <f t="shared" si="21"/>
        <v>43.220759086035784</v>
      </c>
      <c r="AA17" s="7">
        <v>1668</v>
      </c>
      <c r="AB17" s="15">
        <f>IFERROR(AA17/1725,0)</f>
        <v>0.96695652173913038</v>
      </c>
      <c r="AC17" s="11">
        <v>0</v>
      </c>
      <c r="AD17" s="15">
        <f>IFERROR(AC17/63.8,0)</f>
        <v>0</v>
      </c>
      <c r="AE17" s="11">
        <v>22</v>
      </c>
      <c r="AF17" s="11">
        <v>26</v>
      </c>
      <c r="AG17" s="7">
        <f t="shared" si="22"/>
        <v>-22287.781999999985</v>
      </c>
      <c r="AH17" s="7">
        <v>23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19</v>
      </c>
      <c r="C18" s="7"/>
      <c r="D18" s="7">
        <v>7</v>
      </c>
      <c r="E18" s="7">
        <v>49067</v>
      </c>
      <c r="F18" s="7">
        <v>48995</v>
      </c>
      <c r="G18" s="7">
        <v>72</v>
      </c>
      <c r="H18" s="9">
        <f t="shared" si="12"/>
        <v>1.4695377079293806E-3</v>
      </c>
      <c r="I18" s="9">
        <f>IFERROR((49067-F18)/49067,0)</f>
        <v>1.4673813357246215E-3</v>
      </c>
      <c r="J18" s="7">
        <v>51300</v>
      </c>
      <c r="K18" s="11">
        <f t="shared" si="13"/>
        <v>14.957794527138338</v>
      </c>
      <c r="L18" s="11">
        <f>K18-0</f>
        <v>14.957794527138338</v>
      </c>
      <c r="M18" s="11">
        <v>9.35</v>
      </c>
      <c r="N18" s="11">
        <f t="shared" si="14"/>
        <v>5.6077945271383385</v>
      </c>
      <c r="O18" s="11">
        <f>IFERROR(24993089/49067,0)</f>
        <v>509.36656000978252</v>
      </c>
      <c r="P18" s="11">
        <v>1</v>
      </c>
      <c r="Q18" s="11">
        <f t="shared" si="15"/>
        <v>508.36656000978252</v>
      </c>
      <c r="R18" s="7">
        <v>28320</v>
      </c>
      <c r="S18" s="11">
        <f t="shared" si="16"/>
        <v>82.574023588412814</v>
      </c>
      <c r="T18" s="13">
        <f t="shared" si="17"/>
        <v>1.8114406779661016</v>
      </c>
      <c r="U18" s="7">
        <v>53350</v>
      </c>
      <c r="V18" s="11">
        <f t="shared" si="18"/>
        <v>155.55523158339773</v>
      </c>
      <c r="W18" s="11">
        <f t="shared" si="19"/>
        <v>1.8838276836158192</v>
      </c>
      <c r="X18" s="11">
        <v>301.50571428569998</v>
      </c>
      <c r="Y18" s="11">
        <f t="shared" si="20"/>
        <v>552.046783625731</v>
      </c>
      <c r="Z18" s="11">
        <f t="shared" si="21"/>
        <v>166.44525981619927</v>
      </c>
      <c r="AA18" s="7">
        <v>1371</v>
      </c>
      <c r="AB18" s="15">
        <f>IFERROR(AA18/1335,0)</f>
        <v>1.0269662921348315</v>
      </c>
      <c r="AC18" s="11">
        <v>0</v>
      </c>
      <c r="AD18" s="15">
        <f>IFERROR(AC18/42.85,0)</f>
        <v>0</v>
      </c>
      <c r="AE18" s="11">
        <v>18</v>
      </c>
      <c r="AF18" s="11">
        <v>26</v>
      </c>
      <c r="AG18" s="7">
        <f t="shared" si="22"/>
        <v>19232.772500000003</v>
      </c>
      <c r="AH18" s="7">
        <v>0</v>
      </c>
      <c r="AI18" s="7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IFERROR(0/F18,0)</f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51</v>
      </c>
      <c r="C19" s="7"/>
      <c r="D19" s="7">
        <v>7</v>
      </c>
      <c r="E19" s="7">
        <v>52424</v>
      </c>
      <c r="F19" s="7">
        <v>47240</v>
      </c>
      <c r="G19" s="7">
        <v>304</v>
      </c>
      <c r="H19" s="9">
        <f t="shared" si="12"/>
        <v>6.4352243861134631E-3</v>
      </c>
      <c r="I19" s="9">
        <f>IFERROR((52424-F19)/52424,0)</f>
        <v>9.8886006409278193E-2</v>
      </c>
      <c r="J19" s="7">
        <v>296520</v>
      </c>
      <c r="K19" s="11">
        <f t="shared" si="13"/>
        <v>89.669771380186276</v>
      </c>
      <c r="L19" s="11">
        <f>K19-90.755</f>
        <v>-1.0852286198137193</v>
      </c>
      <c r="M19" s="11">
        <v>93.7</v>
      </c>
      <c r="N19" s="11">
        <f t="shared" si="14"/>
        <v>-4.0302286198137267</v>
      </c>
      <c r="O19" s="11">
        <f>IFERROR(9829800/52424,0)</f>
        <v>187.50572256981536</v>
      </c>
      <c r="P19" s="11">
        <v>204</v>
      </c>
      <c r="Q19" s="11">
        <f t="shared" si="15"/>
        <v>-16.494277430184638</v>
      </c>
      <c r="R19" s="7">
        <v>41186</v>
      </c>
      <c r="S19" s="11">
        <f t="shared" si="16"/>
        <v>124.54941333010764</v>
      </c>
      <c r="T19" s="13">
        <f t="shared" si="17"/>
        <v>7.1995338221725831</v>
      </c>
      <c r="U19" s="7">
        <v>60530</v>
      </c>
      <c r="V19" s="11">
        <f t="shared" si="18"/>
        <v>183.04705455425182</v>
      </c>
      <c r="W19" s="11">
        <f t="shared" si="19"/>
        <v>1.4696741611227115</v>
      </c>
      <c r="X19" s="11">
        <v>294.22285714290001</v>
      </c>
      <c r="Y19" s="11">
        <f t="shared" si="20"/>
        <v>138.89788209901522</v>
      </c>
      <c r="Z19" s="11">
        <f t="shared" si="21"/>
        <v>40.866931722269925</v>
      </c>
      <c r="AA19" s="7">
        <v>1721</v>
      </c>
      <c r="AB19" s="15">
        <f>IFERROR(AA19/1725,0)</f>
        <v>0.9976811594202899</v>
      </c>
      <c r="AC19" s="11">
        <v>61.11</v>
      </c>
      <c r="AD19" s="15">
        <f>IFERROR(AC19/62.7,0)</f>
        <v>0.97464114832535875</v>
      </c>
      <c r="AE19" s="11">
        <v>20</v>
      </c>
      <c r="AF19" s="11">
        <v>25</v>
      </c>
      <c r="AG19" s="7">
        <f t="shared" si="22"/>
        <v>-13327.160000000033</v>
      </c>
      <c r="AH19" s="7">
        <v>33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IFERROR(1400/F19,0)</f>
        <v>2.9635901778154106E-2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41</v>
      </c>
      <c r="C20" s="7"/>
      <c r="D20" s="7">
        <v>7</v>
      </c>
      <c r="E20" s="7">
        <v>50525</v>
      </c>
      <c r="F20" s="7">
        <v>48345</v>
      </c>
      <c r="G20" s="7">
        <v>151</v>
      </c>
      <c r="H20" s="9">
        <f t="shared" si="12"/>
        <v>3.1233840107560244E-3</v>
      </c>
      <c r="I20" s="9">
        <f>IFERROR((50525-F20)/50525,0)</f>
        <v>4.3146956952003955E-2</v>
      </c>
      <c r="J20" s="7">
        <v>304480</v>
      </c>
      <c r="K20" s="11">
        <f t="shared" si="13"/>
        <v>89.972371201040133</v>
      </c>
      <c r="L20" s="11">
        <f>K20-91.2181</f>
        <v>-1.245728798959874</v>
      </c>
      <c r="M20" s="11">
        <v>93</v>
      </c>
      <c r="N20" s="11">
        <f t="shared" si="14"/>
        <v>-3.0276287989598671</v>
      </c>
      <c r="O20" s="11">
        <f>IFERROR(6471450/50525,0)</f>
        <v>128.08411677387431</v>
      </c>
      <c r="P20" s="11">
        <v>139</v>
      </c>
      <c r="Q20" s="11">
        <f t="shared" si="15"/>
        <v>-10.915883226125686</v>
      </c>
      <c r="R20" s="7">
        <v>39108</v>
      </c>
      <c r="S20" s="11">
        <f t="shared" si="16"/>
        <v>115.56225344621249</v>
      </c>
      <c r="T20" s="13">
        <f t="shared" si="17"/>
        <v>7.7856193106269815</v>
      </c>
      <c r="U20" s="7">
        <v>71743</v>
      </c>
      <c r="V20" s="11">
        <f t="shared" si="18"/>
        <v>211.9971041472748</v>
      </c>
      <c r="W20" s="11">
        <f t="shared" si="19"/>
        <v>1.8344839930449013</v>
      </c>
      <c r="X20" s="11">
        <v>291.19428571430001</v>
      </c>
      <c r="Y20" s="11">
        <f t="shared" si="20"/>
        <v>128.4419337887546</v>
      </c>
      <c r="Z20" s="11">
        <f t="shared" si="21"/>
        <v>37.401557165379813</v>
      </c>
      <c r="AA20" s="7">
        <v>1692</v>
      </c>
      <c r="AB20" s="15">
        <f>IFERROR(AA20/1570,0)</f>
        <v>1.0777070063694267</v>
      </c>
      <c r="AC20" s="11">
        <v>60.53</v>
      </c>
      <c r="AD20" s="15">
        <f>IFERROR(AC20/61.1,0)</f>
        <v>0.99067103109656296</v>
      </c>
      <c r="AE20" s="11">
        <v>18</v>
      </c>
      <c r="AF20" s="11">
        <v>26</v>
      </c>
      <c r="AG20" s="7">
        <f t="shared" si="22"/>
        <v>-10245.950000000035</v>
      </c>
      <c r="AH20" s="7">
        <v>32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IFERROR(980/F20,0)</f>
        <v>2.0270969076429828E-2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60</v>
      </c>
      <c r="C21" s="7"/>
      <c r="D21" s="7">
        <v>7</v>
      </c>
      <c r="E21" s="7">
        <v>50845</v>
      </c>
      <c r="F21" s="7">
        <v>47936</v>
      </c>
      <c r="G21" s="7">
        <v>113</v>
      </c>
      <c r="H21" s="9">
        <f t="shared" si="12"/>
        <v>2.357309746328438E-3</v>
      </c>
      <c r="I21" s="9">
        <f>IFERROR((50845-F21)/50845,0)</f>
        <v>5.7213098633100597E-2</v>
      </c>
      <c r="J21" s="7">
        <v>306640</v>
      </c>
      <c r="K21" s="11">
        <f t="shared" si="13"/>
        <v>91.38374976158687</v>
      </c>
      <c r="L21" s="11">
        <f>K21-92.7684</f>
        <v>-1.3846502384131298</v>
      </c>
      <c r="M21" s="11">
        <v>91.4</v>
      </c>
      <c r="N21" s="11">
        <f t="shared" si="14"/>
        <v>-1.6250238413135776E-2</v>
      </c>
      <c r="O21" s="11">
        <f>IFERROR(12826690/50845,0)</f>
        <v>252.2704297374373</v>
      </c>
      <c r="P21" s="11">
        <v>257</v>
      </c>
      <c r="Q21" s="11">
        <f t="shared" si="15"/>
        <v>-4.729570262562703</v>
      </c>
      <c r="R21" s="7">
        <v>36948</v>
      </c>
      <c r="S21" s="11">
        <f t="shared" si="16"/>
        <v>110.11110051497235</v>
      </c>
      <c r="T21" s="13">
        <f t="shared" si="17"/>
        <v>8.2992313521706187</v>
      </c>
      <c r="U21" s="7">
        <v>69700</v>
      </c>
      <c r="V21" s="11">
        <f t="shared" si="18"/>
        <v>207.7174327674995</v>
      </c>
      <c r="W21" s="11">
        <f t="shared" si="19"/>
        <v>1.8864349897152752</v>
      </c>
      <c r="X21" s="11">
        <v>306.07857142860001</v>
      </c>
      <c r="Y21" s="11">
        <f t="shared" si="20"/>
        <v>120.49308635533527</v>
      </c>
      <c r="Z21" s="11">
        <f t="shared" si="21"/>
        <v>36.880351738663961</v>
      </c>
      <c r="AA21" s="7">
        <v>1667</v>
      </c>
      <c r="AB21" s="15">
        <f>IFERROR(AA21/1725,0)</f>
        <v>0.96637681159420286</v>
      </c>
      <c r="AC21" s="11">
        <v>61.41</v>
      </c>
      <c r="AD21" s="15">
        <f>IFERROR(AC21/63.2,0)</f>
        <v>0.97167721518987327</v>
      </c>
      <c r="AE21" s="11">
        <v>19</v>
      </c>
      <c r="AF21" s="11">
        <v>26</v>
      </c>
      <c r="AG21" s="7">
        <f t="shared" si="22"/>
        <v>-54.528000000045367</v>
      </c>
      <c r="AH21" s="7">
        <v>35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IFERROR(1200/F21,0)</f>
        <v>2.5033377837116153E-2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27</v>
      </c>
      <c r="C22" s="7"/>
      <c r="D22" s="7">
        <v>7</v>
      </c>
      <c r="E22" s="7">
        <v>21024</v>
      </c>
      <c r="F22" s="7">
        <v>20525</v>
      </c>
      <c r="G22" s="7">
        <v>31</v>
      </c>
      <c r="H22" s="9">
        <f t="shared" si="12"/>
        <v>1.5103532277710109E-3</v>
      </c>
      <c r="I22" s="9">
        <f>IFERROR((21024-F22)/21024,0)</f>
        <v>2.3734779299847793E-2</v>
      </c>
      <c r="J22" s="7">
        <v>92910</v>
      </c>
      <c r="K22" s="11">
        <f t="shared" si="13"/>
        <v>64.666782669218719</v>
      </c>
      <c r="L22" s="11">
        <f>K22-63.0264</f>
        <v>1.6403826692187167</v>
      </c>
      <c r="M22" s="11">
        <v>95.5</v>
      </c>
      <c r="N22" s="11">
        <f t="shared" si="14"/>
        <v>-30.833217330781281</v>
      </c>
      <c r="O22" s="11">
        <f>IFERROR(567750/21024,0)</f>
        <v>27.004851598173516</v>
      </c>
      <c r="P22" s="11">
        <v>52</v>
      </c>
      <c r="Q22" s="11">
        <f t="shared" si="15"/>
        <v>-24.995148401826484</v>
      </c>
      <c r="R22" s="7">
        <v>17850</v>
      </c>
      <c r="S22" s="11">
        <f t="shared" si="16"/>
        <v>124.23873325213154</v>
      </c>
      <c r="T22" s="13">
        <f t="shared" si="17"/>
        <v>5.2050420168067228</v>
      </c>
      <c r="U22" s="7">
        <v>18730</v>
      </c>
      <c r="V22" s="11">
        <f t="shared" si="18"/>
        <v>130.36366800069601</v>
      </c>
      <c r="W22" s="11">
        <f t="shared" si="19"/>
        <v>1.0492997198879552</v>
      </c>
      <c r="X22" s="11">
        <v>300.80571428569999</v>
      </c>
      <c r="Y22" s="11">
        <f t="shared" si="20"/>
        <v>192.12140781401357</v>
      </c>
      <c r="Z22" s="11">
        <f t="shared" si="21"/>
        <v>57.791217307068614</v>
      </c>
      <c r="AA22" s="7">
        <v>1630</v>
      </c>
      <c r="AB22" s="15">
        <f>IFERROR(AA22/1880,0)</f>
        <v>0.86702127659574468</v>
      </c>
      <c r="AC22" s="11">
        <v>0</v>
      </c>
      <c r="AD22" s="15">
        <f>IFERROR(AC22/58.4,0)</f>
        <v>0</v>
      </c>
      <c r="AE22" s="11">
        <v>17</v>
      </c>
      <c r="AF22" s="11">
        <v>25</v>
      </c>
      <c r="AG22" s="7">
        <f t="shared" si="22"/>
        <v>-44299.625000000015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51</v>
      </c>
      <c r="C23" s="7"/>
      <c r="D23" s="7">
        <v>7</v>
      </c>
      <c r="E23" s="7">
        <v>21875</v>
      </c>
      <c r="F23" s="7">
        <v>20830</v>
      </c>
      <c r="G23" s="7">
        <v>38</v>
      </c>
      <c r="H23" s="9">
        <f t="shared" si="12"/>
        <v>1.8242918867018723E-3</v>
      </c>
      <c r="I23" s="9">
        <f>IFERROR((21875-F23)/21875,0)</f>
        <v>4.7771428571428569E-2</v>
      </c>
      <c r="J23" s="7">
        <v>132120</v>
      </c>
      <c r="K23" s="11">
        <f t="shared" si="13"/>
        <v>90.611069199643367</v>
      </c>
      <c r="L23" s="11">
        <f>K23-91.1854</f>
        <v>-0.57433080035663409</v>
      </c>
      <c r="M23" s="11">
        <v>88</v>
      </c>
      <c r="N23" s="11">
        <f t="shared" si="14"/>
        <v>2.6110691996433673</v>
      </c>
      <c r="O23" s="11">
        <f>IFERROR(4443990/21875,0)</f>
        <v>203.15382857142856</v>
      </c>
      <c r="P23" s="11">
        <v>204</v>
      </c>
      <c r="Q23" s="11">
        <f t="shared" si="15"/>
        <v>-0.8461714285714379</v>
      </c>
      <c r="R23" s="7">
        <v>18090</v>
      </c>
      <c r="S23" s="11">
        <f t="shared" si="16"/>
        <v>124.06556477607846</v>
      </c>
      <c r="T23" s="13">
        <f t="shared" si="17"/>
        <v>7.3034825870646767</v>
      </c>
      <c r="U23" s="7">
        <v>30263</v>
      </c>
      <c r="V23" s="11">
        <f t="shared" si="18"/>
        <v>207.55092243330364</v>
      </c>
      <c r="W23" s="11">
        <f t="shared" si="19"/>
        <v>1.6729132117191821</v>
      </c>
      <c r="X23" s="11">
        <v>285.94285714289998</v>
      </c>
      <c r="Y23" s="11">
        <f t="shared" si="20"/>
        <v>136.92098092643056</v>
      </c>
      <c r="Z23" s="11">
        <f t="shared" si="21"/>
        <v>39.15157648891207</v>
      </c>
      <c r="AA23" s="7">
        <v>2011</v>
      </c>
      <c r="AB23" s="15">
        <f>IFERROR(AA23/1950,0)</f>
        <v>1.0312820512820513</v>
      </c>
      <c r="AC23" s="11">
        <v>64.86</v>
      </c>
      <c r="AD23" s="15">
        <f>IFERROR(AC23/63.4,0)</f>
        <v>1.0230283911671925</v>
      </c>
      <c r="AE23" s="11">
        <v>20</v>
      </c>
      <c r="AF23" s="11">
        <v>25</v>
      </c>
      <c r="AG23" s="7">
        <f t="shared" si="22"/>
        <v>3807.1999999999939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IFERROR(595/F23,0)</f>
        <v>2.8564570331253002E-2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110</v>
      </c>
      <c r="C24" s="7">
        <v>43</v>
      </c>
      <c r="D24" s="7">
        <v>7</v>
      </c>
      <c r="E24" s="7">
        <v>51833</v>
      </c>
      <c r="F24" s="7">
        <v>38505</v>
      </c>
      <c r="G24" s="7">
        <v>245</v>
      </c>
      <c r="H24" s="9">
        <f t="shared" si="12"/>
        <v>6.3628100246721202E-3</v>
      </c>
      <c r="I24" s="9">
        <f>IFERROR((51833-F24)/51833,0)</f>
        <v>0.25713348638897998</v>
      </c>
      <c r="J24" s="7">
        <v>147060</v>
      </c>
      <c r="K24" s="11">
        <f t="shared" si="13"/>
        <v>54.560632199899828</v>
      </c>
      <c r="L24" s="11">
        <f>K24-53.412</f>
        <v>1.1486321998998292</v>
      </c>
      <c r="M24" s="11">
        <v>69</v>
      </c>
      <c r="N24" s="11">
        <f t="shared" si="14"/>
        <v>-14.439367800100172</v>
      </c>
      <c r="O24" s="11">
        <f>IFERROR(21897948/51833,0)</f>
        <v>422.47116701715123</v>
      </c>
      <c r="P24" s="11">
        <v>0</v>
      </c>
      <c r="Q24" s="11">
        <f t="shared" si="15"/>
        <v>422.47116701715123</v>
      </c>
      <c r="R24" s="7">
        <v>33563</v>
      </c>
      <c r="S24" s="11">
        <f t="shared" si="16"/>
        <v>124.52186172482237</v>
      </c>
      <c r="T24" s="13">
        <f t="shared" si="17"/>
        <v>4.381610702261419</v>
      </c>
      <c r="U24" s="7">
        <v>56928</v>
      </c>
      <c r="V24" s="11">
        <f t="shared" si="18"/>
        <v>211.20819188602593</v>
      </c>
      <c r="W24" s="11">
        <f t="shared" si="19"/>
        <v>1.6961535023686798</v>
      </c>
      <c r="X24" s="11">
        <v>292.86</v>
      </c>
      <c r="Y24" s="11">
        <f t="shared" si="20"/>
        <v>228.2265741874065</v>
      </c>
      <c r="Z24" s="11">
        <f t="shared" si="21"/>
        <v>66.838434516523876</v>
      </c>
      <c r="AA24" s="7">
        <v>1643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19</v>
      </c>
      <c r="AF24" s="11">
        <v>26</v>
      </c>
      <c r="AG24" s="7">
        <f t="shared" si="22"/>
        <v>-38919.149999999994</v>
      </c>
      <c r="AH24" s="7">
        <v>27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IFERROR(1400/F24,0)</f>
        <v>3.6358914426697829E-2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108</v>
      </c>
      <c r="C25" s="7">
        <v>42</v>
      </c>
      <c r="D25" s="7">
        <v>7</v>
      </c>
      <c r="E25" s="7">
        <v>21623</v>
      </c>
      <c r="F25" s="7">
        <v>17480</v>
      </c>
      <c r="G25" s="7">
        <v>65</v>
      </c>
      <c r="H25" s="9">
        <f t="shared" si="12"/>
        <v>3.7185354691075517E-3</v>
      </c>
      <c r="I25" s="9">
        <f>IFERROR((21623-F25)/21623,0)</f>
        <v>0.19160153540211811</v>
      </c>
      <c r="J25" s="7">
        <v>75780</v>
      </c>
      <c r="K25" s="11">
        <f t="shared" si="13"/>
        <v>61.932003922850612</v>
      </c>
      <c r="L25" s="11">
        <f>K25-62.5819</f>
        <v>-0.64989607714938558</v>
      </c>
      <c r="M25" s="11">
        <v>67</v>
      </c>
      <c r="N25" s="11">
        <f t="shared" si="14"/>
        <v>-5.0679960771493882</v>
      </c>
      <c r="O25" s="11">
        <f>IFERROR(9360335/21623,0)</f>
        <v>432.8878971465569</v>
      </c>
      <c r="P25" s="11">
        <v>0</v>
      </c>
      <c r="Q25" s="11">
        <f t="shared" si="15"/>
        <v>432.8878971465569</v>
      </c>
      <c r="R25" s="7">
        <v>14822</v>
      </c>
      <c r="S25" s="11">
        <f t="shared" si="16"/>
        <v>121.13435763321348</v>
      </c>
      <c r="T25" s="13">
        <f t="shared" si="17"/>
        <v>5.112670354877884</v>
      </c>
      <c r="U25" s="7">
        <v>28463</v>
      </c>
      <c r="V25" s="11">
        <f t="shared" si="18"/>
        <v>232.61686825760052</v>
      </c>
      <c r="W25" s="11">
        <f t="shared" si="19"/>
        <v>1.920321144245041</v>
      </c>
      <c r="X25" s="11">
        <v>284.92714285710002</v>
      </c>
      <c r="Y25" s="11">
        <f t="shared" si="20"/>
        <v>195.59250461863292</v>
      </c>
      <c r="Z25" s="11">
        <f t="shared" si="21"/>
        <v>55.729613505251216</v>
      </c>
      <c r="AA25" s="7">
        <v>2087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19</v>
      </c>
      <c r="AF25" s="11">
        <v>26</v>
      </c>
      <c r="AG25" s="7">
        <f t="shared" si="22"/>
        <v>-6201.1999999999907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IFERROR(560/F25,0)</f>
        <v>3.2036613272311214E-2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68</v>
      </c>
      <c r="B26" s="5">
        <v>41</v>
      </c>
      <c r="C26" s="7"/>
      <c r="D26" s="7">
        <v>7</v>
      </c>
      <c r="E26" s="7">
        <v>21339</v>
      </c>
      <c r="F26" s="7">
        <v>20682</v>
      </c>
      <c r="G26" s="7">
        <v>43</v>
      </c>
      <c r="H26" s="9">
        <f t="shared" si="12"/>
        <v>2.0791026012958128E-3</v>
      </c>
      <c r="I26" s="9">
        <f>IFERROR((21339-F26)/21339,0)</f>
        <v>3.0788696752425137E-2</v>
      </c>
      <c r="J26" s="7">
        <v>128160</v>
      </c>
      <c r="K26" s="11">
        <f t="shared" si="13"/>
        <v>88.524182518960586</v>
      </c>
      <c r="L26" s="11">
        <f>K26-88.7127</f>
        <v>-0.1885174810394119</v>
      </c>
      <c r="M26" s="11">
        <v>92</v>
      </c>
      <c r="N26" s="11">
        <f t="shared" si="14"/>
        <v>-3.4758174810394138</v>
      </c>
      <c r="O26" s="11">
        <f>IFERROR(2874120/21339,0)</f>
        <v>134.68859834106564</v>
      </c>
      <c r="P26" s="11">
        <v>143</v>
      </c>
      <c r="Q26" s="11">
        <f t="shared" si="15"/>
        <v>-8.3114016589343578</v>
      </c>
      <c r="R26" s="7">
        <v>17260</v>
      </c>
      <c r="S26" s="11">
        <f t="shared" si="16"/>
        <v>119.22030198792601</v>
      </c>
      <c r="T26" s="13">
        <f t="shared" si="17"/>
        <v>7.4252607184241022</v>
      </c>
      <c r="U26" s="7">
        <v>35870</v>
      </c>
      <c r="V26" s="11">
        <f t="shared" si="18"/>
        <v>247.76548275242794</v>
      </c>
      <c r="W26" s="11">
        <f t="shared" si="19"/>
        <v>2.0782155272305913</v>
      </c>
      <c r="X26" s="11">
        <v>280.1442857143</v>
      </c>
      <c r="Y26" s="11">
        <f t="shared" si="20"/>
        <v>134.67540574282145</v>
      </c>
      <c r="Z26" s="11">
        <f t="shared" si="21"/>
        <v>37.728545345106248</v>
      </c>
      <c r="AA26" s="7">
        <v>2000</v>
      </c>
      <c r="AB26" s="15">
        <f>IFERROR(AA26/1930,0)</f>
        <v>1.0362694300518134</v>
      </c>
      <c r="AC26" s="11">
        <v>63.81</v>
      </c>
      <c r="AD26" s="15">
        <f>IFERROR(AC26/62.4,0)</f>
        <v>1.0225961538461539</v>
      </c>
      <c r="AE26" s="11">
        <v>18</v>
      </c>
      <c r="AF26" s="11">
        <v>26</v>
      </c>
      <c r="AG26" s="7">
        <f t="shared" si="22"/>
        <v>-5032.0800000000008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IFERROR(490/F26,0)</f>
        <v>2.3692099410115075E-2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69</v>
      </c>
      <c r="B27" s="5">
        <v>28</v>
      </c>
      <c r="C27" s="7"/>
      <c r="D27" s="7">
        <v>7</v>
      </c>
      <c r="E27" s="7">
        <v>64976</v>
      </c>
      <c r="F27" s="7">
        <v>63866</v>
      </c>
      <c r="G27" s="7">
        <v>131</v>
      </c>
      <c r="H27" s="9">
        <f t="shared" si="12"/>
        <v>2.0511696364262674E-3</v>
      </c>
      <c r="I27" s="9">
        <f>IFERROR((64976-F27)/64976,0)</f>
        <v>1.708323073134696E-2</v>
      </c>
      <c r="J27" s="7">
        <v>418940</v>
      </c>
      <c r="K27" s="11">
        <f t="shared" si="13"/>
        <v>93.709597326545307</v>
      </c>
      <c r="L27" s="11">
        <f>K27-96.8215</f>
        <v>-3.1119026734546935</v>
      </c>
      <c r="M27" s="11">
        <v>95.5</v>
      </c>
      <c r="N27" s="11">
        <f t="shared" si="14"/>
        <v>-1.7904026734546932</v>
      </c>
      <c r="O27" s="11">
        <f>IFERROR(3575920/64976,0)</f>
        <v>55.034474267421814</v>
      </c>
      <c r="P27" s="11">
        <v>54</v>
      </c>
      <c r="Q27" s="11">
        <f t="shared" si="15"/>
        <v>1.0344742674218139</v>
      </c>
      <c r="R27" s="7">
        <v>50720</v>
      </c>
      <c r="S27" s="11">
        <f t="shared" si="16"/>
        <v>113.45182547387162</v>
      </c>
      <c r="T27" s="13">
        <f t="shared" si="17"/>
        <v>8.2598580441640372</v>
      </c>
      <c r="U27" s="7">
        <v>101990</v>
      </c>
      <c r="V27" s="11">
        <f t="shared" si="18"/>
        <v>228.13390536435662</v>
      </c>
      <c r="W27" s="11">
        <f t="shared" si="19"/>
        <v>2.0108438485804419</v>
      </c>
      <c r="X27" s="11">
        <v>288.10285714290001</v>
      </c>
      <c r="Y27" s="11">
        <f t="shared" si="20"/>
        <v>121.0674559602807</v>
      </c>
      <c r="Z27" s="11">
        <f t="shared" si="21"/>
        <v>34.879879969179086</v>
      </c>
      <c r="AA27" s="7">
        <v>1547</v>
      </c>
      <c r="AB27" s="15">
        <f>IFERROR(AA27/1520,0)</f>
        <v>1.0177631578947368</v>
      </c>
      <c r="AC27" s="11">
        <v>0</v>
      </c>
      <c r="AD27" s="15">
        <f>IFERROR(AC27/56.3,0)</f>
        <v>0</v>
      </c>
      <c r="AE27" s="11">
        <v>22</v>
      </c>
      <c r="AF27" s="11">
        <v>26</v>
      </c>
      <c r="AG27" s="7">
        <f t="shared" si="22"/>
        <v>-8004.2100000000191</v>
      </c>
      <c r="AH27" s="7">
        <v>13</v>
      </c>
      <c r="AI27" s="7">
        <v>23.076923076900002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99</v>
      </c>
      <c r="C28" s="7">
        <v>27</v>
      </c>
      <c r="D28" s="7">
        <v>7</v>
      </c>
      <c r="E28" s="7">
        <v>47224</v>
      </c>
      <c r="F28" s="7">
        <v>36178</v>
      </c>
      <c r="G28" s="7">
        <v>168</v>
      </c>
      <c r="H28" s="9">
        <f t="shared" si="12"/>
        <v>4.6437061197412794E-3</v>
      </c>
      <c r="I28" s="9">
        <f>IFERROR((47224-F28)/47224,0)</f>
        <v>0.23390648822632559</v>
      </c>
      <c r="J28" s="7">
        <v>162260</v>
      </c>
      <c r="K28" s="11">
        <f t="shared" si="13"/>
        <v>64.072088009287413</v>
      </c>
      <c r="L28" s="11">
        <f>K28-64.6799</f>
        <v>-0.60781199071259095</v>
      </c>
      <c r="M28" s="11">
        <v>74</v>
      </c>
      <c r="N28" s="11">
        <f t="shared" si="14"/>
        <v>-9.9279119907125875</v>
      </c>
      <c r="O28" s="11">
        <f>IFERROR(17611230/47224,0)</f>
        <v>372.92965441301033</v>
      </c>
      <c r="P28" s="11">
        <v>0</v>
      </c>
      <c r="Q28" s="11">
        <f t="shared" si="15"/>
        <v>372.92965441301033</v>
      </c>
      <c r="R28" s="7">
        <v>30900</v>
      </c>
      <c r="S28" s="11">
        <f t="shared" si="16"/>
        <v>122.01574753401832</v>
      </c>
      <c r="T28" s="13">
        <f t="shared" si="17"/>
        <v>5.2511326860841425</v>
      </c>
      <c r="U28" s="7">
        <v>51600</v>
      </c>
      <c r="V28" s="11">
        <f t="shared" si="18"/>
        <v>203.75445219272962</v>
      </c>
      <c r="W28" s="11">
        <f t="shared" si="19"/>
        <v>1.6699029126213591</v>
      </c>
      <c r="X28" s="11">
        <v>293.51142857140002</v>
      </c>
      <c r="Y28" s="11">
        <f t="shared" si="20"/>
        <v>190.43510415382721</v>
      </c>
      <c r="Z28" s="11">
        <f t="shared" si="21"/>
        <v>55.89487947033318</v>
      </c>
      <c r="AA28" s="7">
        <v>1513</v>
      </c>
      <c r="AB28" s="15">
        <f>IFERROR(AA28/1580,0)</f>
        <v>0.95759493670886076</v>
      </c>
      <c r="AC28" s="11">
        <v>0</v>
      </c>
      <c r="AD28" s="15">
        <f>IFERROR(AC28/63.7,0)</f>
        <v>0</v>
      </c>
      <c r="AE28" s="11">
        <v>13</v>
      </c>
      <c r="AF28" s="11">
        <v>25</v>
      </c>
      <c r="AG28" s="7">
        <f t="shared" si="22"/>
        <v>-25142.039999999997</v>
      </c>
      <c r="AH28" s="7">
        <v>53</v>
      </c>
      <c r="AI28" s="7">
        <v>22.264150943400001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IFERROR(840/F28,0)</f>
        <v>2.3218530598706395E-2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19</v>
      </c>
      <c r="C29" s="7"/>
      <c r="D29" s="7">
        <v>7</v>
      </c>
      <c r="E29" s="7">
        <v>24546</v>
      </c>
      <c r="F29" s="7">
        <v>24527</v>
      </c>
      <c r="G29" s="7">
        <v>19</v>
      </c>
      <c r="H29" s="9">
        <f t="shared" si="12"/>
        <v>7.7465650099889914E-4</v>
      </c>
      <c r="I29" s="9">
        <f>IFERROR((24546-F29)/24546,0)</f>
        <v>7.7405687281023388E-4</v>
      </c>
      <c r="J29" s="7">
        <v>23040</v>
      </c>
      <c r="K29" s="11">
        <f t="shared" si="13"/>
        <v>13.419613370687697</v>
      </c>
      <c r="L29" s="11">
        <f>K29-0</f>
        <v>13.419613370687697</v>
      </c>
      <c r="M29" s="11">
        <v>18.5</v>
      </c>
      <c r="N29" s="11">
        <f t="shared" si="14"/>
        <v>-5.0803866293123026</v>
      </c>
      <c r="O29" s="11">
        <f>IFERROR(15762013/24546,0)</f>
        <v>642.14181536706587</v>
      </c>
      <c r="P29" s="11">
        <v>1</v>
      </c>
      <c r="Q29" s="11">
        <f t="shared" si="15"/>
        <v>641.14181536706587</v>
      </c>
      <c r="R29" s="7">
        <v>15970</v>
      </c>
      <c r="S29" s="11">
        <f t="shared" si="16"/>
        <v>93.017024969567075</v>
      </c>
      <c r="T29" s="13">
        <f t="shared" si="17"/>
        <v>1.4427050720100187</v>
      </c>
      <c r="U29" s="7">
        <v>22700</v>
      </c>
      <c r="V29" s="11">
        <f t="shared" si="18"/>
        <v>132.21580881710534</v>
      </c>
      <c r="W29" s="11">
        <f t="shared" si="19"/>
        <v>1.4214151534126485</v>
      </c>
      <c r="X29" s="11">
        <v>300.96142857140001</v>
      </c>
      <c r="Y29" s="11">
        <f t="shared" si="20"/>
        <v>693.1423611111112</v>
      </c>
      <c r="Z29" s="11">
        <f t="shared" si="21"/>
        <v>208.60911520335327</v>
      </c>
      <c r="AA29" s="7">
        <v>1284</v>
      </c>
      <c r="AB29" s="15">
        <f>IFERROR(AA29/1320,0)</f>
        <v>0.97272727272727277</v>
      </c>
      <c r="AC29" s="11">
        <v>0</v>
      </c>
      <c r="AD29" s="15">
        <f>IFERROR(AC29/45,0)</f>
        <v>0</v>
      </c>
      <c r="AE29" s="11">
        <v>12</v>
      </c>
      <c r="AF29" s="11">
        <v>25</v>
      </c>
      <c r="AG29" s="7">
        <f t="shared" si="22"/>
        <v>-8722.4649999999983</v>
      </c>
      <c r="AH29" s="7">
        <v>17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IFERROR(0/F29,0)</f>
        <v>0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19</v>
      </c>
      <c r="C30" s="7"/>
      <c r="D30" s="7">
        <v>7</v>
      </c>
      <c r="E30" s="7">
        <v>12056</v>
      </c>
      <c r="F30" s="7">
        <v>12029</v>
      </c>
      <c r="G30" s="7">
        <v>27</v>
      </c>
      <c r="H30" s="9">
        <f t="shared" si="12"/>
        <v>2.2445756089450493E-3</v>
      </c>
      <c r="I30" s="9">
        <f>IFERROR((12056-F30)/12056,0)</f>
        <v>2.2395487723954879E-3</v>
      </c>
      <c r="J30" s="7">
        <v>48580</v>
      </c>
      <c r="K30" s="11">
        <f t="shared" si="13"/>
        <v>57.693906392883868</v>
      </c>
      <c r="L30" s="11">
        <f>K30-0</f>
        <v>57.693906392883868</v>
      </c>
      <c r="M30" s="11">
        <v>31</v>
      </c>
      <c r="N30" s="11">
        <f t="shared" si="14"/>
        <v>26.693906392883868</v>
      </c>
      <c r="O30" s="11">
        <f>IFERROR(6433288/12056,0)</f>
        <v>533.61712010617123</v>
      </c>
      <c r="P30" s="11">
        <v>3</v>
      </c>
      <c r="Q30" s="11">
        <f t="shared" si="15"/>
        <v>530.61712010617123</v>
      </c>
      <c r="R30" s="7">
        <v>8080</v>
      </c>
      <c r="S30" s="11">
        <f t="shared" si="16"/>
        <v>95.958576297756608</v>
      </c>
      <c r="T30" s="13">
        <f t="shared" si="17"/>
        <v>6.0123762376237622</v>
      </c>
      <c r="U30" s="7">
        <v>10800</v>
      </c>
      <c r="V30" s="11">
        <f t="shared" si="18"/>
        <v>128.26146336828853</v>
      </c>
      <c r="W30" s="11">
        <f t="shared" si="19"/>
        <v>1.3366336633663365</v>
      </c>
      <c r="X30" s="11">
        <v>282.6128571429</v>
      </c>
      <c r="Y30" s="11">
        <f t="shared" si="20"/>
        <v>166.32358995471387</v>
      </c>
      <c r="Z30" s="11">
        <f t="shared" si="21"/>
        <v>47.005184967365828</v>
      </c>
      <c r="AA30" s="7">
        <v>1682</v>
      </c>
      <c r="AB30" s="15">
        <f>IFERROR(AA30/1620,0)</f>
        <v>1.0382716049382716</v>
      </c>
      <c r="AC30" s="11">
        <v>0</v>
      </c>
      <c r="AD30" s="15">
        <f>IFERROR(AC30/50,0)</f>
        <v>0</v>
      </c>
      <c r="AE30" s="11">
        <v>12</v>
      </c>
      <c r="AF30" s="11">
        <v>25</v>
      </c>
      <c r="AG30" s="7">
        <f t="shared" si="22"/>
        <v>22477.070000000007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IFERROR(0/F30,0)</f>
        <v>0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628556</v>
      </c>
      <c r="F31" s="17">
        <f>SUM(F14:F30)</f>
        <v>565494</v>
      </c>
      <c r="G31" s="17">
        <f>SUM(G14:G30)</f>
        <v>2228</v>
      </c>
      <c r="H31" s="18">
        <f t="shared" si="12"/>
        <v>3.9399180185819829E-3</v>
      </c>
      <c r="I31" s="18"/>
      <c r="J31" s="17">
        <f>SUM(J14:J30)</f>
        <v>2866840</v>
      </c>
      <c r="K31" s="19">
        <f t="shared" si="13"/>
        <v>72.423150630876975</v>
      </c>
      <c r="L31" s="19"/>
      <c r="M31" s="19">
        <f>IFERROR(SUMPRODUCT($F14:$F30,M14:M30)/$F31, 0)</f>
        <v>76.0477974125278</v>
      </c>
      <c r="N31" s="19">
        <f t="shared" si="14"/>
        <v>-3.6246467816508243</v>
      </c>
      <c r="O31" s="19">
        <f>IFERROR(SUMPRODUCT($E14:$E30,O14:O30)/$E31, 0)</f>
        <v>287.40676407511819</v>
      </c>
      <c r="P31" s="19">
        <f>IFERROR(SUMPRODUCT($E14:$E30,P14:P30)/$E31, 0)</f>
        <v>131.09646236771266</v>
      </c>
      <c r="Q31" s="19">
        <f>IFERROR(SUMPRODUCT($E14:$E30,Q14:Q30)/$E31, 0)</f>
        <v>156.31030170740556</v>
      </c>
      <c r="R31" s="17">
        <f>SUM(R14:R30)</f>
        <v>449387</v>
      </c>
      <c r="S31" s="19">
        <f>IFERROR(R31/D31/$F31*1000,0)</f>
        <v>113.52577190411013</v>
      </c>
      <c r="T31" s="20">
        <f t="shared" si="17"/>
        <v>6.3794457783602994</v>
      </c>
      <c r="U31" s="17">
        <f>SUM(U14:U30)</f>
        <v>778505</v>
      </c>
      <c r="V31" s="19">
        <f>IFERROR(U31/D31/$F31*1000,0)</f>
        <v>196.66875333778961</v>
      </c>
      <c r="W31" s="19">
        <f t="shared" si="19"/>
        <v>1.7323709853645077</v>
      </c>
      <c r="X31" s="19">
        <f>IFERROR(SUMPRODUCT(R14:R30,X14:X30)/R31,0)</f>
        <v>295.8009437872438</v>
      </c>
      <c r="Y31" s="19">
        <f>IFERROR(($F31*S31)/($F31*K31)*100,0)</f>
        <v>156.75342886244087</v>
      </c>
      <c r="Z31" s="19">
        <f t="shared" si="21"/>
        <v>46.367812199396589</v>
      </c>
      <c r="AA31" s="17"/>
      <c r="AB31" s="21">
        <f>IFERROR(SUMPRODUCT($F14:$F30,AB14:AB30)/$F31,0)</f>
        <v>0.91441969270978862</v>
      </c>
      <c r="AC31" s="19"/>
      <c r="AD31" s="21">
        <f>AVERAGE(AD14:AD30)</f>
        <v>0.29309493762500827</v>
      </c>
      <c r="AE31" s="19"/>
      <c r="AF31" s="19"/>
      <c r="AG31" s="17">
        <f>SUM(AG14:AG30)</f>
        <v>-143480.12050000014</v>
      </c>
      <c r="AH31" s="17">
        <f>SUM(AH14:AH30)</f>
        <v>269</v>
      </c>
      <c r="AI31" s="17">
        <f>IFERROR(SUMPRODUCT(AH14:AH30,AI14:AI30)/AH31, 0)</f>
        <v>18.810408921937178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674761</v>
      </c>
      <c r="F33" s="23">
        <f>F12+F31</f>
        <v>603249</v>
      </c>
      <c r="G33" s="23">
        <f>G12+G31</f>
        <v>2306</v>
      </c>
      <c r="H33" s="24">
        <f>IFERROR(G33/F33,0)</f>
        <v>3.8226337714608728E-3</v>
      </c>
      <c r="I33" s="23"/>
      <c r="J33" s="23">
        <f>J12+J31</f>
        <v>3070360</v>
      </c>
      <c r="K33" s="25">
        <f>IFERROR(J33/D33/F33*100,0)</f>
        <v>72.710084416693135</v>
      </c>
      <c r="L33" s="23"/>
      <c r="M33" s="25">
        <f>IFERROR($F$12/$F33*M$12,0)+IFERROR($F$31/$F33*M$31,0)</f>
        <v>76.317346816986017</v>
      </c>
      <c r="N33" s="25">
        <f>K33-M33</f>
        <v>-3.6072624002928819</v>
      </c>
      <c r="O33" s="23">
        <f>IFERROR($E$12/$E33*O$12,0)+IFERROR($E$31/$E33*O$31,0)</f>
        <v>288.63875060947504</v>
      </c>
      <c r="P33" s="23">
        <f>IFERROR($E$12/$E33*P$12,0)+IFERROR($E$31/$E33*P$31,0)</f>
        <v>128.06088081557766</v>
      </c>
      <c r="Q33" s="23">
        <f>IFERROR($E$12/$E33*Q$12,0)+IFERROR($E$31/$E33*Q$31,0)</f>
        <v>160.57786979389741</v>
      </c>
      <c r="R33" s="23">
        <f>R12+R31</f>
        <v>484756</v>
      </c>
      <c r="S33" s="25">
        <f>IFERROR(R33/D33/$F33*1000,0)</f>
        <v>114.79647234037213</v>
      </c>
      <c r="T33" s="26">
        <f>IFERROR(J33/R33,0)</f>
        <v>6.3338256772479351</v>
      </c>
      <c r="U33" s="23">
        <f>U12+U31</f>
        <v>793625</v>
      </c>
      <c r="V33" s="25">
        <f>IFERROR(U33/D33/$F33*1000,0)</f>
        <v>187.94063479591347</v>
      </c>
      <c r="W33" s="25">
        <f>IFERROR(V33/S33,0)</f>
        <v>1.6371638515046745</v>
      </c>
      <c r="X33" s="25">
        <f>IFERROR($F$12/$F33*X$12,0)+IFERROR($F$31/$F33*X$31,0)</f>
        <v>300.22818063196178</v>
      </c>
      <c r="Y33" s="25">
        <f>IFERROR(($F33*S33)/($F33*K33)*100,0)</f>
        <v>157.88246329420653</v>
      </c>
      <c r="Z33" s="25">
        <f>IFERROR(Y33*X33/1000,0)</f>
        <v>47.400764708512114</v>
      </c>
      <c r="AA33" s="23"/>
      <c r="AB33" s="27"/>
      <c r="AC33" s="23"/>
      <c r="AD33" s="27"/>
      <c r="AE33" s="23"/>
      <c r="AF33" s="23"/>
      <c r="AG33" s="23">
        <f>AG12+AG31</f>
        <v>-152325.42050000015</v>
      </c>
      <c r="AH33" s="23">
        <f>AH12+AH31</f>
        <v>269</v>
      </c>
      <c r="AI33" s="23">
        <f>IFERROR(AH$12/AH33*AI$12,0)+IFERROR(AH$31/AH33*AI$31,0)</f>
        <v>18.810408921937178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69</v>
      </c>
      <c r="T36" s="32" t="s">
        <v>61</v>
      </c>
      <c r="U36" s="32" t="s">
        <v>70</v>
      </c>
      <c r="V36" s="32" t="s">
        <v>71</v>
      </c>
      <c r="W36" s="32" t="s">
        <v>72</v>
      </c>
      <c r="X36" s="32" t="s">
        <v>62</v>
      </c>
      <c r="Y36" s="32" t="s">
        <v>66</v>
      </c>
      <c r="Z36" s="32" t="s">
        <v>67</v>
      </c>
      <c r="AA36" s="32" t="s">
        <v>81</v>
      </c>
      <c r="AB36" s="32" t="s">
        <v>63</v>
      </c>
      <c r="AC36" s="32" t="s">
        <v>68</v>
      </c>
      <c r="AD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/>
      <c r="T37" s="8">
        <v>2.5000000000000001E-3</v>
      </c>
      <c r="U37" s="8">
        <v>5.3E-3</v>
      </c>
      <c r="V37" s="8">
        <v>6.3E-3</v>
      </c>
      <c r="W37" s="8">
        <v>2.7000000000000001E-3</v>
      </c>
      <c r="X37" s="8">
        <v>1.5E-3</v>
      </c>
      <c r="Y37" s="8">
        <v>1.4E-3</v>
      </c>
      <c r="Z37" s="8">
        <v>2.8E-3</v>
      </c>
      <c r="AA37" s="8">
        <v>1.6999999999999999E-3</v>
      </c>
      <c r="AB37" s="8"/>
      <c r="AC37" s="8"/>
      <c r="AD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/>
      <c r="T38" s="9">
        <v>2.5000000000000001E-3</v>
      </c>
      <c r="U38" s="9">
        <v>5.7999999999999996E-3</v>
      </c>
      <c r="V38" s="9">
        <v>3.5999999999999999E-3</v>
      </c>
      <c r="W38" s="9">
        <v>2.3E-3</v>
      </c>
      <c r="X38" s="9">
        <v>1.5E-3</v>
      </c>
      <c r="Y38" s="9">
        <v>1E-3</v>
      </c>
      <c r="Z38" s="9">
        <v>3.0000000000000001E-3</v>
      </c>
      <c r="AA38" s="9">
        <v>1.8E-3</v>
      </c>
      <c r="AB38" s="9"/>
      <c r="AC38" s="9"/>
      <c r="AD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/>
      <c r="T39" s="9">
        <v>2.5000000000000001E-3</v>
      </c>
      <c r="U39" s="9">
        <v>5.4999999999999997E-3</v>
      </c>
      <c r="V39" s="9">
        <v>3.5000000000000001E-3</v>
      </c>
      <c r="W39" s="9">
        <v>2.5000000000000001E-3</v>
      </c>
      <c r="X39" s="9">
        <v>1.6999999999999999E-3</v>
      </c>
      <c r="Y39" s="9">
        <v>6.9999999999999999E-4</v>
      </c>
      <c r="Z39" s="9">
        <v>2.8E-3</v>
      </c>
      <c r="AA39" s="9">
        <v>1.4E-3</v>
      </c>
      <c r="AB39" s="9"/>
      <c r="AC39" s="9"/>
      <c r="AD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/>
      <c r="T40" s="9">
        <v>2.5999999999999999E-3</v>
      </c>
      <c r="U40" s="9">
        <v>3.2000000000000002E-3</v>
      </c>
      <c r="V40" s="9">
        <v>3.7000000000000002E-3</v>
      </c>
      <c r="W40" s="9">
        <v>2.5000000000000001E-3</v>
      </c>
      <c r="X40" s="9">
        <v>1.6000000000000001E-3</v>
      </c>
      <c r="Y40" s="9">
        <v>8.9999999999999998E-4</v>
      </c>
      <c r="Z40" s="9">
        <v>3.5000000000000001E-3</v>
      </c>
      <c r="AA40" s="9">
        <v>1.6000000000000001E-3</v>
      </c>
      <c r="AB40" s="9"/>
      <c r="AC40" s="9"/>
      <c r="AD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/>
      <c r="T41" s="9">
        <v>2.3E-3</v>
      </c>
      <c r="U41" s="9">
        <v>2.2000000000000001E-3</v>
      </c>
      <c r="V41" s="9">
        <v>4.4000000000000003E-3</v>
      </c>
      <c r="W41" s="9">
        <v>2.3E-3</v>
      </c>
      <c r="X41" s="9">
        <v>1.6000000000000001E-3</v>
      </c>
      <c r="Y41" s="9">
        <v>8.9999999999999998E-4</v>
      </c>
      <c r="Z41" s="9">
        <v>3.0999999999999999E-3</v>
      </c>
      <c r="AA41" s="9">
        <v>1.5E-3</v>
      </c>
      <c r="AB41" s="9"/>
      <c r="AC41" s="9"/>
      <c r="AD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/>
      <c r="T42" s="9">
        <v>1.6999999999999999E-3</v>
      </c>
      <c r="U42" s="9">
        <v>3.0000000000000001E-3</v>
      </c>
      <c r="V42" s="9">
        <v>3.5999999999999999E-3</v>
      </c>
      <c r="W42" s="9">
        <v>1.8E-3</v>
      </c>
      <c r="X42" s="9">
        <v>8.9999999999999998E-4</v>
      </c>
      <c r="Y42" s="9">
        <v>5.9999999999999995E-4</v>
      </c>
      <c r="Z42" s="9">
        <v>1.6999999999999999E-3</v>
      </c>
      <c r="AA42" s="9">
        <v>1E-3</v>
      </c>
      <c r="AB42" s="9">
        <v>0</v>
      </c>
      <c r="AC42" s="9">
        <v>0</v>
      </c>
      <c r="AD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/>
      <c r="T43" s="9">
        <v>1.9E-3</v>
      </c>
      <c r="U43" s="9">
        <v>4.3E-3</v>
      </c>
      <c r="V43" s="9">
        <v>4.1999999999999997E-3</v>
      </c>
      <c r="W43" s="9">
        <v>4.4000000000000003E-3</v>
      </c>
      <c r="X43" s="9">
        <v>1.1000000000000001E-3</v>
      </c>
      <c r="Y43" s="9">
        <v>5.0000000000000001E-4</v>
      </c>
      <c r="Z43" s="9">
        <v>2.0999999999999999E-3</v>
      </c>
      <c r="AA43" s="9">
        <v>1.1999999999999999E-3</v>
      </c>
      <c r="AB43" s="9">
        <v>8.9999999999999998E-4</v>
      </c>
      <c r="AC43" s="9">
        <v>8.0000000000000004E-4</v>
      </c>
      <c r="AD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/>
      <c r="T44" s="9">
        <v>1.9E-3</v>
      </c>
      <c r="U44" s="9">
        <v>3.0999999999999999E-3</v>
      </c>
      <c r="V44" s="9">
        <v>3.2000000000000002E-3</v>
      </c>
      <c r="W44" s="9">
        <v>2.3E-3</v>
      </c>
      <c r="X44" s="9">
        <v>1.1000000000000001E-3</v>
      </c>
      <c r="Y44" s="9">
        <v>5.0000000000000001E-4</v>
      </c>
      <c r="Z44" s="9">
        <v>2.8E-3</v>
      </c>
      <c r="AA44" s="9">
        <v>1.2999999999999999E-3</v>
      </c>
      <c r="AB44" s="9">
        <v>1.1999999999999999E-3</v>
      </c>
      <c r="AC44" s="9">
        <v>6.9999999999999999E-4</v>
      </c>
      <c r="AD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/>
      <c r="T45" s="9">
        <v>2.5000000000000001E-3</v>
      </c>
      <c r="U45" s="9">
        <v>3.0999999999999999E-3</v>
      </c>
      <c r="V45" s="9">
        <v>4.5999999999999999E-3</v>
      </c>
      <c r="W45" s="9">
        <v>2.8E-3</v>
      </c>
      <c r="X45" s="9">
        <v>1.6999999999999999E-3</v>
      </c>
      <c r="Y45" s="9">
        <v>1E-3</v>
      </c>
      <c r="Z45" s="9">
        <v>3.5999999999999999E-3</v>
      </c>
      <c r="AA45" s="9">
        <v>1.6000000000000001E-3</v>
      </c>
      <c r="AB45" s="9">
        <v>2.3E-3</v>
      </c>
      <c r="AC45" s="9">
        <v>1.1999999999999999E-3</v>
      </c>
      <c r="AD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/>
      <c r="T46" s="9">
        <v>2.5000000000000001E-3</v>
      </c>
      <c r="U46" s="9">
        <v>2.5999999999999999E-3</v>
      </c>
      <c r="V46" s="9">
        <v>3.3999999999999998E-3</v>
      </c>
      <c r="W46" s="9">
        <v>2.5000000000000001E-3</v>
      </c>
      <c r="X46" s="9">
        <v>2E-3</v>
      </c>
      <c r="Y46" s="9">
        <v>1E-3</v>
      </c>
      <c r="Z46" s="9">
        <v>3.5000000000000001E-3</v>
      </c>
      <c r="AA46" s="9">
        <v>1.6999999999999999E-3</v>
      </c>
      <c r="AB46" s="9">
        <v>1.6999999999999999E-3</v>
      </c>
      <c r="AC46" s="9">
        <v>1.6000000000000001E-3</v>
      </c>
      <c r="AD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/>
      <c r="T47" s="9">
        <v>3.0000000000000001E-3</v>
      </c>
      <c r="U47" s="9">
        <v>2.3E-3</v>
      </c>
      <c r="V47" s="9">
        <v>3.0999999999999999E-3</v>
      </c>
      <c r="W47" s="9">
        <v>2.8E-3</v>
      </c>
      <c r="X47" s="9">
        <v>1.9E-3</v>
      </c>
      <c r="Y47" s="9">
        <v>8.9999999999999998E-4</v>
      </c>
      <c r="Z47" s="9">
        <v>3.5000000000000001E-3</v>
      </c>
      <c r="AA47" s="9">
        <v>1.5E-3</v>
      </c>
      <c r="AB47" s="9">
        <v>1.1000000000000001E-3</v>
      </c>
      <c r="AC47" s="9">
        <v>1.1999999999999999E-3</v>
      </c>
      <c r="AD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/>
      <c r="T48" s="9">
        <v>3.3999999999999998E-3</v>
      </c>
      <c r="U48" s="9">
        <v>2.5000000000000001E-3</v>
      </c>
      <c r="V48" s="9">
        <v>3.0999999999999999E-3</v>
      </c>
      <c r="W48" s="9">
        <v>3.2000000000000002E-3</v>
      </c>
      <c r="X48" s="9">
        <v>1.5E-3</v>
      </c>
      <c r="Y48" s="9">
        <v>8.0000000000000004E-4</v>
      </c>
      <c r="Z48" s="9">
        <v>3.8999999999999998E-3</v>
      </c>
      <c r="AA48" s="9">
        <v>3.5999999999999999E-3</v>
      </c>
      <c r="AB48" s="9">
        <v>1.1000000000000001E-3</v>
      </c>
      <c r="AC48" s="9">
        <v>1E-3</v>
      </c>
      <c r="AD48" s="9">
        <v>8.9999999999999998E-4</v>
      </c>
    </row>
    <row r="49" spans="2:30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>
        <v>5.3E-3</v>
      </c>
      <c r="P49" s="9">
        <v>2.5000000000000001E-3</v>
      </c>
      <c r="Q49" s="9">
        <v>3.8E-3</v>
      </c>
      <c r="R49" s="9">
        <v>3.0000000000000001E-3</v>
      </c>
      <c r="S49" s="9"/>
      <c r="T49" s="9">
        <v>3.5999999999999999E-3</v>
      </c>
      <c r="U49" s="9">
        <v>2.5000000000000001E-3</v>
      </c>
      <c r="V49" s="9">
        <v>3.5000000000000001E-3</v>
      </c>
      <c r="W49" s="9">
        <v>3.0999999999999999E-3</v>
      </c>
      <c r="X49" s="9">
        <v>2E-3</v>
      </c>
      <c r="Y49" s="9">
        <v>1.1000000000000001E-3</v>
      </c>
      <c r="Z49" s="9">
        <v>3.7000000000000002E-3</v>
      </c>
      <c r="AA49" s="9">
        <v>1.8E-3</v>
      </c>
      <c r="AB49" s="9">
        <v>1.6999999999999999E-3</v>
      </c>
      <c r="AC49" s="9">
        <v>8.9999999999999998E-4</v>
      </c>
      <c r="AD49" s="9">
        <v>1E-3</v>
      </c>
    </row>
    <row r="50" spans="2:30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>
        <v>3.8999999999999998E-3</v>
      </c>
      <c r="P50" s="9">
        <v>2.5000000000000001E-3</v>
      </c>
      <c r="Q50" s="9">
        <v>-1</v>
      </c>
      <c r="R50" s="9">
        <v>2.8E-3</v>
      </c>
      <c r="S50" s="9"/>
      <c r="T50" s="9">
        <v>3.5999999999999999E-3</v>
      </c>
      <c r="U50" s="9">
        <v>2.0999999999999999E-3</v>
      </c>
      <c r="V50" s="9">
        <v>3.2000000000000002E-3</v>
      </c>
      <c r="W50" s="9">
        <v>3.2000000000000002E-3</v>
      </c>
      <c r="X50" s="9">
        <v>2.3999999999999998E-3</v>
      </c>
      <c r="Y50" s="9">
        <v>1.1999999999999999E-3</v>
      </c>
      <c r="Z50" s="9">
        <v>4.7999999999999996E-3</v>
      </c>
      <c r="AA50" s="9">
        <v>1.6999999999999999E-3</v>
      </c>
      <c r="AB50" s="9">
        <v>1.6999999999999999E-3</v>
      </c>
      <c r="AC50" s="9">
        <v>1.1000000000000001E-3</v>
      </c>
      <c r="AD50" s="9">
        <v>1.1000000000000001E-3</v>
      </c>
    </row>
    <row r="51" spans="2:30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>
        <v>5.3E-3</v>
      </c>
      <c r="P51" s="9">
        <v>2.5000000000000001E-3</v>
      </c>
      <c r="Q51" s="9"/>
      <c r="R51" s="9">
        <v>2.5000000000000001E-3</v>
      </c>
      <c r="S51" s="9"/>
      <c r="T51" s="9">
        <v>3.7000000000000002E-3</v>
      </c>
      <c r="U51" s="9">
        <v>2.5999999999999999E-3</v>
      </c>
      <c r="V51" s="9">
        <v>2.8999999999999998E-3</v>
      </c>
      <c r="W51" s="9">
        <v>3.5999999999999999E-3</v>
      </c>
      <c r="X51" s="9">
        <v>2.5999999999999999E-3</v>
      </c>
      <c r="Y51" s="9">
        <v>8.0000000000000004E-4</v>
      </c>
      <c r="Z51" s="9">
        <v>3.7000000000000002E-3</v>
      </c>
      <c r="AA51" s="9">
        <v>1.9E-3</v>
      </c>
      <c r="AB51" s="9">
        <v>1.4E-3</v>
      </c>
      <c r="AC51" s="9">
        <v>8.9999999999999998E-4</v>
      </c>
      <c r="AD51" s="9">
        <v>1.4E-3</v>
      </c>
    </row>
    <row r="52" spans="2:30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>
        <v>5.0000000000000001E-3</v>
      </c>
      <c r="P52" s="9">
        <v>2.5000000000000001E-3</v>
      </c>
      <c r="Q52" s="9"/>
      <c r="R52" s="9">
        <v>2.8E-3</v>
      </c>
      <c r="S52" s="9"/>
      <c r="T52" s="9">
        <v>4.0000000000000001E-3</v>
      </c>
      <c r="U52" s="9">
        <v>2.3E-3</v>
      </c>
      <c r="V52" s="9">
        <v>3.0999999999999999E-3</v>
      </c>
      <c r="W52" s="9">
        <v>3.5999999999999999E-3</v>
      </c>
      <c r="X52" s="9">
        <v>3.3999999999999998E-3</v>
      </c>
      <c r="Y52" s="9">
        <v>1.1999999999999999E-3</v>
      </c>
      <c r="Z52" s="9">
        <v>4.3E-3</v>
      </c>
      <c r="AA52" s="9">
        <v>2.2000000000000001E-3</v>
      </c>
      <c r="AB52" s="9">
        <v>1.6000000000000001E-3</v>
      </c>
      <c r="AC52" s="9">
        <v>1.2999999999999999E-3</v>
      </c>
      <c r="AD52" s="9">
        <v>1.2999999999999999E-3</v>
      </c>
    </row>
    <row r="53" spans="2:30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>
        <v>8.2000000000000007E-3</v>
      </c>
      <c r="P53" s="9">
        <v>3.0999999999999999E-3</v>
      </c>
      <c r="Q53" s="9"/>
      <c r="R53" s="9">
        <v>2.8E-3</v>
      </c>
      <c r="S53" s="9"/>
      <c r="T53" s="9">
        <v>3.8999999999999998E-3</v>
      </c>
      <c r="U53" s="9">
        <v>2.8999999999999998E-3</v>
      </c>
      <c r="V53" s="9">
        <v>3.5999999999999999E-3</v>
      </c>
      <c r="W53" s="9">
        <v>2.7000000000000001E-3</v>
      </c>
      <c r="X53" s="9">
        <v>3.3E-3</v>
      </c>
      <c r="Y53" s="9">
        <v>8.9999999999999998E-4</v>
      </c>
      <c r="Z53" s="9">
        <v>4.1999999999999997E-3</v>
      </c>
      <c r="AA53" s="9">
        <v>2E-3</v>
      </c>
      <c r="AB53" s="9">
        <v>2.2000000000000001E-3</v>
      </c>
      <c r="AC53" s="9">
        <v>8.9999999999999998E-4</v>
      </c>
      <c r="AD53" s="9">
        <v>1.2999999999999999E-3</v>
      </c>
    </row>
    <row r="54" spans="2:30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>
        <v>4.8999999999999998E-3</v>
      </c>
      <c r="P54" s="9">
        <v>4.1999999999999997E-3</v>
      </c>
      <c r="Q54" s="9"/>
      <c r="R54" s="9">
        <v>3.0000000000000001E-3</v>
      </c>
      <c r="S54" s="9"/>
      <c r="T54" s="9">
        <v>4.1999999999999997E-3</v>
      </c>
      <c r="U54" s="9">
        <v>2.0999999999999999E-3</v>
      </c>
      <c r="V54" s="9">
        <v>3.3E-3</v>
      </c>
      <c r="W54" s="9">
        <v>3.7000000000000002E-3</v>
      </c>
      <c r="X54" s="9">
        <v>4.1999999999999997E-3</v>
      </c>
      <c r="Y54" s="9">
        <v>9.1999999999999998E-3</v>
      </c>
      <c r="Z54" s="9">
        <v>9.4000000000000004E-3</v>
      </c>
      <c r="AA54" s="9">
        <v>1.9E-3</v>
      </c>
      <c r="AB54" s="9">
        <v>1.8E-3</v>
      </c>
      <c r="AC54" s="9">
        <v>1.6000000000000001E-3</v>
      </c>
      <c r="AD54" s="9">
        <v>1.8E-3</v>
      </c>
    </row>
    <row r="55" spans="2:30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>
        <v>5.1999999999999998E-3</v>
      </c>
      <c r="P55" s="9">
        <v>3.2000000000000002E-3</v>
      </c>
      <c r="Q55" s="9"/>
      <c r="R55" s="9">
        <v>2.5999999999999999E-3</v>
      </c>
      <c r="S55" s="9">
        <v>1.1999999999999999E-3</v>
      </c>
      <c r="T55" s="9">
        <v>3.8999999999999998E-3</v>
      </c>
      <c r="U55" s="9">
        <v>3.3999999999999998E-3</v>
      </c>
      <c r="V55" s="9">
        <v>4.1000000000000003E-3</v>
      </c>
      <c r="W55" s="9">
        <v>3.5000000000000001E-3</v>
      </c>
      <c r="X55" s="9">
        <v>4.4999999999999997E-3</v>
      </c>
      <c r="Y55" s="9">
        <v>2E-3</v>
      </c>
      <c r="Z55" s="9">
        <v>4.8999999999999998E-3</v>
      </c>
      <c r="AA55" s="9">
        <v>3.0000000000000001E-3</v>
      </c>
      <c r="AB55" s="9">
        <v>1.9E-3</v>
      </c>
      <c r="AC55" s="9">
        <v>1E-3</v>
      </c>
      <c r="AD55" s="9">
        <v>2E-3</v>
      </c>
    </row>
    <row r="56" spans="2:30" x14ac:dyDescent="0.3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>
        <v>4.4000000000000003E-3</v>
      </c>
      <c r="P56" s="9">
        <v>3.5999999999999999E-3</v>
      </c>
      <c r="Q56" s="9"/>
      <c r="R56" s="9">
        <v>2.7000000000000001E-3</v>
      </c>
      <c r="S56" s="9">
        <v>1.1999999999999999E-3</v>
      </c>
      <c r="T56" s="9">
        <v>3.8E-3</v>
      </c>
      <c r="U56" s="9">
        <v>2.8E-3</v>
      </c>
      <c r="V56" s="9">
        <v>4.0000000000000001E-3</v>
      </c>
      <c r="W56" s="9">
        <v>2.3E-3</v>
      </c>
      <c r="X56" s="9">
        <v>4.3E-3</v>
      </c>
      <c r="Y56" s="9">
        <v>1.1999999999999999E-3</v>
      </c>
      <c r="Z56" s="9">
        <v>4.0000000000000001E-3</v>
      </c>
      <c r="AA56" s="9">
        <v>2.5000000000000001E-3</v>
      </c>
      <c r="AB56" s="9">
        <v>1.9E-3</v>
      </c>
      <c r="AC56" s="9">
        <v>1.4E-3</v>
      </c>
      <c r="AD56" s="9">
        <v>1.8E-3</v>
      </c>
    </row>
    <row r="57" spans="2:30" x14ac:dyDescent="0.3">
      <c r="B57" s="5">
        <v>202521</v>
      </c>
      <c r="C57" s="5"/>
      <c r="D57" s="9">
        <v>3.8E-3</v>
      </c>
      <c r="E57" s="9">
        <v>2.0999999999999999E-3</v>
      </c>
      <c r="F57" s="9">
        <v>3.8999999999999998E-3</v>
      </c>
      <c r="G57" s="9">
        <v>2.8999999999999998E-3</v>
      </c>
      <c r="H57" s="9">
        <v>1.9E-3</v>
      </c>
      <c r="I57" s="9">
        <v>2.8999999999999998E-3</v>
      </c>
      <c r="J57" s="9">
        <v>2.0000000000000001E-4</v>
      </c>
      <c r="K57" s="9">
        <v>2.7000000000000001E-3</v>
      </c>
      <c r="L57" s="9">
        <v>1.5E-3</v>
      </c>
      <c r="M57" s="9">
        <v>2E-3</v>
      </c>
      <c r="N57" s="9">
        <v>8.9999999999999998E-4</v>
      </c>
      <c r="O57" s="9">
        <v>5.7000000000000002E-3</v>
      </c>
      <c r="P57" s="9">
        <v>3.7000000000000002E-3</v>
      </c>
      <c r="Q57" s="9"/>
      <c r="R57" s="9">
        <v>3.0999999999999999E-3</v>
      </c>
      <c r="S57" s="9">
        <v>1.5E-3</v>
      </c>
      <c r="T57" s="9">
        <v>4.1000000000000003E-3</v>
      </c>
      <c r="U57" s="9">
        <v>2.3999999999999998E-3</v>
      </c>
      <c r="V57" s="9">
        <v>0</v>
      </c>
      <c r="W57" s="9">
        <v>0</v>
      </c>
      <c r="X57" s="9">
        <v>1.4200000000000001E-2</v>
      </c>
      <c r="Y57" s="9">
        <v>1.4E-3</v>
      </c>
      <c r="Z57" s="9">
        <v>3.8E-3</v>
      </c>
      <c r="AA57" s="9">
        <v>1.6999999999999999E-3</v>
      </c>
      <c r="AB57" s="9">
        <v>2.0999999999999999E-3</v>
      </c>
      <c r="AC57" s="9">
        <v>1.1000000000000001E-3</v>
      </c>
      <c r="AD57" s="9">
        <v>4.4000000000000003E-3</v>
      </c>
    </row>
    <row r="58" spans="2:30" x14ac:dyDescent="0.3">
      <c r="B58" s="5">
        <v>202522</v>
      </c>
      <c r="C58" s="5"/>
      <c r="D58" s="9">
        <v>2.7000000000000001E-3</v>
      </c>
      <c r="E58" s="9">
        <v>2.2000000000000001E-3</v>
      </c>
      <c r="F58" s="9">
        <v>2.8E-3</v>
      </c>
      <c r="G58" s="9">
        <v>2.3999999999999998E-3</v>
      </c>
      <c r="H58" s="9">
        <v>2E-3</v>
      </c>
      <c r="I58" s="9">
        <v>3.8999999999999998E-3</v>
      </c>
      <c r="J58" s="9">
        <v>6.9999999999999999E-4</v>
      </c>
      <c r="K58" s="9">
        <v>3.7000000000000002E-3</v>
      </c>
      <c r="L58" s="9">
        <v>2.2000000000000001E-3</v>
      </c>
      <c r="M58" s="9">
        <v>2.5000000000000001E-3</v>
      </c>
      <c r="N58" s="9">
        <v>2.2000000000000001E-3</v>
      </c>
      <c r="O58" s="9">
        <v>8.3999999999999995E-3</v>
      </c>
      <c r="P58" s="9">
        <v>3.3999999999999998E-3</v>
      </c>
      <c r="Q58" s="9"/>
      <c r="R58" s="9">
        <v>3.0000000000000001E-3</v>
      </c>
      <c r="S58" s="9">
        <v>1.6999999999999999E-3</v>
      </c>
      <c r="T58" s="9">
        <v>2.9999999999999997E-4</v>
      </c>
      <c r="U58" s="9">
        <v>3.2000000000000002E-3</v>
      </c>
      <c r="V58" s="9"/>
      <c r="W58" s="9"/>
      <c r="X58" s="9">
        <v>5.7999999999999996E-3</v>
      </c>
      <c r="Y58" s="9">
        <v>1.2999999999999999E-3</v>
      </c>
      <c r="Z58" s="9">
        <v>4.1000000000000003E-3</v>
      </c>
      <c r="AA58" s="9">
        <v>2.5000000000000001E-3</v>
      </c>
      <c r="AB58" s="9">
        <v>1.9E-3</v>
      </c>
      <c r="AC58" s="9">
        <v>1.1999999999999999E-3</v>
      </c>
      <c r="AD58" s="9">
        <v>2.3E-3</v>
      </c>
    </row>
    <row r="59" spans="2:30" x14ac:dyDescent="0.3">
      <c r="B59" s="5">
        <v>202523</v>
      </c>
      <c r="C59" s="5"/>
      <c r="D59" s="9">
        <v>3.0000000000000001E-3</v>
      </c>
      <c r="E59" s="9">
        <v>1.9E-3</v>
      </c>
      <c r="F59" s="9">
        <v>3.0999999999999999E-3</v>
      </c>
      <c r="G59" s="9">
        <v>1.6999999999999999E-3</v>
      </c>
      <c r="H59" s="9">
        <v>1.1000000000000001E-3</v>
      </c>
      <c r="I59" s="9">
        <v>1E-3</v>
      </c>
      <c r="J59" s="9">
        <v>2.2000000000000001E-3</v>
      </c>
      <c r="K59" s="9">
        <v>1.6999999999999999E-3</v>
      </c>
      <c r="L59" s="9">
        <v>4.7999999999999996E-3</v>
      </c>
      <c r="M59" s="9">
        <v>2.5000000000000001E-3</v>
      </c>
      <c r="N59" s="9">
        <v>5.1999999999999998E-3</v>
      </c>
      <c r="O59" s="9">
        <v>9.4999999999999998E-3</v>
      </c>
      <c r="P59" s="9">
        <v>3.5000000000000001E-3</v>
      </c>
      <c r="Q59" s="9"/>
      <c r="R59" s="9">
        <v>3.0000000000000001E-3</v>
      </c>
      <c r="S59" s="9">
        <v>1.9E-3</v>
      </c>
      <c r="T59" s="9"/>
      <c r="U59" s="9">
        <v>2.5999999999999999E-3</v>
      </c>
      <c r="V59" s="9"/>
      <c r="W59" s="9"/>
      <c r="X59" s="9">
        <v>3.8E-3</v>
      </c>
      <c r="Y59" s="9">
        <v>1.6000000000000001E-3</v>
      </c>
      <c r="Z59" s="9">
        <v>6.1999999999999998E-3</v>
      </c>
      <c r="AA59" s="9">
        <v>3.5000000000000001E-3</v>
      </c>
      <c r="AB59" s="9">
        <v>1.9E-3</v>
      </c>
      <c r="AC59" s="9">
        <v>1.4E-3</v>
      </c>
      <c r="AD59" s="9">
        <v>2.3999999999999998E-3</v>
      </c>
    </row>
    <row r="60" spans="2:30" x14ac:dyDescent="0.3">
      <c r="B60" s="5">
        <v>202524</v>
      </c>
      <c r="C60" s="5"/>
      <c r="D60" s="9">
        <v>3.3E-3</v>
      </c>
      <c r="E60" s="9">
        <v>2.5999999999999999E-3</v>
      </c>
      <c r="F60" s="9">
        <v>3.3E-3</v>
      </c>
      <c r="G60" s="9">
        <v>2.3999999999999998E-3</v>
      </c>
      <c r="H60" s="9">
        <v>2.0999999999999999E-3</v>
      </c>
      <c r="I60" s="9">
        <v>5.8999999999999999E-3</v>
      </c>
      <c r="J60" s="9">
        <v>3.0999999999999999E-3</v>
      </c>
      <c r="K60" s="9">
        <v>2.3999999999999998E-3</v>
      </c>
      <c r="L60" s="9">
        <v>3.3E-3</v>
      </c>
      <c r="M60" s="9">
        <v>5.1999999999999998E-3</v>
      </c>
      <c r="N60" s="9">
        <v>5.1000000000000004E-3</v>
      </c>
      <c r="O60" s="9">
        <v>8.9999999999999993E-3</v>
      </c>
      <c r="P60" s="9">
        <v>4.1999999999999997E-3</v>
      </c>
      <c r="Q60" s="9"/>
      <c r="R60" s="9">
        <v>2.8999999999999998E-3</v>
      </c>
      <c r="S60" s="9">
        <v>1.9E-3</v>
      </c>
      <c r="T60" s="9"/>
      <c r="U60" s="9">
        <v>2.5000000000000001E-3</v>
      </c>
      <c r="V60" s="9"/>
      <c r="W60" s="9"/>
      <c r="X60" s="9">
        <v>4.1999999999999997E-3</v>
      </c>
      <c r="Y60" s="9">
        <v>1.6000000000000001E-3</v>
      </c>
      <c r="Z60" s="9">
        <v>6.3E-3</v>
      </c>
      <c r="AA60" s="9">
        <v>3.0000000000000001E-3</v>
      </c>
      <c r="AB60" s="9">
        <v>2.3E-3</v>
      </c>
      <c r="AC60" s="9">
        <v>1.8E-3</v>
      </c>
      <c r="AD60" s="9">
        <v>2.0999999999999999E-3</v>
      </c>
    </row>
    <row r="61" spans="2:30" x14ac:dyDescent="0.3">
      <c r="B61" s="5">
        <v>202525</v>
      </c>
      <c r="C61" s="5"/>
      <c r="D61" s="9">
        <v>3.2000000000000002E-3</v>
      </c>
      <c r="E61" s="9">
        <v>2.8999999999999998E-3</v>
      </c>
      <c r="F61" s="9">
        <v>3.2000000000000002E-3</v>
      </c>
      <c r="G61" s="9">
        <v>2.0999999999999999E-3</v>
      </c>
      <c r="H61" s="9">
        <v>2.0999999999999999E-3</v>
      </c>
      <c r="I61" s="9">
        <v>6.8999999999999999E-3</v>
      </c>
      <c r="J61" s="9">
        <v>4.3E-3</v>
      </c>
      <c r="K61" s="9">
        <v>3.8999999999999998E-3</v>
      </c>
      <c r="L61" s="9">
        <v>4.4000000000000003E-3</v>
      </c>
      <c r="M61" s="9">
        <v>6.4000000000000003E-3</v>
      </c>
      <c r="N61" s="9">
        <v>4.4999999999999997E-3</v>
      </c>
      <c r="O61" s="9">
        <v>9.7000000000000003E-3</v>
      </c>
      <c r="P61" s="9">
        <v>3.3999999999999998E-3</v>
      </c>
      <c r="Q61" s="9"/>
      <c r="R61" s="9">
        <v>3.0000000000000001E-3</v>
      </c>
      <c r="S61" s="9">
        <v>1.9E-3</v>
      </c>
      <c r="T61" s="9"/>
      <c r="U61" s="9">
        <v>3.3999999999999998E-3</v>
      </c>
      <c r="V61" s="9"/>
      <c r="W61" s="9"/>
      <c r="X61" s="9">
        <v>5.0000000000000001E-3</v>
      </c>
      <c r="Y61" s="9">
        <v>1.1999999999999999E-3</v>
      </c>
      <c r="Z61" s="9">
        <v>3.5999999999999999E-3</v>
      </c>
      <c r="AA61" s="9">
        <v>3.0999999999999999E-3</v>
      </c>
      <c r="AB61" s="9">
        <v>2.8E-3</v>
      </c>
      <c r="AC61" s="9">
        <v>1.6999999999999999E-3</v>
      </c>
      <c r="AD61" s="9">
        <v>1.8E-3</v>
      </c>
    </row>
    <row r="62" spans="2:30" x14ac:dyDescent="0.3">
      <c r="B62" s="5">
        <v>202526</v>
      </c>
      <c r="C62" s="5"/>
      <c r="D62" s="9">
        <v>3.5000000000000001E-3</v>
      </c>
      <c r="E62" s="9">
        <v>2.3E-3</v>
      </c>
      <c r="F62" s="9">
        <v>3.5999999999999999E-3</v>
      </c>
      <c r="G62" s="9">
        <v>2E-3</v>
      </c>
      <c r="H62" s="9">
        <v>1.6000000000000001E-3</v>
      </c>
      <c r="I62" s="9">
        <v>7.0000000000000001E-3</v>
      </c>
      <c r="J62" s="9">
        <v>3.3999999999999998E-3</v>
      </c>
      <c r="K62" s="9">
        <v>2.5000000000000001E-3</v>
      </c>
      <c r="L62" s="9">
        <v>3.3E-3</v>
      </c>
      <c r="M62" s="9">
        <v>6.0000000000000001E-3</v>
      </c>
      <c r="N62" s="9">
        <v>2.7000000000000001E-3</v>
      </c>
      <c r="O62" s="9">
        <v>1.9300000000000001E-2</v>
      </c>
      <c r="P62" s="9">
        <v>3.2000000000000002E-3</v>
      </c>
      <c r="Q62" s="9"/>
      <c r="R62" s="9">
        <v>3.3E-3</v>
      </c>
      <c r="S62" s="9">
        <v>1.9E-3</v>
      </c>
      <c r="T62" s="9"/>
      <c r="U62" s="9">
        <v>3.5999999999999999E-3</v>
      </c>
      <c r="V62" s="9"/>
      <c r="W62" s="9"/>
      <c r="X62" s="9">
        <v>5.4999999999999997E-3</v>
      </c>
      <c r="Y62" s="9">
        <v>1.1999999999999999E-3</v>
      </c>
      <c r="Z62" s="9">
        <v>5.4999999999999997E-3</v>
      </c>
      <c r="AA62" s="9">
        <v>3.3E-3</v>
      </c>
      <c r="AB62" s="9">
        <v>3.0999999999999999E-3</v>
      </c>
      <c r="AC62" s="9">
        <v>1.6999999999999999E-3</v>
      </c>
      <c r="AD62" s="9">
        <v>2.2000000000000001E-3</v>
      </c>
    </row>
    <row r="63" spans="2:30" x14ac:dyDescent="0.3">
      <c r="B63" s="5">
        <v>202527</v>
      </c>
      <c r="C63" s="5"/>
      <c r="D63" s="9">
        <v>3.5000000000000001E-3</v>
      </c>
      <c r="E63" s="9">
        <v>2.7000000000000001E-3</v>
      </c>
      <c r="F63" s="9">
        <v>3.5999999999999999E-3</v>
      </c>
      <c r="G63" s="9">
        <v>1.5E-3</v>
      </c>
      <c r="H63" s="9">
        <v>2.2000000000000001E-3</v>
      </c>
      <c r="I63" s="9">
        <v>5.0000000000000001E-3</v>
      </c>
      <c r="J63" s="9">
        <v>4.4000000000000003E-3</v>
      </c>
      <c r="K63" s="9">
        <v>4.4999999999999997E-3</v>
      </c>
      <c r="L63" s="9">
        <v>3.5999999999999999E-3</v>
      </c>
      <c r="M63" s="9">
        <v>4.4000000000000003E-3</v>
      </c>
      <c r="N63" s="9">
        <v>1.4E-3</v>
      </c>
      <c r="O63" s="9">
        <v>2.12E-2</v>
      </c>
      <c r="P63" s="9">
        <v>4.1999999999999997E-3</v>
      </c>
      <c r="Q63" s="9"/>
      <c r="R63" s="9">
        <v>3.2000000000000002E-3</v>
      </c>
      <c r="S63" s="9">
        <v>1.9E-3</v>
      </c>
      <c r="T63" s="9"/>
      <c r="U63" s="9">
        <v>3.3999999999999998E-3</v>
      </c>
      <c r="V63" s="9"/>
      <c r="W63" s="9"/>
      <c r="X63" s="9">
        <v>5.7999999999999996E-3</v>
      </c>
      <c r="Y63" s="9">
        <v>1.1999999999999999E-3</v>
      </c>
      <c r="Z63" s="9">
        <v>6.3E-3</v>
      </c>
      <c r="AA63" s="9">
        <v>3.8999999999999998E-3</v>
      </c>
      <c r="AB63" s="9">
        <v>2.7000000000000001E-3</v>
      </c>
      <c r="AC63" s="9">
        <v>1.1999999999999999E-3</v>
      </c>
      <c r="AD63" s="9">
        <v>1.9E-3</v>
      </c>
    </row>
    <row r="64" spans="2:30" ht="15" thickBot="1" x14ac:dyDescent="0.35">
      <c r="B64" s="5">
        <v>202528</v>
      </c>
      <c r="C64" s="5"/>
      <c r="D64" s="9">
        <v>3.8E-3</v>
      </c>
      <c r="E64" s="9">
        <v>2.0999999999999999E-3</v>
      </c>
      <c r="F64" s="9">
        <v>3.8999999999999998E-3</v>
      </c>
      <c r="G64" s="9">
        <v>1.8E-3</v>
      </c>
      <c r="H64" s="9">
        <v>1.8E-3</v>
      </c>
      <c r="I64" s="9">
        <v>3.0000000000000001E-3</v>
      </c>
      <c r="J64" s="9">
        <v>1.9E-3</v>
      </c>
      <c r="K64" s="9">
        <v>2.5000000000000001E-3</v>
      </c>
      <c r="L64" s="9">
        <v>3.0999999999999999E-3</v>
      </c>
      <c r="M64" s="9">
        <v>5.7999999999999996E-3</v>
      </c>
      <c r="N64" s="9">
        <v>1.5E-3</v>
      </c>
      <c r="O64" s="9">
        <v>1.24E-2</v>
      </c>
      <c r="P64" s="9">
        <v>4.7000000000000002E-3</v>
      </c>
      <c r="Q64" s="9"/>
      <c r="R64" s="9">
        <v>8.6999999999999994E-3</v>
      </c>
      <c r="S64" s="9">
        <v>2.0999999999999999E-3</v>
      </c>
      <c r="T64" s="9">
        <v>1.5E-3</v>
      </c>
      <c r="U64" s="9">
        <v>4.5999999999999999E-3</v>
      </c>
      <c r="V64" s="9">
        <v>8.0000000000000004E-4</v>
      </c>
      <c r="W64" s="9">
        <v>2.2000000000000001E-3</v>
      </c>
      <c r="X64" s="9">
        <v>6.4000000000000003E-3</v>
      </c>
      <c r="Y64" s="9">
        <v>1.8E-3</v>
      </c>
      <c r="Z64" s="9">
        <v>6.4000000000000003E-3</v>
      </c>
      <c r="AA64" s="9">
        <v>3.7000000000000002E-3</v>
      </c>
      <c r="AB64" s="9">
        <v>3.0999999999999999E-3</v>
      </c>
      <c r="AC64" s="9">
        <v>2.0999999999999999E-3</v>
      </c>
      <c r="AD64" s="9">
        <v>2.3999999999999998E-3</v>
      </c>
    </row>
    <row r="65" spans="2:30" ht="15" thickBot="1" x14ac:dyDescent="0.35">
      <c r="B65" s="22" t="s">
        <v>82</v>
      </c>
      <c r="C65" s="22"/>
      <c r="D65" s="24">
        <f t="shared" ref="D65:AD65" si="23">AVERAGE(D37:D64)</f>
        <v>2.8499999999999997E-3</v>
      </c>
      <c r="E65" s="24">
        <f t="shared" si="23"/>
        <v>3.6571428571428566E-3</v>
      </c>
      <c r="F65" s="24">
        <f t="shared" si="23"/>
        <v>2.7678571428571427E-3</v>
      </c>
      <c r="G65" s="24">
        <f t="shared" si="23"/>
        <v>4.8142857142857154E-3</v>
      </c>
      <c r="H65" s="24">
        <f t="shared" si="23"/>
        <v>3.3642857142857146E-3</v>
      </c>
      <c r="I65" s="24">
        <f t="shared" si="23"/>
        <v>4.5785714285714292E-3</v>
      </c>
      <c r="J65" s="24">
        <f t="shared" si="23"/>
        <v>2.7392857142857141E-3</v>
      </c>
      <c r="K65" s="24">
        <f t="shared" si="23"/>
        <v>3.435714285714285E-3</v>
      </c>
      <c r="L65" s="24">
        <f t="shared" si="23"/>
        <v>2.4357142857142863E-3</v>
      </c>
      <c r="M65" s="24">
        <f t="shared" si="23"/>
        <v>3.0821428571428575E-3</v>
      </c>
      <c r="N65" s="24">
        <f t="shared" si="23"/>
        <v>2.8043478260869567E-3</v>
      </c>
      <c r="O65" s="24">
        <f t="shared" si="23"/>
        <v>7.5107142857142872E-3</v>
      </c>
      <c r="P65" s="24">
        <f t="shared" si="23"/>
        <v>3.0964285714285707E-3</v>
      </c>
      <c r="Q65" s="24">
        <f t="shared" si="23"/>
        <v>-6.7871428571428569E-2</v>
      </c>
      <c r="R65" s="24">
        <f t="shared" si="23"/>
        <v>2.657142857142857E-3</v>
      </c>
      <c r="S65" s="24">
        <f t="shared" si="23"/>
        <v>1.7200000000000004E-3</v>
      </c>
      <c r="T65" s="24">
        <f t="shared" si="23"/>
        <v>2.8652173913043476E-3</v>
      </c>
      <c r="U65" s="24">
        <f t="shared" si="23"/>
        <v>3.1892857142857139E-3</v>
      </c>
      <c r="V65" s="24">
        <f t="shared" si="23"/>
        <v>3.4181818181818185E-3</v>
      </c>
      <c r="W65" s="24">
        <f t="shared" si="23"/>
        <v>2.7272727272727275E-3</v>
      </c>
      <c r="X65" s="24">
        <f t="shared" si="23"/>
        <v>3.4107142857142856E-3</v>
      </c>
      <c r="Y65" s="24">
        <f t="shared" si="23"/>
        <v>1.3964285714285713E-3</v>
      </c>
      <c r="Z65" s="24">
        <f t="shared" si="23"/>
        <v>4.1964285714285723E-3</v>
      </c>
      <c r="AA65" s="24">
        <f t="shared" si="23"/>
        <v>2.2000000000000001E-3</v>
      </c>
      <c r="AB65" s="24">
        <f t="shared" si="23"/>
        <v>1.8434782608695648E-3</v>
      </c>
      <c r="AC65" s="24">
        <f t="shared" si="23"/>
        <v>1.2086956521739128E-3</v>
      </c>
      <c r="AD65" s="24">
        <f t="shared" si="23"/>
        <v>1.5321428571428571E-3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T66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45857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131</v>
      </c>
      <c r="C6" s="7">
        <v>21</v>
      </c>
      <c r="D6" s="7">
        <v>7</v>
      </c>
      <c r="E6" s="7">
        <v>1197</v>
      </c>
      <c r="F6" s="7">
        <v>991</v>
      </c>
      <c r="G6" s="7">
        <v>6</v>
      </c>
      <c r="H6" s="9">
        <f t="shared" ref="H6:H12" si="0">IFERROR(G6/F6,0)</f>
        <v>6.0544904137235112E-3</v>
      </c>
      <c r="I6" s="9">
        <f>IFERROR((1197-F6)/1197,0)</f>
        <v>0.17209690893901419</v>
      </c>
      <c r="J6" s="7">
        <v>3630</v>
      </c>
      <c r="K6" s="11">
        <f t="shared" ref="K6:K12" si="1">IFERROR(J6/D6/F6*100,0)</f>
        <v>52.328095718610342</v>
      </c>
      <c r="L6" s="11">
        <f>K6-52.8729</f>
        <v>-0.5448042813896592</v>
      </c>
      <c r="M6" s="11">
        <v>80</v>
      </c>
      <c r="N6" s="11">
        <f t="shared" ref="N6:N12" si="2">K6-M6</f>
        <v>-27.671904281389658</v>
      </c>
      <c r="O6" s="11">
        <f>IFERROR(172460/1197,0)</f>
        <v>144.07685881370091</v>
      </c>
      <c r="P6" s="11">
        <v>0</v>
      </c>
      <c r="Q6" s="11">
        <f t="shared" ref="Q6:Q11" si="3">IFERROR(O6-P6,0)</f>
        <v>144.07685881370091</v>
      </c>
      <c r="R6" s="7">
        <v>869</v>
      </c>
      <c r="S6" s="11">
        <f t="shared" ref="S6:S11" si="4">IFERROR(R6/D6/F6*1000,0)</f>
        <v>125.27028975061266</v>
      </c>
      <c r="T6" s="13">
        <f t="shared" ref="T6:T12" si="5">IFERROR(J6/R6,0)</f>
        <v>4.1772151898734178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239.39393939393943</v>
      </c>
      <c r="Z6" s="11">
        <f t="shared" ref="Z6:Z12" si="9">IFERROR(Y6*X6/1000,0)</f>
        <v>71.071272727272742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26</v>
      </c>
      <c r="AG6" s="7">
        <f t="shared" ref="AG6:AG11" si="10">IF(M6=0,0,IFERROR(N6/100*7*F6,0))</f>
        <v>-1919.6000000000006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91</v>
      </c>
      <c r="C7" s="7">
        <v>21</v>
      </c>
      <c r="D7" s="7">
        <v>7</v>
      </c>
      <c r="E7" s="7">
        <v>14440</v>
      </c>
      <c r="F7" s="7">
        <v>11089</v>
      </c>
      <c r="G7" s="7">
        <v>32</v>
      </c>
      <c r="H7" s="9">
        <f t="shared" si="0"/>
        <v>2.8857426278293807E-3</v>
      </c>
      <c r="I7" s="9">
        <f>IFERROR((14440-F7)/14440,0)</f>
        <v>0.23206371191135733</v>
      </c>
      <c r="J7" s="7">
        <v>57270</v>
      </c>
      <c r="K7" s="11">
        <f t="shared" si="1"/>
        <v>73.77967870347706</v>
      </c>
      <c r="L7" s="11">
        <f>K7-73.4903</f>
        <v>0.28937870347705541</v>
      </c>
      <c r="M7" s="11">
        <v>80</v>
      </c>
      <c r="N7" s="11">
        <f t="shared" si="2"/>
        <v>-6.2203212965229397</v>
      </c>
      <c r="O7" s="11">
        <f>IFERROR(5066680/14440,0)</f>
        <v>350.87811634349032</v>
      </c>
      <c r="P7" s="11">
        <v>0</v>
      </c>
      <c r="Q7" s="11">
        <f t="shared" si="3"/>
        <v>350.87811634349032</v>
      </c>
      <c r="R7" s="7">
        <v>9730</v>
      </c>
      <c r="S7" s="11">
        <f t="shared" si="4"/>
        <v>125.34944539633871</v>
      </c>
      <c r="T7" s="13">
        <f t="shared" si="5"/>
        <v>5.8859198355601237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169.89697922123275</v>
      </c>
      <c r="Z7" s="11">
        <f t="shared" si="9"/>
        <v>63.397057796403004</v>
      </c>
      <c r="AA7" s="7">
        <v>2074</v>
      </c>
      <c r="AB7" s="15">
        <f>IFERROR(AA7/1980,0)</f>
        <v>1.0474747474747474</v>
      </c>
      <c r="AC7" s="11">
        <v>0</v>
      </c>
      <c r="AD7" s="15">
        <f>IFERROR(AC7/65.1,0)</f>
        <v>0</v>
      </c>
      <c r="AE7" s="11">
        <v>0</v>
      </c>
      <c r="AF7" s="11">
        <v>26</v>
      </c>
      <c r="AG7" s="7">
        <f t="shared" si="10"/>
        <v>-4828.4000000000015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91</v>
      </c>
      <c r="C8" s="7">
        <v>21</v>
      </c>
      <c r="D8" s="7">
        <v>7</v>
      </c>
      <c r="E8" s="7">
        <v>16063</v>
      </c>
      <c r="F8" s="7">
        <v>13013</v>
      </c>
      <c r="G8" s="7">
        <v>21</v>
      </c>
      <c r="H8" s="9">
        <f t="shared" si="0"/>
        <v>1.6137708445400753E-3</v>
      </c>
      <c r="I8" s="9">
        <f>IFERROR((16063-F8)/16063,0)</f>
        <v>0.18987735790325594</v>
      </c>
      <c r="J8" s="7">
        <v>60660</v>
      </c>
      <c r="K8" s="11">
        <f t="shared" si="1"/>
        <v>66.592747911429228</v>
      </c>
      <c r="L8" s="11">
        <f>K8-66.1895</f>
        <v>0.40324791142923289</v>
      </c>
      <c r="M8" s="11">
        <v>77</v>
      </c>
      <c r="N8" s="11">
        <f t="shared" si="2"/>
        <v>-10.407252088570772</v>
      </c>
      <c r="O8" s="11">
        <f>IFERROR(5278980/16063,0)</f>
        <v>328.64222125381309</v>
      </c>
      <c r="P8" s="11">
        <v>0</v>
      </c>
      <c r="Q8" s="11">
        <f t="shared" si="3"/>
        <v>328.64222125381309</v>
      </c>
      <c r="R8" s="7">
        <v>10390</v>
      </c>
      <c r="S8" s="11">
        <f t="shared" si="4"/>
        <v>114.06176241341076</v>
      </c>
      <c r="T8" s="13">
        <f t="shared" si="5"/>
        <v>5.8383060635226176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171.28255852291463</v>
      </c>
      <c r="Z8" s="11">
        <f t="shared" si="9"/>
        <v>63.374546653478411</v>
      </c>
      <c r="AA8" s="7">
        <v>1740</v>
      </c>
      <c r="AB8" s="15">
        <f>IFERROR(AA8/1580,0)</f>
        <v>1.1012658227848102</v>
      </c>
      <c r="AC8" s="11">
        <v>0</v>
      </c>
      <c r="AD8" s="15">
        <f>IFERROR(AC8/63.7,0)</f>
        <v>0</v>
      </c>
      <c r="AE8" s="11">
        <v>0</v>
      </c>
      <c r="AF8" s="11">
        <v>26</v>
      </c>
      <c r="AG8" s="7">
        <f t="shared" si="10"/>
        <v>-9480.0700000000015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52</v>
      </c>
      <c r="C9" s="7"/>
      <c r="D9" s="7">
        <v>7</v>
      </c>
      <c r="E9" s="7">
        <v>4686</v>
      </c>
      <c r="F9" s="7">
        <v>4097</v>
      </c>
      <c r="G9" s="7">
        <v>14</v>
      </c>
      <c r="H9" s="9">
        <f t="shared" si="0"/>
        <v>3.4171344886502319E-3</v>
      </c>
      <c r="I9" s="9">
        <f>IFERROR((4686-F9)/4686,0)</f>
        <v>0.12569355527102005</v>
      </c>
      <c r="J9" s="7">
        <v>28590</v>
      </c>
      <c r="K9" s="11">
        <f t="shared" si="1"/>
        <v>99.689668398479725</v>
      </c>
      <c r="L9" s="11">
        <f>K9-99.3502</f>
        <v>0.33946839847972399</v>
      </c>
      <c r="M9" s="11">
        <v>88</v>
      </c>
      <c r="N9" s="11">
        <f t="shared" si="2"/>
        <v>11.689668398479725</v>
      </c>
      <c r="O9" s="11">
        <f>IFERROR(932760/4686,0)</f>
        <v>199.05249679897568</v>
      </c>
      <c r="P9" s="11">
        <v>210</v>
      </c>
      <c r="Q9" s="11">
        <f t="shared" si="3"/>
        <v>-10.947503201024318</v>
      </c>
      <c r="R9" s="7">
        <v>5128</v>
      </c>
      <c r="S9" s="11">
        <f t="shared" si="4"/>
        <v>178.80679242651416</v>
      </c>
      <c r="T9" s="13">
        <f t="shared" si="5"/>
        <v>5.5752730109204371</v>
      </c>
      <c r="U9" s="7">
        <v>5040</v>
      </c>
      <c r="V9" s="11">
        <f t="shared" si="6"/>
        <v>175.73834513058333</v>
      </c>
      <c r="W9" s="11">
        <f t="shared" si="7"/>
        <v>0.98283931357254284</v>
      </c>
      <c r="X9" s="11">
        <v>362.76</v>
      </c>
      <c r="Y9" s="11">
        <f t="shared" si="8"/>
        <v>179.36341378104231</v>
      </c>
      <c r="Z9" s="11">
        <f t="shared" si="9"/>
        <v>65.065871983210911</v>
      </c>
      <c r="AA9" s="7">
        <v>1969</v>
      </c>
      <c r="AB9" s="15">
        <f>IFERROR(AA9/1950,0)</f>
        <v>1.0097435897435898</v>
      </c>
      <c r="AC9" s="11">
        <v>0</v>
      </c>
      <c r="AD9" s="15">
        <f>IFERROR(AC9/63.5,0)</f>
        <v>0</v>
      </c>
      <c r="AE9" s="11">
        <v>12</v>
      </c>
      <c r="AF9" s="11">
        <v>24</v>
      </c>
      <c r="AG9" s="7">
        <f t="shared" si="10"/>
        <v>3352.48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91</v>
      </c>
      <c r="C10" s="7">
        <v>22</v>
      </c>
      <c r="D10" s="7">
        <v>7</v>
      </c>
      <c r="E10" s="7">
        <v>5000</v>
      </c>
      <c r="F10" s="7">
        <v>4017</v>
      </c>
      <c r="G10" s="7">
        <v>13</v>
      </c>
      <c r="H10" s="9">
        <f t="shared" si="0"/>
        <v>3.2362459546925568E-3</v>
      </c>
      <c r="I10" s="9">
        <f>IFERROR((5000-F10)/5000,0)</f>
        <v>0.1966</v>
      </c>
      <c r="J10" s="7">
        <v>24120</v>
      </c>
      <c r="K10" s="11">
        <f t="shared" si="1"/>
        <v>85.77829937053238</v>
      </c>
      <c r="L10" s="11">
        <f>K10-87.7348</f>
        <v>-1.9565006294676266</v>
      </c>
      <c r="M10" s="11">
        <v>80</v>
      </c>
      <c r="N10" s="11">
        <f t="shared" si="2"/>
        <v>5.7782993705323804</v>
      </c>
      <c r="O10" s="11">
        <f>IFERROR(1886270/5000,0)</f>
        <v>377.25400000000002</v>
      </c>
      <c r="P10" s="11">
        <v>0</v>
      </c>
      <c r="Q10" s="11">
        <f t="shared" si="3"/>
        <v>377.25400000000002</v>
      </c>
      <c r="R10" s="7">
        <v>4478</v>
      </c>
      <c r="S10" s="11">
        <f t="shared" si="4"/>
        <v>159.25175148476117</v>
      </c>
      <c r="T10" s="13">
        <f t="shared" si="5"/>
        <v>5.3863331844573468</v>
      </c>
      <c r="U10" s="7">
        <v>5040</v>
      </c>
      <c r="V10" s="11">
        <f t="shared" si="6"/>
        <v>179.23823749066466</v>
      </c>
      <c r="W10" s="11">
        <f t="shared" si="7"/>
        <v>1.1255024564537741</v>
      </c>
      <c r="X10" s="11">
        <v>374.81</v>
      </c>
      <c r="Y10" s="11">
        <f t="shared" si="8"/>
        <v>185.65505804311772</v>
      </c>
      <c r="Z10" s="11">
        <f t="shared" si="9"/>
        <v>69.58537230514095</v>
      </c>
      <c r="AA10" s="7">
        <v>2165</v>
      </c>
      <c r="AB10" s="15">
        <f>IFERROR(AA10/1980,0)</f>
        <v>1.0934343434343434</v>
      </c>
      <c r="AC10" s="11">
        <v>0</v>
      </c>
      <c r="AD10" s="15">
        <f>IFERROR(AC10/65.1,0)</f>
        <v>0</v>
      </c>
      <c r="AE10" s="11">
        <v>13</v>
      </c>
      <c r="AF10" s="11">
        <v>20</v>
      </c>
      <c r="AG10" s="7">
        <f t="shared" si="10"/>
        <v>1624.8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52</v>
      </c>
      <c r="C11" s="7"/>
      <c r="D11" s="7">
        <v>7</v>
      </c>
      <c r="E11" s="7">
        <v>4819</v>
      </c>
      <c r="F11" s="7">
        <v>4443</v>
      </c>
      <c r="G11" s="7">
        <v>19</v>
      </c>
      <c r="H11" s="9">
        <f t="shared" si="0"/>
        <v>4.2763898266936756E-3</v>
      </c>
      <c r="I11" s="9">
        <f>IFERROR((4819-F11)/4819,0)</f>
        <v>7.8024486407968455E-2</v>
      </c>
      <c r="J11" s="7">
        <v>28920</v>
      </c>
      <c r="K11" s="11">
        <f t="shared" si="1"/>
        <v>92.987363750361723</v>
      </c>
      <c r="L11" s="11">
        <f>K11-92.4954</f>
        <v>0.49196375036171958</v>
      </c>
      <c r="M11" s="11">
        <v>88</v>
      </c>
      <c r="N11" s="11">
        <f t="shared" si="2"/>
        <v>4.9873637503617232</v>
      </c>
      <c r="O11" s="11">
        <f>IFERROR(976966/4819,0)</f>
        <v>202.73210209587052</v>
      </c>
      <c r="P11" s="11">
        <v>210</v>
      </c>
      <c r="Q11" s="11">
        <f t="shared" si="3"/>
        <v>-7.2678979041294838</v>
      </c>
      <c r="R11" s="7">
        <v>5383</v>
      </c>
      <c r="S11" s="11">
        <f t="shared" si="4"/>
        <v>173.0812514067072</v>
      </c>
      <c r="T11" s="13">
        <f t="shared" si="5"/>
        <v>5.3724688835221999</v>
      </c>
      <c r="U11" s="7">
        <v>5040</v>
      </c>
      <c r="V11" s="11">
        <f t="shared" si="6"/>
        <v>162.05266711681296</v>
      </c>
      <c r="W11" s="11">
        <f t="shared" si="7"/>
        <v>0.93628088426527944</v>
      </c>
      <c r="X11" s="11">
        <v>362.76</v>
      </c>
      <c r="Y11" s="11">
        <f t="shared" si="8"/>
        <v>186.13416320885204</v>
      </c>
      <c r="Z11" s="11">
        <f t="shared" si="9"/>
        <v>67.522029045643166</v>
      </c>
      <c r="AA11" s="7">
        <v>1971</v>
      </c>
      <c r="AB11" s="15">
        <f>IFERROR(AA11/1950,0)</f>
        <v>1.0107692307692309</v>
      </c>
      <c r="AC11" s="11">
        <v>0</v>
      </c>
      <c r="AD11" s="15">
        <f>IFERROR(AC11/63.5,0)</f>
        <v>0</v>
      </c>
      <c r="AE11" s="11">
        <v>13</v>
      </c>
      <c r="AF11" s="11">
        <v>20</v>
      </c>
      <c r="AG11" s="7">
        <f t="shared" si="10"/>
        <v>1551.1199999999994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37650</v>
      </c>
      <c r="G12" s="17">
        <f>SUM(G6:G11)</f>
        <v>105</v>
      </c>
      <c r="H12" s="18">
        <f t="shared" si="0"/>
        <v>2.7888446215139444E-3</v>
      </c>
      <c r="I12" s="18"/>
      <c r="J12" s="17">
        <f>SUM(J6:J11)</f>
        <v>203190</v>
      </c>
      <c r="K12" s="19">
        <f t="shared" si="1"/>
        <v>77.097324985771209</v>
      </c>
      <c r="L12" s="19"/>
      <c r="M12" s="19">
        <f>IFERROR(SUMPRODUCT($F6:$F11,M6:M11)/$F12, 0)</f>
        <v>80.77771580345285</v>
      </c>
      <c r="N12" s="19">
        <f t="shared" si="2"/>
        <v>-3.6803908176816407</v>
      </c>
      <c r="O12" s="19">
        <f>IFERROR(SUMPRODUCT($E6:$E11,O6:O11)/$E12, 0)</f>
        <v>309.79582296288282</v>
      </c>
      <c r="P12" s="19">
        <f>IFERROR(SUMPRODUCT($E6:$E11,P6:P11)/$E12, 0)</f>
        <v>43.199870143923818</v>
      </c>
      <c r="Q12" s="19">
        <f>IFERROR(SUMPRODUCT($E6:$E11,Q6:Q11)/$E12, 0)</f>
        <v>266.59595281895901</v>
      </c>
      <c r="R12" s="17">
        <f>SUM(R6:R11)</f>
        <v>35978</v>
      </c>
      <c r="S12" s="19">
        <f>IFERROR(R12/D12/$F12*1000,0)</f>
        <v>136.51299563650159</v>
      </c>
      <c r="T12" s="20">
        <f t="shared" si="5"/>
        <v>5.6476179887709153</v>
      </c>
      <c r="U12" s="17">
        <f>SUM(U6:U11)</f>
        <v>15120</v>
      </c>
      <c r="V12" s="19">
        <f>IFERROR(U12/D12/$F12*1000,0)</f>
        <v>57.370517928286851</v>
      </c>
      <c r="W12" s="19">
        <f t="shared" si="7"/>
        <v>0.42025682361443112</v>
      </c>
      <c r="X12" s="19">
        <f>IFERROR(SUMPRODUCT(R6:R11,X6:X11)/R12,0)</f>
        <v>367.56928567457891</v>
      </c>
      <c r="Y12" s="19">
        <f>IFERROR(($F12*S12)/($F12*K12)*100,0)</f>
        <v>177.06580048230717</v>
      </c>
      <c r="Z12" s="19">
        <f t="shared" si="9"/>
        <v>65.08394980067915</v>
      </c>
      <c r="AA12" s="17"/>
      <c r="AB12" s="21">
        <f>IFERROR(SUMPRODUCT($F6:$F11,AB6:AB11)/$F12,0)</f>
        <v>1.0349618210812521</v>
      </c>
      <c r="AC12" s="19"/>
      <c r="AD12" s="21">
        <f>AVERAGE(AD6:AD11)</f>
        <v>0</v>
      </c>
      <c r="AE12" s="19"/>
      <c r="AF12" s="19"/>
      <c r="AG12" s="17">
        <f>SUM(AG6:AG11)</f>
        <v>-9699.6700000000055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90</v>
      </c>
      <c r="C14" s="6">
        <v>28</v>
      </c>
      <c r="D14" s="6">
        <v>7</v>
      </c>
      <c r="E14" s="6">
        <v>21388</v>
      </c>
      <c r="F14" s="6">
        <v>15996</v>
      </c>
      <c r="G14" s="6">
        <v>60</v>
      </c>
      <c r="H14" s="8">
        <f t="shared" ref="H14:H31" si="12">IFERROR(G14/F14,0)</f>
        <v>3.7509377344336083E-3</v>
      </c>
      <c r="I14" s="8">
        <f>IFERROR((21388-F14)/21388,0)</f>
        <v>0.25210398354217317</v>
      </c>
      <c r="J14" s="6">
        <v>79090</v>
      </c>
      <c r="K14" s="10">
        <f t="shared" ref="K14:K31" si="13">IFERROR(J14/D14/F14*100,0)</f>
        <v>70.633729861036699</v>
      </c>
      <c r="L14" s="10">
        <f>K14-71.8912</f>
        <v>-1.2574701389632992</v>
      </c>
      <c r="M14" s="10">
        <v>77</v>
      </c>
      <c r="N14" s="10">
        <f t="shared" ref="N14:N31" si="14">K14-M14</f>
        <v>-6.3662701389633014</v>
      </c>
      <c r="O14" s="10">
        <f>IFERROR(6055330/21388,0)</f>
        <v>283.11810360950068</v>
      </c>
      <c r="P14" s="10">
        <v>0</v>
      </c>
      <c r="Q14" s="10">
        <f t="shared" ref="Q14:Q30" si="15">IFERROR(O14-P14,0)</f>
        <v>283.11810360950068</v>
      </c>
      <c r="R14" s="6">
        <v>11480</v>
      </c>
      <c r="S14" s="10">
        <f t="shared" ref="S14:S30" si="16">IFERROR(R14/D14/F14*1000,0)</f>
        <v>102.52563140785196</v>
      </c>
      <c r="T14" s="12">
        <f t="shared" ref="T14:T31" si="17">IFERROR(J14/R14,0)</f>
        <v>6.8893728222996513</v>
      </c>
      <c r="U14" s="6">
        <v>22580</v>
      </c>
      <c r="V14" s="10">
        <f t="shared" ref="V14:V30" si="18">IFERROR(U14/D14/F14*1000,0)</f>
        <v>201.65755724645447</v>
      </c>
      <c r="W14" s="10">
        <f t="shared" ref="W14:W31" si="19">IFERROR(V14/S14,0)</f>
        <v>1.9668989547038329</v>
      </c>
      <c r="X14" s="10">
        <v>289.98428571429997</v>
      </c>
      <c r="Y14" s="10">
        <f t="shared" ref="Y14:Y30" si="20">IFERROR((F14*S14)/(F14*K14)*100,0)</f>
        <v>145.15109369073207</v>
      </c>
      <c r="Z14" s="10">
        <f t="shared" ref="Z14:Z31" si="21">IFERROR(Y14*X14/1000,0)</f>
        <v>42.091536224556371</v>
      </c>
      <c r="AA14" s="6">
        <v>2070</v>
      </c>
      <c r="AB14" s="14">
        <f>IFERROR(AA14/1580,0)</f>
        <v>1.3101265822784811</v>
      </c>
      <c r="AC14" s="10">
        <v>0</v>
      </c>
      <c r="AD14" s="14">
        <f>IFERROR(AC14/63.7,0)</f>
        <v>0</v>
      </c>
      <c r="AE14" s="10">
        <v>19</v>
      </c>
      <c r="AF14" s="10">
        <v>25</v>
      </c>
      <c r="AG14" s="6">
        <f t="shared" ref="AG14:AG30" si="22">IF(M14=0,0,IFERROR(N14/100*7*F14,0))</f>
        <v>-7128.4399999999869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51</v>
      </c>
      <c r="C15" s="7"/>
      <c r="D15" s="7">
        <v>7</v>
      </c>
      <c r="E15" s="7">
        <v>10225</v>
      </c>
      <c r="F15" s="7">
        <v>7999</v>
      </c>
      <c r="G15" s="7">
        <v>126</v>
      </c>
      <c r="H15" s="9">
        <f t="shared" si="12"/>
        <v>1.5751968996124514E-2</v>
      </c>
      <c r="I15" s="9">
        <f>IFERROR((10225-F15)/10225,0)</f>
        <v>0.21770171149144255</v>
      </c>
      <c r="J15" s="7">
        <v>44370</v>
      </c>
      <c r="K15" s="11">
        <f t="shared" si="13"/>
        <v>79.242048113157011</v>
      </c>
      <c r="L15" s="11">
        <f>K15-82.233</f>
        <v>-2.9909518868429927</v>
      </c>
      <c r="M15" s="11">
        <v>88</v>
      </c>
      <c r="N15" s="11">
        <f t="shared" si="14"/>
        <v>-8.7579518868429886</v>
      </c>
      <c r="O15" s="11">
        <f>IFERROR(1730010/10225,0)</f>
        <v>169.19413202933984</v>
      </c>
      <c r="P15" s="11">
        <v>204</v>
      </c>
      <c r="Q15" s="11">
        <f t="shared" si="15"/>
        <v>-34.805867970660159</v>
      </c>
      <c r="R15" s="7">
        <v>7880</v>
      </c>
      <c r="S15" s="11">
        <f t="shared" si="16"/>
        <v>140.73187719893559</v>
      </c>
      <c r="T15" s="13">
        <f t="shared" si="17"/>
        <v>5.6307106598984769</v>
      </c>
      <c r="U15" s="7">
        <v>12780</v>
      </c>
      <c r="V15" s="11">
        <f t="shared" si="18"/>
        <v>228.24281606629401</v>
      </c>
      <c r="W15" s="11">
        <f t="shared" si="19"/>
        <v>1.6218274111675126</v>
      </c>
      <c r="X15" s="11">
        <v>283.89999999999998</v>
      </c>
      <c r="Y15" s="11">
        <f t="shared" si="20"/>
        <v>177.59747577191797</v>
      </c>
      <c r="Z15" s="11">
        <f t="shared" si="21"/>
        <v>50.419923371647506</v>
      </c>
      <c r="AA15" s="7">
        <v>2040</v>
      </c>
      <c r="AB15" s="15">
        <f>IFERROR(AA15/1950,0)</f>
        <v>1.0461538461538462</v>
      </c>
      <c r="AC15" s="11">
        <v>0</v>
      </c>
      <c r="AD15" s="15">
        <f>IFERROR(AC15/63.4,0)</f>
        <v>0</v>
      </c>
      <c r="AE15" s="11">
        <v>13</v>
      </c>
      <c r="AF15" s="11">
        <v>26</v>
      </c>
      <c r="AG15" s="7">
        <f t="shared" si="22"/>
        <v>-4903.8399999999956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80</v>
      </c>
      <c r="C16" s="7"/>
      <c r="D16" s="7">
        <v>7</v>
      </c>
      <c r="E16" s="7">
        <v>56050</v>
      </c>
      <c r="F16" s="7">
        <v>47944</v>
      </c>
      <c r="G16" s="7">
        <v>164</v>
      </c>
      <c r="H16" s="9">
        <f t="shared" si="12"/>
        <v>3.4206574336726179E-3</v>
      </c>
      <c r="I16" s="9">
        <f>IFERROR((56050-F16)/56050,0)</f>
        <v>0.14462087421944692</v>
      </c>
      <c r="J16" s="7">
        <v>296460</v>
      </c>
      <c r="K16" s="11">
        <f t="shared" si="13"/>
        <v>88.335200591165886</v>
      </c>
      <c r="L16" s="11">
        <f>K16-86.3058</f>
        <v>2.0294005911658815</v>
      </c>
      <c r="M16" s="11">
        <v>85.15</v>
      </c>
      <c r="N16" s="11">
        <f t="shared" si="14"/>
        <v>3.1852005911658807</v>
      </c>
      <c r="O16" s="11">
        <f>IFERROR(20481481/56050,0)</f>
        <v>365.41446922390725</v>
      </c>
      <c r="P16" s="11">
        <v>372</v>
      </c>
      <c r="Q16" s="11">
        <f t="shared" si="15"/>
        <v>-6.5855307760927531</v>
      </c>
      <c r="R16" s="7">
        <v>39270</v>
      </c>
      <c r="S16" s="11">
        <f t="shared" si="16"/>
        <v>117.01151343233774</v>
      </c>
      <c r="T16" s="13">
        <f t="shared" si="17"/>
        <v>7.5492742551566083</v>
      </c>
      <c r="U16" s="7">
        <v>62900</v>
      </c>
      <c r="V16" s="11">
        <f t="shared" si="18"/>
        <v>187.42103883101714</v>
      </c>
      <c r="W16" s="11">
        <f t="shared" si="19"/>
        <v>1.6017316017316017</v>
      </c>
      <c r="X16" s="11">
        <v>307.71428571429999</v>
      </c>
      <c r="Y16" s="11">
        <f t="shared" si="20"/>
        <v>132.46306415705322</v>
      </c>
      <c r="Z16" s="11">
        <f t="shared" si="21"/>
        <v>40.760777170615128</v>
      </c>
      <c r="AA16" s="7">
        <v>1771</v>
      </c>
      <c r="AB16" s="15">
        <f>IFERROR(AA16/1725,0)</f>
        <v>1.0266666666666666</v>
      </c>
      <c r="AC16" s="11">
        <v>0</v>
      </c>
      <c r="AD16" s="15">
        <f>IFERROR(AC16/64.15,0)</f>
        <v>0</v>
      </c>
      <c r="AE16" s="11">
        <v>21</v>
      </c>
      <c r="AF16" s="11">
        <v>26</v>
      </c>
      <c r="AG16" s="7">
        <f t="shared" si="22"/>
        <v>10689.787999999988</v>
      </c>
      <c r="AH16" s="7">
        <v>36</v>
      </c>
      <c r="AI16" s="7">
        <v>13.333333333300001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IFERROR(1420/F16,0)</f>
        <v>2.9617887535458035E-2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73</v>
      </c>
      <c r="C17" s="7"/>
      <c r="D17" s="7">
        <v>7</v>
      </c>
      <c r="E17" s="7">
        <v>51536</v>
      </c>
      <c r="F17" s="7">
        <v>45907</v>
      </c>
      <c r="G17" s="7">
        <v>160</v>
      </c>
      <c r="H17" s="9">
        <f t="shared" si="12"/>
        <v>3.4853072516174005E-3</v>
      </c>
      <c r="I17" s="9">
        <f>IFERROR((51536-F17)/51536,0)</f>
        <v>0.10922461968332815</v>
      </c>
      <c r="J17" s="7">
        <v>273700</v>
      </c>
      <c r="K17" s="11">
        <f t="shared" si="13"/>
        <v>85.17219596140022</v>
      </c>
      <c r="L17" s="11">
        <f>K17-80.8884</f>
        <v>4.2837959614002159</v>
      </c>
      <c r="M17" s="11">
        <v>87.45</v>
      </c>
      <c r="N17" s="11">
        <f t="shared" si="14"/>
        <v>-2.2778040385997826</v>
      </c>
      <c r="O17" s="11">
        <f>IFERROR(16430422/51536,0)</f>
        <v>318.81445979509471</v>
      </c>
      <c r="P17" s="11">
        <v>333</v>
      </c>
      <c r="Q17" s="11">
        <f t="shared" si="15"/>
        <v>-14.185540204905294</v>
      </c>
      <c r="R17" s="7">
        <v>41470</v>
      </c>
      <c r="S17" s="11">
        <f t="shared" si="16"/>
        <v>129.04972475408357</v>
      </c>
      <c r="T17" s="13">
        <f t="shared" si="17"/>
        <v>6.5999517723655652</v>
      </c>
      <c r="U17" s="7">
        <v>75566</v>
      </c>
      <c r="V17" s="11">
        <f t="shared" si="18"/>
        <v>235.15243551403614</v>
      </c>
      <c r="W17" s="11">
        <f t="shared" si="19"/>
        <v>1.8221847118398842</v>
      </c>
      <c r="X17" s="11">
        <v>300.05714285710002</v>
      </c>
      <c r="Y17" s="11">
        <f t="shared" si="20"/>
        <v>151.516258677384</v>
      </c>
      <c r="Z17" s="11">
        <f t="shared" si="21"/>
        <v>45.463535675133137</v>
      </c>
      <c r="AA17" s="7">
        <v>1721</v>
      </c>
      <c r="AB17" s="15">
        <f>IFERROR(AA17/1725,0)</f>
        <v>0.9976811594202899</v>
      </c>
      <c r="AC17" s="11">
        <v>0</v>
      </c>
      <c r="AD17" s="15">
        <f>IFERROR(AC17/63.8,0)</f>
        <v>0</v>
      </c>
      <c r="AE17" s="11">
        <v>23</v>
      </c>
      <c r="AF17" s="11">
        <v>26</v>
      </c>
      <c r="AG17" s="7">
        <f t="shared" si="22"/>
        <v>-7319.7005000000163</v>
      </c>
      <c r="AH17" s="7">
        <v>27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20</v>
      </c>
      <c r="C18" s="7"/>
      <c r="D18" s="7">
        <v>7</v>
      </c>
      <c r="E18" s="7">
        <v>49067</v>
      </c>
      <c r="F18" s="7">
        <v>48917</v>
      </c>
      <c r="G18" s="7">
        <v>78</v>
      </c>
      <c r="H18" s="9">
        <f t="shared" si="12"/>
        <v>1.5945376862849317E-3</v>
      </c>
      <c r="I18" s="9">
        <f>IFERROR((49067-F18)/49067,0)</f>
        <v>3.0570444494262949E-3</v>
      </c>
      <c r="J18" s="7">
        <v>153900</v>
      </c>
      <c r="K18" s="11">
        <f t="shared" si="13"/>
        <v>44.944935882646703</v>
      </c>
      <c r="L18" s="11">
        <f>K18-14.9578</f>
        <v>29.987135882646704</v>
      </c>
      <c r="M18" s="11">
        <v>37.65</v>
      </c>
      <c r="N18" s="11">
        <f t="shared" si="14"/>
        <v>7.2949358826467048</v>
      </c>
      <c r="O18" s="11">
        <f>IFERROR(205200/49067,0)</f>
        <v>4.1820368068151712</v>
      </c>
      <c r="P18" s="11">
        <v>3</v>
      </c>
      <c r="Q18" s="11">
        <f t="shared" si="15"/>
        <v>1.1820368068151712</v>
      </c>
      <c r="R18" s="7">
        <v>32200</v>
      </c>
      <c r="S18" s="11">
        <f t="shared" si="16"/>
        <v>94.036837909111355</v>
      </c>
      <c r="T18" s="13">
        <f t="shared" si="17"/>
        <v>4.7795031055900621</v>
      </c>
      <c r="U18" s="7">
        <v>60750</v>
      </c>
      <c r="V18" s="11">
        <f t="shared" si="18"/>
        <v>177.41422058939489</v>
      </c>
      <c r="W18" s="11">
        <f t="shared" si="19"/>
        <v>1.8866459627329195</v>
      </c>
      <c r="X18" s="11">
        <v>302.59428571429999</v>
      </c>
      <c r="Y18" s="11">
        <f t="shared" si="20"/>
        <v>209.22677063027942</v>
      </c>
      <c r="Z18" s="11">
        <f t="shared" si="21"/>
        <v>63.310825211179079</v>
      </c>
      <c r="AA18" s="7">
        <v>1401</v>
      </c>
      <c r="AB18" s="15">
        <f>IFERROR(AA18/1385,0)</f>
        <v>1.0115523465703971</v>
      </c>
      <c r="AC18" s="11">
        <v>0</v>
      </c>
      <c r="AD18" s="15">
        <f>IFERROR(AC18/45.6,0)</f>
        <v>0</v>
      </c>
      <c r="AE18" s="11">
        <v>19</v>
      </c>
      <c r="AF18" s="11">
        <v>26</v>
      </c>
      <c r="AG18" s="7">
        <f t="shared" si="22"/>
        <v>24979.246500000023</v>
      </c>
      <c r="AH18" s="7">
        <v>0</v>
      </c>
      <c r="AI18" s="7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IFERROR(0/F18,0)</f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52</v>
      </c>
      <c r="C19" s="7"/>
      <c r="D19" s="7">
        <v>7</v>
      </c>
      <c r="E19" s="7">
        <v>52424</v>
      </c>
      <c r="F19" s="7">
        <v>46965</v>
      </c>
      <c r="G19" s="7">
        <v>275</v>
      </c>
      <c r="H19" s="9">
        <f t="shared" si="12"/>
        <v>5.8554242521026293E-3</v>
      </c>
      <c r="I19" s="9">
        <f>IFERROR((52424-F19)/52424,0)</f>
        <v>0.10413169540668396</v>
      </c>
      <c r="J19" s="7">
        <v>295880</v>
      </c>
      <c r="K19" s="11">
        <f t="shared" si="13"/>
        <v>90.000152088941604</v>
      </c>
      <c r="L19" s="11">
        <f>K19-89.6698</f>
        <v>0.33035208894160917</v>
      </c>
      <c r="M19" s="11">
        <v>93.1</v>
      </c>
      <c r="N19" s="11">
        <f t="shared" si="14"/>
        <v>-3.0998479110583901</v>
      </c>
      <c r="O19" s="11">
        <f>IFERROR(10125680/52424,0)</f>
        <v>193.1497024263696</v>
      </c>
      <c r="P19" s="11">
        <v>207</v>
      </c>
      <c r="Q19" s="11">
        <f t="shared" si="15"/>
        <v>-13.850297573630399</v>
      </c>
      <c r="R19" s="7">
        <v>35099</v>
      </c>
      <c r="S19" s="11">
        <f t="shared" si="16"/>
        <v>106.76339523353256</v>
      </c>
      <c r="T19" s="13">
        <f t="shared" si="17"/>
        <v>8.4298697968603093</v>
      </c>
      <c r="U19" s="7">
        <v>57999</v>
      </c>
      <c r="V19" s="11">
        <f t="shared" si="18"/>
        <v>176.42013049231193</v>
      </c>
      <c r="W19" s="11">
        <f t="shared" si="19"/>
        <v>1.6524402404626917</v>
      </c>
      <c r="X19" s="11">
        <v>296.6128571429</v>
      </c>
      <c r="Y19" s="11">
        <f t="shared" si="20"/>
        <v>118.62579424090849</v>
      </c>
      <c r="Z19" s="11">
        <f t="shared" si="21"/>
        <v>35.185935760641641</v>
      </c>
      <c r="AA19" s="7">
        <v>1683</v>
      </c>
      <c r="AB19" s="15">
        <f>IFERROR(AA19/1725,0)</f>
        <v>0.97565217391304349</v>
      </c>
      <c r="AC19" s="11">
        <v>61.11</v>
      </c>
      <c r="AD19" s="15">
        <f>IFERROR(AC19/62.8,0)</f>
        <v>0.97308917197452238</v>
      </c>
      <c r="AE19" s="11">
        <v>20</v>
      </c>
      <c r="AF19" s="11">
        <v>26</v>
      </c>
      <c r="AG19" s="7">
        <f t="shared" si="22"/>
        <v>-10190.905000000012</v>
      </c>
      <c r="AH19" s="7">
        <v>34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IFERROR(1400/F19,0)</f>
        <v>2.9809432556158841E-2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42</v>
      </c>
      <c r="C20" s="7"/>
      <c r="D20" s="7">
        <v>7</v>
      </c>
      <c r="E20" s="7">
        <v>50525</v>
      </c>
      <c r="F20" s="7">
        <v>48186</v>
      </c>
      <c r="G20" s="7">
        <v>159</v>
      </c>
      <c r="H20" s="9">
        <f t="shared" si="12"/>
        <v>3.2997136097621714E-3</v>
      </c>
      <c r="I20" s="9">
        <f>IFERROR((50525-F20)/50525,0)</f>
        <v>4.6293913904007916E-2</v>
      </c>
      <c r="J20" s="7">
        <v>311480</v>
      </c>
      <c r="K20" s="11">
        <f t="shared" si="13"/>
        <v>92.344545837261563</v>
      </c>
      <c r="L20" s="11">
        <f>K20-89.9724</f>
        <v>2.37214583726157</v>
      </c>
      <c r="M20" s="11">
        <v>93</v>
      </c>
      <c r="N20" s="11">
        <f t="shared" si="14"/>
        <v>-0.65545416273843671</v>
      </c>
      <c r="O20" s="11">
        <f>IFERROR(6782930/50525,0)</f>
        <v>134.24898565066798</v>
      </c>
      <c r="P20" s="11">
        <v>146</v>
      </c>
      <c r="Q20" s="11">
        <f t="shared" si="15"/>
        <v>-11.751014349332024</v>
      </c>
      <c r="R20" s="7">
        <v>40176</v>
      </c>
      <c r="S20" s="11">
        <f t="shared" si="16"/>
        <v>119.10987779497304</v>
      </c>
      <c r="T20" s="13">
        <f t="shared" si="17"/>
        <v>7.7528872958980486</v>
      </c>
      <c r="U20" s="7">
        <v>71517</v>
      </c>
      <c r="V20" s="11">
        <f t="shared" si="18"/>
        <v>212.02661116744045</v>
      </c>
      <c r="W20" s="11">
        <f t="shared" si="19"/>
        <v>1.7800925925925926</v>
      </c>
      <c r="X20" s="11">
        <v>290.85857142859999</v>
      </c>
      <c r="Y20" s="11">
        <f t="shared" si="20"/>
        <v>128.98420444330293</v>
      </c>
      <c r="Z20" s="11">
        <f t="shared" si="21"/>
        <v>37.516161441233571</v>
      </c>
      <c r="AA20" s="7">
        <v>1691</v>
      </c>
      <c r="AB20" s="15">
        <f>IFERROR(AA20/1580,0)</f>
        <v>1.070253164556962</v>
      </c>
      <c r="AC20" s="11">
        <v>60.52</v>
      </c>
      <c r="AD20" s="15">
        <f>IFERROR(AC20/61.3,0)</f>
        <v>0.98727569331158249</v>
      </c>
      <c r="AE20" s="11">
        <v>20</v>
      </c>
      <c r="AF20" s="11">
        <v>26</v>
      </c>
      <c r="AG20" s="7">
        <f t="shared" si="22"/>
        <v>-2210.8600000000019</v>
      </c>
      <c r="AH20" s="7">
        <v>34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IFERROR(980/F20,0)</f>
        <v>2.0337857468974391E-2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61</v>
      </c>
      <c r="C21" s="7"/>
      <c r="D21" s="7">
        <v>7</v>
      </c>
      <c r="E21" s="7">
        <v>50845</v>
      </c>
      <c r="F21" s="7">
        <v>47838</v>
      </c>
      <c r="G21" s="7">
        <v>98</v>
      </c>
      <c r="H21" s="9">
        <f t="shared" si="12"/>
        <v>2.048580626280363E-3</v>
      </c>
      <c r="I21" s="9">
        <f>IFERROR((50845-F21)/50845,0)</f>
        <v>5.9140525125381059E-2</v>
      </c>
      <c r="J21" s="7">
        <v>301800</v>
      </c>
      <c r="K21" s="11">
        <f t="shared" si="13"/>
        <v>90.125602479797891</v>
      </c>
      <c r="L21" s="11">
        <f>K21-91.3837</f>
        <v>-1.2580975202021136</v>
      </c>
      <c r="M21" s="11">
        <v>91.05</v>
      </c>
      <c r="N21" s="11">
        <f t="shared" si="14"/>
        <v>-0.92439752020210619</v>
      </c>
      <c r="O21" s="11">
        <f>IFERROR(13128490/50845,0)</f>
        <v>258.20611662897039</v>
      </c>
      <c r="P21" s="11">
        <v>257</v>
      </c>
      <c r="Q21" s="11">
        <f t="shared" si="15"/>
        <v>1.206116628970392</v>
      </c>
      <c r="R21" s="7">
        <v>39690</v>
      </c>
      <c r="S21" s="11">
        <f t="shared" si="16"/>
        <v>118.52502194907814</v>
      </c>
      <c r="T21" s="13">
        <f t="shared" si="17"/>
        <v>7.6039304610733183</v>
      </c>
      <c r="U21" s="7">
        <v>68200</v>
      </c>
      <c r="V21" s="11">
        <f t="shared" si="18"/>
        <v>203.6635549742285</v>
      </c>
      <c r="W21" s="11">
        <f t="shared" si="19"/>
        <v>1.7183169564121945</v>
      </c>
      <c r="X21" s="11">
        <v>299.1585714286</v>
      </c>
      <c r="Y21" s="11">
        <f t="shared" si="20"/>
        <v>131.51093439363817</v>
      </c>
      <c r="Z21" s="11">
        <f t="shared" si="21"/>
        <v>39.342623260441137</v>
      </c>
      <c r="AA21" s="7">
        <v>1736</v>
      </c>
      <c r="AB21" s="15">
        <f>IFERROR(AA21/1725,0)</f>
        <v>1.0063768115942029</v>
      </c>
      <c r="AC21" s="11">
        <v>61.41</v>
      </c>
      <c r="AD21" s="15">
        <f>IFERROR(AC21/63.7,0)</f>
        <v>0.96405023547880686</v>
      </c>
      <c r="AE21" s="11">
        <v>20</v>
      </c>
      <c r="AF21" s="11">
        <v>28</v>
      </c>
      <c r="AG21" s="7">
        <f t="shared" si="22"/>
        <v>-3095.4929999999849</v>
      </c>
      <c r="AH21" s="7">
        <v>41</v>
      </c>
      <c r="AI21" s="7">
        <v>17.5609756098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IFERROR(1400/F21,0)</f>
        <v>2.9265437518290898E-2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28</v>
      </c>
      <c r="C22" s="7"/>
      <c r="D22" s="7">
        <v>7</v>
      </c>
      <c r="E22" s="7">
        <v>21024</v>
      </c>
      <c r="F22" s="7">
        <v>20497</v>
      </c>
      <c r="G22" s="7">
        <v>28</v>
      </c>
      <c r="H22" s="9">
        <f t="shared" si="12"/>
        <v>1.3660535688149486E-3</v>
      </c>
      <c r="I22" s="9">
        <f>IFERROR((21024-F22)/21024,0)</f>
        <v>2.5066590563165906E-2</v>
      </c>
      <c r="J22" s="7">
        <v>84870</v>
      </c>
      <c r="K22" s="11">
        <f t="shared" si="13"/>
        <v>59.151513461900343</v>
      </c>
      <c r="L22" s="11">
        <f>K22-64.6668</f>
        <v>-5.5152865380996516</v>
      </c>
      <c r="M22" s="11">
        <v>95.5</v>
      </c>
      <c r="N22" s="11">
        <f t="shared" si="14"/>
        <v>-36.348486538099657</v>
      </c>
      <c r="O22" s="11">
        <f>IFERROR(652620/21024,0)</f>
        <v>31.041666666666668</v>
      </c>
      <c r="P22" s="11">
        <v>58</v>
      </c>
      <c r="Q22" s="11">
        <f t="shared" si="15"/>
        <v>-26.958333333333332</v>
      </c>
      <c r="R22" s="7">
        <v>18030</v>
      </c>
      <c r="S22" s="11">
        <f t="shared" si="16"/>
        <v>125.66298900884451</v>
      </c>
      <c r="T22" s="13">
        <f t="shared" si="17"/>
        <v>4.7071547420965061</v>
      </c>
      <c r="U22" s="7">
        <v>21430</v>
      </c>
      <c r="V22" s="11">
        <f t="shared" si="18"/>
        <v>149.35983663114465</v>
      </c>
      <c r="W22" s="11">
        <f t="shared" si="19"/>
        <v>1.1885745978924016</v>
      </c>
      <c r="X22" s="11">
        <v>289.98428571429997</v>
      </c>
      <c r="Y22" s="11">
        <f t="shared" si="20"/>
        <v>212.44255920820078</v>
      </c>
      <c r="Z22" s="11">
        <f t="shared" si="21"/>
        <v>61.605003787307986</v>
      </c>
      <c r="AA22" s="7">
        <v>1710</v>
      </c>
      <c r="AB22" s="15">
        <f>IFERROR(AA22/1890,0)</f>
        <v>0.90476190476190477</v>
      </c>
      <c r="AC22" s="11">
        <v>0</v>
      </c>
      <c r="AD22" s="15">
        <f>IFERROR(AC22/60.2,0)</f>
        <v>0</v>
      </c>
      <c r="AE22" s="11">
        <v>19</v>
      </c>
      <c r="AF22" s="11">
        <v>25</v>
      </c>
      <c r="AG22" s="7">
        <f t="shared" si="22"/>
        <v>-52152.445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52</v>
      </c>
      <c r="C23" s="7"/>
      <c r="D23" s="7">
        <v>7</v>
      </c>
      <c r="E23" s="7">
        <v>21875</v>
      </c>
      <c r="F23" s="7">
        <v>20795</v>
      </c>
      <c r="G23" s="7">
        <v>35</v>
      </c>
      <c r="H23" s="9">
        <f t="shared" si="12"/>
        <v>1.683096898292859E-3</v>
      </c>
      <c r="I23" s="9">
        <f>IFERROR((21875-F23)/21875,0)</f>
        <v>4.9371428571428573E-2</v>
      </c>
      <c r="J23" s="7">
        <v>126540</v>
      </c>
      <c r="K23" s="11">
        <f t="shared" si="13"/>
        <v>86.930237351011584</v>
      </c>
      <c r="L23" s="11">
        <f>K23-90.6111</f>
        <v>-3.6808626489884091</v>
      </c>
      <c r="M23" s="11">
        <v>88</v>
      </c>
      <c r="N23" s="11">
        <f t="shared" si="14"/>
        <v>-1.0697626489884158</v>
      </c>
      <c r="O23" s="11">
        <f>IFERROR(4570530/21875,0)</f>
        <v>208.93851428571429</v>
      </c>
      <c r="P23" s="11">
        <v>210</v>
      </c>
      <c r="Q23" s="11">
        <f t="shared" si="15"/>
        <v>-1.061485714285709</v>
      </c>
      <c r="R23" s="7">
        <v>18620</v>
      </c>
      <c r="S23" s="11">
        <f t="shared" si="16"/>
        <v>127.91536427025727</v>
      </c>
      <c r="T23" s="13">
        <f t="shared" si="17"/>
        <v>6.795918367346939</v>
      </c>
      <c r="U23" s="7">
        <v>28999</v>
      </c>
      <c r="V23" s="11">
        <f t="shared" si="18"/>
        <v>199.21684470854942</v>
      </c>
      <c r="W23" s="11">
        <f t="shared" si="19"/>
        <v>1.5574113856068741</v>
      </c>
      <c r="X23" s="11">
        <v>286.68857142860003</v>
      </c>
      <c r="Y23" s="11">
        <f t="shared" si="20"/>
        <v>147.14714714714714</v>
      </c>
      <c r="Z23" s="11">
        <f t="shared" si="21"/>
        <v>42.185405405409611</v>
      </c>
      <c r="AA23" s="7">
        <v>2009</v>
      </c>
      <c r="AB23" s="15">
        <f>IFERROR(AA23/1950,0)</f>
        <v>1.0302564102564102</v>
      </c>
      <c r="AC23" s="11">
        <v>64.86</v>
      </c>
      <c r="AD23" s="15">
        <f>IFERROR(AC23/63.5,0)</f>
        <v>1.0214173228346457</v>
      </c>
      <c r="AE23" s="11">
        <v>20</v>
      </c>
      <c r="AF23" s="11">
        <v>26</v>
      </c>
      <c r="AG23" s="7">
        <f t="shared" si="22"/>
        <v>-1557.1999999999873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IFERROR(595/F23,0)</f>
        <v>2.8612647270978602E-2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111</v>
      </c>
      <c r="C24" s="7">
        <v>44</v>
      </c>
      <c r="D24" s="7">
        <v>7</v>
      </c>
      <c r="E24" s="7">
        <v>51833</v>
      </c>
      <c r="F24" s="7">
        <v>28337</v>
      </c>
      <c r="G24" s="7">
        <v>208</v>
      </c>
      <c r="H24" s="9">
        <f t="shared" si="12"/>
        <v>7.3402265589159049E-3</v>
      </c>
      <c r="I24" s="9">
        <f>IFERROR((51833-F24)/51833,0)</f>
        <v>0.4533019504948585</v>
      </c>
      <c r="J24" s="7">
        <v>121900</v>
      </c>
      <c r="K24" s="11">
        <f t="shared" si="13"/>
        <v>61.454231973341265</v>
      </c>
      <c r="L24" s="11">
        <f>K24-54.5606</f>
        <v>6.8936319733412645</v>
      </c>
      <c r="M24" s="11">
        <v>68</v>
      </c>
      <c r="N24" s="11">
        <f t="shared" si="14"/>
        <v>-6.5457680266587346</v>
      </c>
      <c r="O24" s="11">
        <f>IFERROR(22019848/51833,0)</f>
        <v>424.82295062990761</v>
      </c>
      <c r="P24" s="11">
        <v>0</v>
      </c>
      <c r="Q24" s="11">
        <f t="shared" si="15"/>
        <v>424.82295062990761</v>
      </c>
      <c r="R24" s="7">
        <v>27674</v>
      </c>
      <c r="S24" s="11">
        <f t="shared" si="16"/>
        <v>139.5147182633508</v>
      </c>
      <c r="T24" s="13">
        <f t="shared" si="17"/>
        <v>4.4048565440485659</v>
      </c>
      <c r="U24" s="7">
        <v>47937</v>
      </c>
      <c r="V24" s="11">
        <f t="shared" si="18"/>
        <v>241.6678849963954</v>
      </c>
      <c r="W24" s="11">
        <f t="shared" si="19"/>
        <v>1.732203512322035</v>
      </c>
      <c r="X24" s="11">
        <v>287.87142857139997</v>
      </c>
      <c r="Y24" s="11">
        <f t="shared" si="20"/>
        <v>227.02214930270719</v>
      </c>
      <c r="Z24" s="11">
        <f t="shared" si="21"/>
        <v>65.353190437119977</v>
      </c>
      <c r="AA24" s="7">
        <v>1800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19</v>
      </c>
      <c r="AF24" s="11">
        <v>26</v>
      </c>
      <c r="AG24" s="7">
        <f t="shared" si="22"/>
        <v>-12984.119999999999</v>
      </c>
      <c r="AH24" s="7">
        <v>35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IFERROR(1400/F24,0)</f>
        <v>4.940537106962628E-2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109</v>
      </c>
      <c r="C25" s="7">
        <v>43</v>
      </c>
      <c r="D25" s="7">
        <v>7</v>
      </c>
      <c r="E25" s="7">
        <v>21623</v>
      </c>
      <c r="F25" s="7">
        <v>17420</v>
      </c>
      <c r="G25" s="7">
        <v>60</v>
      </c>
      <c r="H25" s="9">
        <f t="shared" si="12"/>
        <v>3.4443168771526979E-3</v>
      </c>
      <c r="I25" s="9">
        <f>IFERROR((21623-F25)/21623,0)</f>
        <v>0.19437635850714516</v>
      </c>
      <c r="J25" s="7">
        <v>73980</v>
      </c>
      <c r="K25" s="11">
        <f t="shared" si="13"/>
        <v>60.669181564703955</v>
      </c>
      <c r="L25" s="11">
        <f>K25-61.932</f>
        <v>-1.2628184352960474</v>
      </c>
      <c r="M25" s="11">
        <v>67</v>
      </c>
      <c r="N25" s="11">
        <f t="shared" si="14"/>
        <v>-6.3308184352960453</v>
      </c>
      <c r="O25" s="11">
        <f>IFERROR(9434315/21623,0)</f>
        <v>436.30925403505529</v>
      </c>
      <c r="P25" s="11">
        <v>0</v>
      </c>
      <c r="Q25" s="11">
        <f t="shared" si="15"/>
        <v>436.30925403505529</v>
      </c>
      <c r="R25" s="7">
        <v>15025</v>
      </c>
      <c r="S25" s="11">
        <f t="shared" si="16"/>
        <v>123.21633590290307</v>
      </c>
      <c r="T25" s="13">
        <f t="shared" si="17"/>
        <v>4.9237936772046593</v>
      </c>
      <c r="U25" s="7">
        <v>23744</v>
      </c>
      <c r="V25" s="11">
        <f t="shared" si="18"/>
        <v>194.71871412169921</v>
      </c>
      <c r="W25" s="11">
        <f t="shared" si="19"/>
        <v>1.5802995008319469</v>
      </c>
      <c r="X25" s="11">
        <v>281.31857142860002</v>
      </c>
      <c r="Y25" s="11">
        <f t="shared" si="20"/>
        <v>203.09543119762097</v>
      </c>
      <c r="Z25" s="11">
        <f t="shared" si="21"/>
        <v>57.134516568190257</v>
      </c>
      <c r="AA25" s="7">
        <v>2136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20</v>
      </c>
      <c r="AF25" s="11">
        <v>26</v>
      </c>
      <c r="AG25" s="7">
        <f t="shared" si="22"/>
        <v>-7719.7999999999975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IFERROR(560/F25,0)</f>
        <v>3.2146957520091848E-2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68</v>
      </c>
      <c r="B26" s="5">
        <v>42</v>
      </c>
      <c r="C26" s="7"/>
      <c r="D26" s="7">
        <v>7</v>
      </c>
      <c r="E26" s="7">
        <v>21339</v>
      </c>
      <c r="F26" s="7">
        <v>20649</v>
      </c>
      <c r="G26" s="7">
        <v>33</v>
      </c>
      <c r="H26" s="9">
        <f t="shared" si="12"/>
        <v>1.5981403457794566E-3</v>
      </c>
      <c r="I26" s="9">
        <f>IFERROR((21339-F26)/21339,0)</f>
        <v>3.2335160972866581E-2</v>
      </c>
      <c r="J26" s="7">
        <v>129770</v>
      </c>
      <c r="K26" s="11">
        <f t="shared" si="13"/>
        <v>89.779511979134227</v>
      </c>
      <c r="L26" s="11">
        <f>K26-88.5242</f>
        <v>1.255311979134234</v>
      </c>
      <c r="M26" s="11">
        <v>91.5</v>
      </c>
      <c r="N26" s="11">
        <f t="shared" si="14"/>
        <v>-1.7204880208657727</v>
      </c>
      <c r="O26" s="11">
        <f>IFERROR(3003890/21339,0)</f>
        <v>140.7699517315713</v>
      </c>
      <c r="P26" s="11">
        <v>149</v>
      </c>
      <c r="Q26" s="11">
        <f t="shared" si="15"/>
        <v>-8.2300482684287033</v>
      </c>
      <c r="R26" s="7">
        <v>17700</v>
      </c>
      <c r="S26" s="11">
        <f t="shared" si="16"/>
        <v>122.45490961167265</v>
      </c>
      <c r="T26" s="13">
        <f t="shared" si="17"/>
        <v>7.3316384180790957</v>
      </c>
      <c r="U26" s="7">
        <v>35759</v>
      </c>
      <c r="V26" s="11">
        <f t="shared" si="18"/>
        <v>247.39350919795496</v>
      </c>
      <c r="W26" s="11">
        <f t="shared" si="19"/>
        <v>2.0202824858757062</v>
      </c>
      <c r="X26" s="11">
        <v>278.26571428570003</v>
      </c>
      <c r="Y26" s="11">
        <f t="shared" si="20"/>
        <v>136.39516066887572</v>
      </c>
      <c r="Z26" s="11">
        <f t="shared" si="21"/>
        <v>37.954096808637523</v>
      </c>
      <c r="AA26" s="7">
        <v>1841</v>
      </c>
      <c r="AB26" s="15">
        <f>IFERROR(AA26/1940,0)</f>
        <v>0.94896907216494841</v>
      </c>
      <c r="AC26" s="11">
        <v>64</v>
      </c>
      <c r="AD26" s="15">
        <f>IFERROR(AC26/62.6,0)</f>
        <v>1.0223642172523961</v>
      </c>
      <c r="AE26" s="11">
        <v>20</v>
      </c>
      <c r="AF26" s="11">
        <v>26</v>
      </c>
      <c r="AG26" s="7">
        <f t="shared" si="22"/>
        <v>-2486.8450000000134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IFERROR(490/F26,0)</f>
        <v>2.3729962710058599E-2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69</v>
      </c>
      <c r="B27" s="5">
        <v>29</v>
      </c>
      <c r="C27" s="7"/>
      <c r="D27" s="7">
        <v>7</v>
      </c>
      <c r="E27" s="7">
        <v>64976</v>
      </c>
      <c r="F27" s="7">
        <v>63734</v>
      </c>
      <c r="G27" s="7">
        <v>132</v>
      </c>
      <c r="H27" s="9">
        <f t="shared" si="12"/>
        <v>2.0711080428028996E-3</v>
      </c>
      <c r="I27" s="9">
        <f>IFERROR((64976-F27)/64976,0)</f>
        <v>1.9114750061561193E-2</v>
      </c>
      <c r="J27" s="7">
        <v>416220</v>
      </c>
      <c r="K27" s="11">
        <f t="shared" si="13"/>
        <v>93.294003200803346</v>
      </c>
      <c r="L27" s="11">
        <f>K27-93.7096</f>
        <v>-0.41559679919664916</v>
      </c>
      <c r="M27" s="11">
        <v>96</v>
      </c>
      <c r="N27" s="11">
        <f t="shared" si="14"/>
        <v>-2.7059967991966545</v>
      </c>
      <c r="O27" s="11">
        <f>IFERROR(3992140/64976,0)</f>
        <v>61.44022408273824</v>
      </c>
      <c r="P27" s="11">
        <v>60</v>
      </c>
      <c r="Q27" s="11">
        <f t="shared" si="15"/>
        <v>1.44022408273824</v>
      </c>
      <c r="R27" s="7">
        <v>51050</v>
      </c>
      <c r="S27" s="11">
        <f t="shared" si="16"/>
        <v>114.42647790593942</v>
      </c>
      <c r="T27" s="13">
        <f t="shared" si="17"/>
        <v>8.1531831537708133</v>
      </c>
      <c r="U27" s="7">
        <v>99310</v>
      </c>
      <c r="V27" s="11">
        <f t="shared" si="18"/>
        <v>222.59928542289606</v>
      </c>
      <c r="W27" s="11">
        <f t="shared" si="19"/>
        <v>1.9453476983349658</v>
      </c>
      <c r="X27" s="11">
        <v>287.53571428570001</v>
      </c>
      <c r="Y27" s="11">
        <f t="shared" si="20"/>
        <v>122.65148238912114</v>
      </c>
      <c r="Z27" s="11">
        <f t="shared" si="21"/>
        <v>35.266681596955905</v>
      </c>
      <c r="AA27" s="7">
        <v>1603</v>
      </c>
      <c r="AB27" s="15">
        <f>IFERROR(AA27/1530,0)</f>
        <v>1.0477124183006536</v>
      </c>
      <c r="AC27" s="11">
        <v>0</v>
      </c>
      <c r="AD27" s="15">
        <f>IFERROR(AC27/57,0)</f>
        <v>0</v>
      </c>
      <c r="AE27" s="11">
        <v>21</v>
      </c>
      <c r="AF27" s="11">
        <v>26</v>
      </c>
      <c r="AG27" s="7">
        <f t="shared" si="22"/>
        <v>-12072.479999999969</v>
      </c>
      <c r="AH27" s="7">
        <v>20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100</v>
      </c>
      <c r="C28" s="7">
        <v>28</v>
      </c>
      <c r="D28" s="7">
        <v>7</v>
      </c>
      <c r="E28" s="7">
        <v>47224</v>
      </c>
      <c r="F28" s="7">
        <v>36025</v>
      </c>
      <c r="G28" s="7">
        <v>153</v>
      </c>
      <c r="H28" s="9">
        <f t="shared" si="12"/>
        <v>4.2470506592643996E-3</v>
      </c>
      <c r="I28" s="9">
        <f>IFERROR((47224-F28)/47224,0)</f>
        <v>0.23714636625444688</v>
      </c>
      <c r="J28" s="7">
        <v>154970</v>
      </c>
      <c r="K28" s="11">
        <f t="shared" si="13"/>
        <v>61.453355804500845</v>
      </c>
      <c r="L28" s="11">
        <f>K28-64.0721</f>
        <v>-2.6187441954991613</v>
      </c>
      <c r="M28" s="11">
        <v>73</v>
      </c>
      <c r="N28" s="11">
        <f t="shared" si="14"/>
        <v>-11.546644195499155</v>
      </c>
      <c r="O28" s="11">
        <f>IFERROR(17766200/47224,0)</f>
        <v>376.21124851770287</v>
      </c>
      <c r="P28" s="11">
        <v>0</v>
      </c>
      <c r="Q28" s="11">
        <f t="shared" si="15"/>
        <v>376.21124851770287</v>
      </c>
      <c r="R28" s="7">
        <v>25860</v>
      </c>
      <c r="S28" s="11">
        <f t="shared" si="16"/>
        <v>102.54783384554376</v>
      </c>
      <c r="T28" s="13">
        <f t="shared" si="17"/>
        <v>5.9926527455529772</v>
      </c>
      <c r="U28" s="7">
        <v>52000</v>
      </c>
      <c r="V28" s="11">
        <f t="shared" si="18"/>
        <v>206.20600773272528</v>
      </c>
      <c r="W28" s="11">
        <f t="shared" si="19"/>
        <v>2.0108275328692962</v>
      </c>
      <c r="X28" s="11">
        <v>284.47714285709998</v>
      </c>
      <c r="Y28" s="11">
        <f t="shared" si="20"/>
        <v>166.87100729173386</v>
      </c>
      <c r="Z28" s="11">
        <f t="shared" si="21"/>
        <v>47.470987380038743</v>
      </c>
      <c r="AA28" s="7">
        <v>1579</v>
      </c>
      <c r="AB28" s="15">
        <f>IFERROR(AA28/1580,0)</f>
        <v>0.99936708860759493</v>
      </c>
      <c r="AC28" s="11">
        <v>0</v>
      </c>
      <c r="AD28" s="15">
        <f>IFERROR(AC28/63.8,0)</f>
        <v>0</v>
      </c>
      <c r="AE28" s="11">
        <v>13</v>
      </c>
      <c r="AF28" s="11">
        <v>26</v>
      </c>
      <c r="AG28" s="7">
        <f t="shared" si="22"/>
        <v>-29117.749999999993</v>
      </c>
      <c r="AH28" s="7">
        <v>54</v>
      </c>
      <c r="AI28" s="7">
        <v>20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IFERROR(720/F28,0)</f>
        <v>1.9986120749479527E-2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20</v>
      </c>
      <c r="C29" s="7"/>
      <c r="D29" s="7">
        <v>7</v>
      </c>
      <c r="E29" s="7">
        <v>24546</v>
      </c>
      <c r="F29" s="7">
        <v>24500</v>
      </c>
      <c r="G29" s="7">
        <v>27</v>
      </c>
      <c r="H29" s="9">
        <f t="shared" si="12"/>
        <v>1.1020408163265306E-3</v>
      </c>
      <c r="I29" s="9">
        <f>IFERROR((24546-F29)/24546,0)</f>
        <v>1.8740324289089872E-3</v>
      </c>
      <c r="J29" s="7">
        <v>72780</v>
      </c>
      <c r="K29" s="11">
        <f t="shared" si="13"/>
        <v>42.437317784256557</v>
      </c>
      <c r="L29" s="11">
        <f>K29-13.4196</f>
        <v>29.017717784256554</v>
      </c>
      <c r="M29" s="11">
        <v>42.5</v>
      </c>
      <c r="N29" s="11">
        <f t="shared" si="14"/>
        <v>-6.2682215743443237E-2</v>
      </c>
      <c r="O29" s="11">
        <f>IFERROR(95820/24546,0)</f>
        <v>3.9036910290882423</v>
      </c>
      <c r="P29" s="11">
        <v>4</v>
      </c>
      <c r="Q29" s="11">
        <f t="shared" si="15"/>
        <v>-9.6308970911757719E-2</v>
      </c>
      <c r="R29" s="7">
        <v>13870</v>
      </c>
      <c r="S29" s="11">
        <f t="shared" si="16"/>
        <v>80.874635568513114</v>
      </c>
      <c r="T29" s="13">
        <f t="shared" si="17"/>
        <v>5.2472963229992793</v>
      </c>
      <c r="U29" s="7">
        <v>25000</v>
      </c>
      <c r="V29" s="11">
        <f t="shared" si="18"/>
        <v>145.77259475218659</v>
      </c>
      <c r="W29" s="11">
        <f t="shared" si="19"/>
        <v>1.8024513338139871</v>
      </c>
      <c r="X29" s="11">
        <v>300.77999999999997</v>
      </c>
      <c r="Y29" s="11">
        <f t="shared" si="20"/>
        <v>190.57433360813408</v>
      </c>
      <c r="Z29" s="11">
        <f t="shared" si="21"/>
        <v>57.320948062654566</v>
      </c>
      <c r="AA29" s="7">
        <v>1384</v>
      </c>
      <c r="AB29" s="15">
        <f>IFERROR(AA29/1375,0)</f>
        <v>1.0065454545454546</v>
      </c>
      <c r="AC29" s="11">
        <v>0</v>
      </c>
      <c r="AD29" s="15">
        <f>IFERROR(AC29/45.9,0)</f>
        <v>0</v>
      </c>
      <c r="AE29" s="11">
        <v>14</v>
      </c>
      <c r="AF29" s="11">
        <v>26</v>
      </c>
      <c r="AG29" s="7">
        <f t="shared" si="22"/>
        <v>-107.50000000000513</v>
      </c>
      <c r="AH29" s="7">
        <v>15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IFERROR(0/F29,0)</f>
        <v>0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20</v>
      </c>
      <c r="C30" s="7"/>
      <c r="D30" s="7">
        <v>7</v>
      </c>
      <c r="E30" s="7">
        <v>12056</v>
      </c>
      <c r="F30" s="7">
        <v>12008</v>
      </c>
      <c r="G30" s="7">
        <v>21</v>
      </c>
      <c r="H30" s="9">
        <f t="shared" si="12"/>
        <v>1.7488341105929381E-3</v>
      </c>
      <c r="I30" s="9">
        <f>IFERROR((12056-F30)/12056,0)</f>
        <v>3.9814200398142008E-3</v>
      </c>
      <c r="J30" s="7">
        <v>58980</v>
      </c>
      <c r="K30" s="11">
        <f t="shared" si="13"/>
        <v>70.167507376035033</v>
      </c>
      <c r="L30" s="11">
        <f>K30-57.6939</f>
        <v>12.473607376035034</v>
      </c>
      <c r="M30" s="11">
        <v>58.5</v>
      </c>
      <c r="N30" s="11">
        <f t="shared" si="14"/>
        <v>11.667507376035033</v>
      </c>
      <c r="O30" s="11">
        <f>IFERROR(107560/12056,0)</f>
        <v>8.9216987392169873</v>
      </c>
      <c r="P30" s="11">
        <v>7</v>
      </c>
      <c r="Q30" s="11">
        <f t="shared" si="15"/>
        <v>1.9216987392169873</v>
      </c>
      <c r="R30" s="7">
        <v>9340</v>
      </c>
      <c r="S30" s="11">
        <f t="shared" si="16"/>
        <v>111.11639859141525</v>
      </c>
      <c r="T30" s="13">
        <f t="shared" si="17"/>
        <v>6.3147751605995719</v>
      </c>
      <c r="U30" s="7">
        <v>12000</v>
      </c>
      <c r="V30" s="11">
        <f t="shared" si="18"/>
        <v>142.7619682116684</v>
      </c>
      <c r="W30" s="11">
        <f t="shared" si="19"/>
        <v>1.2847965738758029</v>
      </c>
      <c r="X30" s="11">
        <v>284.1371428571</v>
      </c>
      <c r="Y30" s="11">
        <f t="shared" si="20"/>
        <v>158.35876568328246</v>
      </c>
      <c r="Z30" s="11">
        <f t="shared" si="21"/>
        <v>44.995607227624852</v>
      </c>
      <c r="AA30" s="7">
        <v>1738</v>
      </c>
      <c r="AB30" s="15">
        <f>IFERROR(AA30/1680,0)</f>
        <v>1.0345238095238096</v>
      </c>
      <c r="AC30" s="11">
        <v>0</v>
      </c>
      <c r="AD30" s="15">
        <f>IFERROR(AC30/51.2,0)</f>
        <v>0</v>
      </c>
      <c r="AE30" s="11">
        <v>14</v>
      </c>
      <c r="AF30" s="11">
        <v>26</v>
      </c>
      <c r="AG30" s="7">
        <f t="shared" si="22"/>
        <v>9807.2400000000071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IFERROR(0/F30,0)</f>
        <v>0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628556</v>
      </c>
      <c r="F31" s="17">
        <f>SUM(F14:F30)</f>
        <v>553717</v>
      </c>
      <c r="G31" s="17">
        <f>SUM(G14:G30)</f>
        <v>1817</v>
      </c>
      <c r="H31" s="18">
        <f t="shared" si="12"/>
        <v>3.2814596626074329E-3</v>
      </c>
      <c r="I31" s="18"/>
      <c r="J31" s="17">
        <f>SUM(J14:J30)</f>
        <v>2996690</v>
      </c>
      <c r="K31" s="19">
        <f t="shared" si="13"/>
        <v>77.313604499874742</v>
      </c>
      <c r="L31" s="19"/>
      <c r="M31" s="19">
        <f>IFERROR(SUMPRODUCT($F14:$F30,M14:M30)/$F31, 0)</f>
        <v>80.088903176171229</v>
      </c>
      <c r="N31" s="19">
        <f t="shared" si="14"/>
        <v>-2.7752986762964866</v>
      </c>
      <c r="O31" s="19">
        <f>IFERROR(SUMPRODUCT($E14:$E30,O14:O30)/$E31, 0)</f>
        <v>217.29562043795622</v>
      </c>
      <c r="P31" s="19">
        <f>IFERROR(SUMPRODUCT($E14:$E30,P14:P30)/$E31, 0)</f>
        <v>134.61737856292837</v>
      </c>
      <c r="Q31" s="19">
        <f>IFERROR(SUMPRODUCT($E14:$E30,Q14:Q30)/$E31, 0)</f>
        <v>82.678241875027837</v>
      </c>
      <c r="R31" s="17">
        <f>SUM(R14:R30)</f>
        <v>444434</v>
      </c>
      <c r="S31" s="19">
        <f>IFERROR(R31/D31/$F31*1000,0)</f>
        <v>114.66249262452017</v>
      </c>
      <c r="T31" s="20">
        <f t="shared" si="17"/>
        <v>6.7427109537074124</v>
      </c>
      <c r="U31" s="17">
        <f>SUM(U14:U30)</f>
        <v>778471</v>
      </c>
      <c r="V31" s="19">
        <f>IFERROR(U31/D31/$F31*1000,0)</f>
        <v>200.84292672455939</v>
      </c>
      <c r="W31" s="19">
        <f t="shared" si="19"/>
        <v>1.7516009126214465</v>
      </c>
      <c r="X31" s="19">
        <f>IFERROR(SUMPRODUCT(R14:R30,X14:X30)/R31,0)</f>
        <v>293.30139629281547</v>
      </c>
      <c r="Y31" s="19">
        <f>IFERROR(($F31*S31)/($F31*K31)*100,0)</f>
        <v>148.30830015784082</v>
      </c>
      <c r="Z31" s="19">
        <f t="shared" si="21"/>
        <v>43.499031518108701</v>
      </c>
      <c r="AA31" s="17"/>
      <c r="AB31" s="21">
        <f>IFERROR(SUMPRODUCT($F14:$F30,AB14:AB30)/$F31,0)</f>
        <v>0.93692316801468856</v>
      </c>
      <c r="AC31" s="19"/>
      <c r="AD31" s="21">
        <f>AVERAGE(AD14:AD30)</f>
        <v>0.2922468612265855</v>
      </c>
      <c r="AE31" s="19"/>
      <c r="AF31" s="19"/>
      <c r="AG31" s="17">
        <f>SUM(AG14:AG30)</f>
        <v>-107571.10399999995</v>
      </c>
      <c r="AH31" s="17">
        <f>SUM(AH14:AH30)</f>
        <v>296</v>
      </c>
      <c r="AI31" s="17">
        <f>IFERROR(SUMPRODUCT(AH14:AH30,AI14:AI30)/AH31, 0)</f>
        <v>18.851351351353379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674761</v>
      </c>
      <c r="F33" s="23">
        <f>F12+F31</f>
        <v>591367</v>
      </c>
      <c r="G33" s="23">
        <f>G12+G31</f>
        <v>1922</v>
      </c>
      <c r="H33" s="24">
        <f>IFERROR(G33/F33,0)</f>
        <v>3.2500968095953951E-3</v>
      </c>
      <c r="I33" s="23"/>
      <c r="J33" s="23">
        <f>J12+J31</f>
        <v>3199880</v>
      </c>
      <c r="K33" s="25">
        <f>IFERROR(J33/D33/F33*100,0)</f>
        <v>77.299834837878052</v>
      </c>
      <c r="L33" s="23"/>
      <c r="M33" s="25">
        <f>IFERROR($F$12/$F33*M$12,0)+IFERROR($F$31/$F33*M$31,0)</f>
        <v>80.13275715418682</v>
      </c>
      <c r="N33" s="25">
        <f>K33-M33</f>
        <v>-2.8329223163087676</v>
      </c>
      <c r="O33" s="23">
        <f>IFERROR($E$12/$E33*O$12,0)+IFERROR($E$31/$E33*O$31,0)</f>
        <v>223.62967332136861</v>
      </c>
      <c r="P33" s="23">
        <f>IFERROR($E$12/$E33*P$12,0)+IFERROR($E$31/$E33*P$31,0)</f>
        <v>128.35746434663534</v>
      </c>
      <c r="Q33" s="23">
        <f>IFERROR($E$12/$E33*Q$12,0)+IFERROR($E$31/$E33*Q$31,0)</f>
        <v>95.272208974733275</v>
      </c>
      <c r="R33" s="23">
        <f>R12+R31</f>
        <v>480412</v>
      </c>
      <c r="S33" s="25">
        <f>IFERROR(R33/D33/$F33*1000,0)</f>
        <v>116.05362780521352</v>
      </c>
      <c r="T33" s="26">
        <f>IFERROR(J33/R33,0)</f>
        <v>6.6606995662056736</v>
      </c>
      <c r="U33" s="23">
        <f>U12+U31</f>
        <v>793591</v>
      </c>
      <c r="V33" s="25">
        <f>IFERROR(U33/D33/$F33*1000,0)</f>
        <v>191.70860541278572</v>
      </c>
      <c r="W33" s="25">
        <f>IFERROR(V33/S33,0)</f>
        <v>1.651896705327927</v>
      </c>
      <c r="X33" s="25">
        <f>IFERROR($F$12/$F33*X$12,0)+IFERROR($F$31/$F33*X$31,0)</f>
        <v>298.02973932721443</v>
      </c>
      <c r="Y33" s="25">
        <f>IFERROR(($F33*S33)/($F33*K33)*100,0)</f>
        <v>150.13438003925143</v>
      </c>
      <c r="Z33" s="25">
        <f>IFERROR(Y33*X33/1000,0)</f>
        <v>44.744510147151047</v>
      </c>
      <c r="AA33" s="23"/>
      <c r="AB33" s="27"/>
      <c r="AC33" s="23"/>
      <c r="AD33" s="27"/>
      <c r="AE33" s="23"/>
      <c r="AF33" s="23"/>
      <c r="AG33" s="23">
        <f>AG12+AG31</f>
        <v>-117270.77399999995</v>
      </c>
      <c r="AH33" s="23">
        <f>AH12+AH31</f>
        <v>296</v>
      </c>
      <c r="AI33" s="23">
        <f>IFERROR(AH$12/AH33*AI$12,0)+IFERROR(AH$31/AH33*AI$31,0)</f>
        <v>18.851351351353379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69</v>
      </c>
      <c r="T36" s="32" t="s">
        <v>61</v>
      </c>
      <c r="U36" s="32" t="s">
        <v>70</v>
      </c>
      <c r="V36" s="32" t="s">
        <v>71</v>
      </c>
      <c r="W36" s="32" t="s">
        <v>72</v>
      </c>
      <c r="X36" s="32" t="s">
        <v>62</v>
      </c>
      <c r="Y36" s="32" t="s">
        <v>66</v>
      </c>
      <c r="Z36" s="32" t="s">
        <v>67</v>
      </c>
      <c r="AA36" s="32" t="s">
        <v>81</v>
      </c>
      <c r="AB36" s="32" t="s">
        <v>63</v>
      </c>
      <c r="AC36" s="32" t="s">
        <v>68</v>
      </c>
      <c r="AD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/>
      <c r="T37" s="8">
        <v>2.5000000000000001E-3</v>
      </c>
      <c r="U37" s="8">
        <v>5.3E-3</v>
      </c>
      <c r="V37" s="8">
        <v>6.3E-3</v>
      </c>
      <c r="W37" s="8">
        <v>2.7000000000000001E-3</v>
      </c>
      <c r="X37" s="8">
        <v>1.5E-3</v>
      </c>
      <c r="Y37" s="8">
        <v>1.4E-3</v>
      </c>
      <c r="Z37" s="8">
        <v>2.8E-3</v>
      </c>
      <c r="AA37" s="8">
        <v>1.6999999999999999E-3</v>
      </c>
      <c r="AB37" s="8"/>
      <c r="AC37" s="8"/>
      <c r="AD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/>
      <c r="T38" s="9">
        <v>2.5000000000000001E-3</v>
      </c>
      <c r="U38" s="9">
        <v>5.7999999999999996E-3</v>
      </c>
      <c r="V38" s="9">
        <v>3.5999999999999999E-3</v>
      </c>
      <c r="W38" s="9">
        <v>2.3E-3</v>
      </c>
      <c r="X38" s="9">
        <v>1.5E-3</v>
      </c>
      <c r="Y38" s="9">
        <v>1E-3</v>
      </c>
      <c r="Z38" s="9">
        <v>3.0000000000000001E-3</v>
      </c>
      <c r="AA38" s="9">
        <v>1.8E-3</v>
      </c>
      <c r="AB38" s="9"/>
      <c r="AC38" s="9"/>
      <c r="AD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/>
      <c r="T39" s="9">
        <v>2.5000000000000001E-3</v>
      </c>
      <c r="U39" s="9">
        <v>5.4999999999999997E-3</v>
      </c>
      <c r="V39" s="9">
        <v>3.5000000000000001E-3</v>
      </c>
      <c r="W39" s="9">
        <v>2.5000000000000001E-3</v>
      </c>
      <c r="X39" s="9">
        <v>1.6999999999999999E-3</v>
      </c>
      <c r="Y39" s="9">
        <v>6.9999999999999999E-4</v>
      </c>
      <c r="Z39" s="9">
        <v>2.8E-3</v>
      </c>
      <c r="AA39" s="9">
        <v>1.4E-3</v>
      </c>
      <c r="AB39" s="9"/>
      <c r="AC39" s="9"/>
      <c r="AD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/>
      <c r="T40" s="9">
        <v>2.5999999999999999E-3</v>
      </c>
      <c r="U40" s="9">
        <v>3.2000000000000002E-3</v>
      </c>
      <c r="V40" s="9">
        <v>3.7000000000000002E-3</v>
      </c>
      <c r="W40" s="9">
        <v>2.5000000000000001E-3</v>
      </c>
      <c r="X40" s="9">
        <v>1.6000000000000001E-3</v>
      </c>
      <c r="Y40" s="9">
        <v>8.9999999999999998E-4</v>
      </c>
      <c r="Z40" s="9">
        <v>3.5000000000000001E-3</v>
      </c>
      <c r="AA40" s="9">
        <v>1.6000000000000001E-3</v>
      </c>
      <c r="AB40" s="9"/>
      <c r="AC40" s="9"/>
      <c r="AD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/>
      <c r="T41" s="9">
        <v>2.3E-3</v>
      </c>
      <c r="U41" s="9">
        <v>2.2000000000000001E-3</v>
      </c>
      <c r="V41" s="9">
        <v>4.4000000000000003E-3</v>
      </c>
      <c r="W41" s="9">
        <v>2.3E-3</v>
      </c>
      <c r="X41" s="9">
        <v>1.6000000000000001E-3</v>
      </c>
      <c r="Y41" s="9">
        <v>8.9999999999999998E-4</v>
      </c>
      <c r="Z41" s="9">
        <v>3.0999999999999999E-3</v>
      </c>
      <c r="AA41" s="9">
        <v>1.5E-3</v>
      </c>
      <c r="AB41" s="9"/>
      <c r="AC41" s="9"/>
      <c r="AD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/>
      <c r="T42" s="9">
        <v>1.6999999999999999E-3</v>
      </c>
      <c r="U42" s="9">
        <v>3.0000000000000001E-3</v>
      </c>
      <c r="V42" s="9">
        <v>3.5999999999999999E-3</v>
      </c>
      <c r="W42" s="9">
        <v>1.8E-3</v>
      </c>
      <c r="X42" s="9">
        <v>8.9999999999999998E-4</v>
      </c>
      <c r="Y42" s="9">
        <v>5.9999999999999995E-4</v>
      </c>
      <c r="Z42" s="9">
        <v>1.6999999999999999E-3</v>
      </c>
      <c r="AA42" s="9">
        <v>1E-3</v>
      </c>
      <c r="AB42" s="9">
        <v>0</v>
      </c>
      <c r="AC42" s="9">
        <v>0</v>
      </c>
      <c r="AD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/>
      <c r="T43" s="9">
        <v>1.9E-3</v>
      </c>
      <c r="U43" s="9">
        <v>4.3E-3</v>
      </c>
      <c r="V43" s="9">
        <v>4.1999999999999997E-3</v>
      </c>
      <c r="W43" s="9">
        <v>4.4000000000000003E-3</v>
      </c>
      <c r="X43" s="9">
        <v>1.1000000000000001E-3</v>
      </c>
      <c r="Y43" s="9">
        <v>5.0000000000000001E-4</v>
      </c>
      <c r="Z43" s="9">
        <v>2.0999999999999999E-3</v>
      </c>
      <c r="AA43" s="9">
        <v>1.1999999999999999E-3</v>
      </c>
      <c r="AB43" s="9">
        <v>8.9999999999999998E-4</v>
      </c>
      <c r="AC43" s="9">
        <v>8.0000000000000004E-4</v>
      </c>
      <c r="AD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/>
      <c r="T44" s="9">
        <v>1.9E-3</v>
      </c>
      <c r="U44" s="9">
        <v>3.0999999999999999E-3</v>
      </c>
      <c r="V44" s="9">
        <v>3.2000000000000002E-3</v>
      </c>
      <c r="W44" s="9">
        <v>2.3E-3</v>
      </c>
      <c r="X44" s="9">
        <v>1.1000000000000001E-3</v>
      </c>
      <c r="Y44" s="9">
        <v>5.0000000000000001E-4</v>
      </c>
      <c r="Z44" s="9">
        <v>2.8E-3</v>
      </c>
      <c r="AA44" s="9">
        <v>1.2999999999999999E-3</v>
      </c>
      <c r="AB44" s="9">
        <v>1.1999999999999999E-3</v>
      </c>
      <c r="AC44" s="9">
        <v>6.9999999999999999E-4</v>
      </c>
      <c r="AD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/>
      <c r="T45" s="9">
        <v>2.5000000000000001E-3</v>
      </c>
      <c r="U45" s="9">
        <v>3.0999999999999999E-3</v>
      </c>
      <c r="V45" s="9">
        <v>4.5999999999999999E-3</v>
      </c>
      <c r="W45" s="9">
        <v>2.8E-3</v>
      </c>
      <c r="X45" s="9">
        <v>1.6999999999999999E-3</v>
      </c>
      <c r="Y45" s="9">
        <v>1E-3</v>
      </c>
      <c r="Z45" s="9">
        <v>3.5999999999999999E-3</v>
      </c>
      <c r="AA45" s="9">
        <v>1.6000000000000001E-3</v>
      </c>
      <c r="AB45" s="9">
        <v>2.3E-3</v>
      </c>
      <c r="AC45" s="9">
        <v>1.1999999999999999E-3</v>
      </c>
      <c r="AD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/>
      <c r="T46" s="9">
        <v>2.5000000000000001E-3</v>
      </c>
      <c r="U46" s="9">
        <v>2.5999999999999999E-3</v>
      </c>
      <c r="V46" s="9">
        <v>3.3999999999999998E-3</v>
      </c>
      <c r="W46" s="9">
        <v>2.5000000000000001E-3</v>
      </c>
      <c r="X46" s="9">
        <v>2E-3</v>
      </c>
      <c r="Y46" s="9">
        <v>1E-3</v>
      </c>
      <c r="Z46" s="9">
        <v>3.5000000000000001E-3</v>
      </c>
      <c r="AA46" s="9">
        <v>1.6999999999999999E-3</v>
      </c>
      <c r="AB46" s="9">
        <v>1.6999999999999999E-3</v>
      </c>
      <c r="AC46" s="9">
        <v>1.6000000000000001E-3</v>
      </c>
      <c r="AD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/>
      <c r="T47" s="9">
        <v>3.0000000000000001E-3</v>
      </c>
      <c r="U47" s="9">
        <v>2.3E-3</v>
      </c>
      <c r="V47" s="9">
        <v>3.0999999999999999E-3</v>
      </c>
      <c r="W47" s="9">
        <v>2.8E-3</v>
      </c>
      <c r="X47" s="9">
        <v>1.9E-3</v>
      </c>
      <c r="Y47" s="9">
        <v>8.9999999999999998E-4</v>
      </c>
      <c r="Z47" s="9">
        <v>3.5000000000000001E-3</v>
      </c>
      <c r="AA47" s="9">
        <v>1.5E-3</v>
      </c>
      <c r="AB47" s="9">
        <v>1.1000000000000001E-3</v>
      </c>
      <c r="AC47" s="9">
        <v>1.1999999999999999E-3</v>
      </c>
      <c r="AD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/>
      <c r="T48" s="9">
        <v>3.3999999999999998E-3</v>
      </c>
      <c r="U48" s="9">
        <v>2.5000000000000001E-3</v>
      </c>
      <c r="V48" s="9">
        <v>3.0999999999999999E-3</v>
      </c>
      <c r="W48" s="9">
        <v>3.2000000000000002E-3</v>
      </c>
      <c r="X48" s="9">
        <v>1.5E-3</v>
      </c>
      <c r="Y48" s="9">
        <v>8.0000000000000004E-4</v>
      </c>
      <c r="Z48" s="9">
        <v>3.8999999999999998E-3</v>
      </c>
      <c r="AA48" s="9">
        <v>3.5999999999999999E-3</v>
      </c>
      <c r="AB48" s="9">
        <v>1.1000000000000001E-3</v>
      </c>
      <c r="AC48" s="9">
        <v>1E-3</v>
      </c>
      <c r="AD48" s="9">
        <v>8.9999999999999998E-4</v>
      </c>
    </row>
    <row r="49" spans="2:30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>
        <v>5.3E-3</v>
      </c>
      <c r="P49" s="9">
        <v>2.5000000000000001E-3</v>
      </c>
      <c r="Q49" s="9">
        <v>3.8E-3</v>
      </c>
      <c r="R49" s="9">
        <v>3.0000000000000001E-3</v>
      </c>
      <c r="S49" s="9"/>
      <c r="T49" s="9">
        <v>3.5999999999999999E-3</v>
      </c>
      <c r="U49" s="9">
        <v>2.5000000000000001E-3</v>
      </c>
      <c r="V49" s="9">
        <v>3.5000000000000001E-3</v>
      </c>
      <c r="W49" s="9">
        <v>3.0999999999999999E-3</v>
      </c>
      <c r="X49" s="9">
        <v>2E-3</v>
      </c>
      <c r="Y49" s="9">
        <v>1.1000000000000001E-3</v>
      </c>
      <c r="Z49" s="9">
        <v>3.7000000000000002E-3</v>
      </c>
      <c r="AA49" s="9">
        <v>1.8E-3</v>
      </c>
      <c r="AB49" s="9">
        <v>1.6999999999999999E-3</v>
      </c>
      <c r="AC49" s="9">
        <v>8.9999999999999998E-4</v>
      </c>
      <c r="AD49" s="9">
        <v>1E-3</v>
      </c>
    </row>
    <row r="50" spans="2:30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>
        <v>3.8999999999999998E-3</v>
      </c>
      <c r="P50" s="9">
        <v>2.5000000000000001E-3</v>
      </c>
      <c r="Q50" s="9">
        <v>-1</v>
      </c>
      <c r="R50" s="9">
        <v>2.8E-3</v>
      </c>
      <c r="S50" s="9"/>
      <c r="T50" s="9">
        <v>3.5999999999999999E-3</v>
      </c>
      <c r="U50" s="9">
        <v>2.0999999999999999E-3</v>
      </c>
      <c r="V50" s="9">
        <v>3.2000000000000002E-3</v>
      </c>
      <c r="W50" s="9">
        <v>3.2000000000000002E-3</v>
      </c>
      <c r="X50" s="9">
        <v>2.3999999999999998E-3</v>
      </c>
      <c r="Y50" s="9">
        <v>1.1999999999999999E-3</v>
      </c>
      <c r="Z50" s="9">
        <v>4.7999999999999996E-3</v>
      </c>
      <c r="AA50" s="9">
        <v>1.6999999999999999E-3</v>
      </c>
      <c r="AB50" s="9">
        <v>1.6999999999999999E-3</v>
      </c>
      <c r="AC50" s="9">
        <v>1.1000000000000001E-3</v>
      </c>
      <c r="AD50" s="9">
        <v>1.1000000000000001E-3</v>
      </c>
    </row>
    <row r="51" spans="2:30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>
        <v>5.3E-3</v>
      </c>
      <c r="P51" s="9">
        <v>2.5000000000000001E-3</v>
      </c>
      <c r="Q51" s="9"/>
      <c r="R51" s="9">
        <v>2.5000000000000001E-3</v>
      </c>
      <c r="S51" s="9"/>
      <c r="T51" s="9">
        <v>3.7000000000000002E-3</v>
      </c>
      <c r="U51" s="9">
        <v>2.5999999999999999E-3</v>
      </c>
      <c r="V51" s="9">
        <v>2.8999999999999998E-3</v>
      </c>
      <c r="W51" s="9">
        <v>3.5999999999999999E-3</v>
      </c>
      <c r="X51" s="9">
        <v>2.5999999999999999E-3</v>
      </c>
      <c r="Y51" s="9">
        <v>8.0000000000000004E-4</v>
      </c>
      <c r="Z51" s="9">
        <v>3.7000000000000002E-3</v>
      </c>
      <c r="AA51" s="9">
        <v>1.9E-3</v>
      </c>
      <c r="AB51" s="9">
        <v>1.4E-3</v>
      </c>
      <c r="AC51" s="9">
        <v>8.9999999999999998E-4</v>
      </c>
      <c r="AD51" s="9">
        <v>1.4E-3</v>
      </c>
    </row>
    <row r="52" spans="2:30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>
        <v>5.0000000000000001E-3</v>
      </c>
      <c r="P52" s="9">
        <v>2.5000000000000001E-3</v>
      </c>
      <c r="Q52" s="9"/>
      <c r="R52" s="9">
        <v>2.8E-3</v>
      </c>
      <c r="S52" s="9"/>
      <c r="T52" s="9">
        <v>4.0000000000000001E-3</v>
      </c>
      <c r="U52" s="9">
        <v>2.3E-3</v>
      </c>
      <c r="V52" s="9">
        <v>3.0999999999999999E-3</v>
      </c>
      <c r="W52" s="9">
        <v>3.5999999999999999E-3</v>
      </c>
      <c r="X52" s="9">
        <v>3.3999999999999998E-3</v>
      </c>
      <c r="Y52" s="9">
        <v>1.1999999999999999E-3</v>
      </c>
      <c r="Z52" s="9">
        <v>4.3E-3</v>
      </c>
      <c r="AA52" s="9">
        <v>2.2000000000000001E-3</v>
      </c>
      <c r="AB52" s="9">
        <v>1.6000000000000001E-3</v>
      </c>
      <c r="AC52" s="9">
        <v>1.2999999999999999E-3</v>
      </c>
      <c r="AD52" s="9">
        <v>1.2999999999999999E-3</v>
      </c>
    </row>
    <row r="53" spans="2:30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>
        <v>8.2000000000000007E-3</v>
      </c>
      <c r="P53" s="9">
        <v>3.0999999999999999E-3</v>
      </c>
      <c r="Q53" s="9"/>
      <c r="R53" s="9">
        <v>2.8E-3</v>
      </c>
      <c r="S53" s="9"/>
      <c r="T53" s="9">
        <v>3.8999999999999998E-3</v>
      </c>
      <c r="U53" s="9">
        <v>2.8999999999999998E-3</v>
      </c>
      <c r="V53" s="9">
        <v>3.5999999999999999E-3</v>
      </c>
      <c r="W53" s="9">
        <v>2.7000000000000001E-3</v>
      </c>
      <c r="X53" s="9">
        <v>3.3E-3</v>
      </c>
      <c r="Y53" s="9">
        <v>8.9999999999999998E-4</v>
      </c>
      <c r="Z53" s="9">
        <v>4.1999999999999997E-3</v>
      </c>
      <c r="AA53" s="9">
        <v>2E-3</v>
      </c>
      <c r="AB53" s="9">
        <v>2.2000000000000001E-3</v>
      </c>
      <c r="AC53" s="9">
        <v>8.9999999999999998E-4</v>
      </c>
      <c r="AD53" s="9">
        <v>1.2999999999999999E-3</v>
      </c>
    </row>
    <row r="54" spans="2:30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>
        <v>4.8999999999999998E-3</v>
      </c>
      <c r="P54" s="9">
        <v>4.1999999999999997E-3</v>
      </c>
      <c r="Q54" s="9"/>
      <c r="R54" s="9">
        <v>3.0000000000000001E-3</v>
      </c>
      <c r="S54" s="9"/>
      <c r="T54" s="9">
        <v>4.1999999999999997E-3</v>
      </c>
      <c r="U54" s="9">
        <v>2.0999999999999999E-3</v>
      </c>
      <c r="V54" s="9">
        <v>3.3E-3</v>
      </c>
      <c r="W54" s="9">
        <v>3.7000000000000002E-3</v>
      </c>
      <c r="X54" s="9">
        <v>4.1999999999999997E-3</v>
      </c>
      <c r="Y54" s="9">
        <v>9.1999999999999998E-3</v>
      </c>
      <c r="Z54" s="9">
        <v>9.4000000000000004E-3</v>
      </c>
      <c r="AA54" s="9">
        <v>1.9E-3</v>
      </c>
      <c r="AB54" s="9">
        <v>1.8E-3</v>
      </c>
      <c r="AC54" s="9">
        <v>1.6000000000000001E-3</v>
      </c>
      <c r="AD54" s="9">
        <v>1.8E-3</v>
      </c>
    </row>
    <row r="55" spans="2:30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>
        <v>5.1999999999999998E-3</v>
      </c>
      <c r="P55" s="9">
        <v>3.2000000000000002E-3</v>
      </c>
      <c r="Q55" s="9"/>
      <c r="R55" s="9">
        <v>2.5999999999999999E-3</v>
      </c>
      <c r="S55" s="9">
        <v>1.1999999999999999E-3</v>
      </c>
      <c r="T55" s="9">
        <v>3.8999999999999998E-3</v>
      </c>
      <c r="U55" s="9">
        <v>3.3999999999999998E-3</v>
      </c>
      <c r="V55" s="9">
        <v>4.1000000000000003E-3</v>
      </c>
      <c r="W55" s="9">
        <v>3.5000000000000001E-3</v>
      </c>
      <c r="X55" s="9">
        <v>4.4999999999999997E-3</v>
      </c>
      <c r="Y55" s="9">
        <v>2E-3</v>
      </c>
      <c r="Z55" s="9">
        <v>4.8999999999999998E-3</v>
      </c>
      <c r="AA55" s="9">
        <v>3.0000000000000001E-3</v>
      </c>
      <c r="AB55" s="9">
        <v>1.9E-3</v>
      </c>
      <c r="AC55" s="9">
        <v>1E-3</v>
      </c>
      <c r="AD55" s="9">
        <v>2E-3</v>
      </c>
    </row>
    <row r="56" spans="2:30" x14ac:dyDescent="0.3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>
        <v>4.4000000000000003E-3</v>
      </c>
      <c r="P56" s="9">
        <v>3.5999999999999999E-3</v>
      </c>
      <c r="Q56" s="9"/>
      <c r="R56" s="9">
        <v>2.7000000000000001E-3</v>
      </c>
      <c r="S56" s="9">
        <v>1.1999999999999999E-3</v>
      </c>
      <c r="T56" s="9">
        <v>3.8E-3</v>
      </c>
      <c r="U56" s="9">
        <v>2.8E-3</v>
      </c>
      <c r="V56" s="9">
        <v>4.0000000000000001E-3</v>
      </c>
      <c r="W56" s="9">
        <v>2.3E-3</v>
      </c>
      <c r="X56" s="9">
        <v>4.3E-3</v>
      </c>
      <c r="Y56" s="9">
        <v>1.1999999999999999E-3</v>
      </c>
      <c r="Z56" s="9">
        <v>4.0000000000000001E-3</v>
      </c>
      <c r="AA56" s="9">
        <v>2.5000000000000001E-3</v>
      </c>
      <c r="AB56" s="9">
        <v>1.9E-3</v>
      </c>
      <c r="AC56" s="9">
        <v>1.4E-3</v>
      </c>
      <c r="AD56" s="9">
        <v>1.8E-3</v>
      </c>
    </row>
    <row r="57" spans="2:30" x14ac:dyDescent="0.3">
      <c r="B57" s="5">
        <v>202521</v>
      </c>
      <c r="C57" s="5"/>
      <c r="D57" s="9">
        <v>3.8E-3</v>
      </c>
      <c r="E57" s="9">
        <v>2.0999999999999999E-3</v>
      </c>
      <c r="F57" s="9">
        <v>3.8999999999999998E-3</v>
      </c>
      <c r="G57" s="9">
        <v>2.8999999999999998E-3</v>
      </c>
      <c r="H57" s="9">
        <v>1.9E-3</v>
      </c>
      <c r="I57" s="9">
        <v>2.8999999999999998E-3</v>
      </c>
      <c r="J57" s="9">
        <v>2.0000000000000001E-4</v>
      </c>
      <c r="K57" s="9">
        <v>2.7000000000000001E-3</v>
      </c>
      <c r="L57" s="9">
        <v>1.5E-3</v>
      </c>
      <c r="M57" s="9">
        <v>2E-3</v>
      </c>
      <c r="N57" s="9">
        <v>8.9999999999999998E-4</v>
      </c>
      <c r="O57" s="9">
        <v>5.7000000000000002E-3</v>
      </c>
      <c r="P57" s="9">
        <v>3.7000000000000002E-3</v>
      </c>
      <c r="Q57" s="9"/>
      <c r="R57" s="9">
        <v>3.0999999999999999E-3</v>
      </c>
      <c r="S57" s="9">
        <v>1.5E-3</v>
      </c>
      <c r="T57" s="9">
        <v>4.1000000000000003E-3</v>
      </c>
      <c r="U57" s="9">
        <v>2.3999999999999998E-3</v>
      </c>
      <c r="V57" s="9">
        <v>0</v>
      </c>
      <c r="W57" s="9">
        <v>0</v>
      </c>
      <c r="X57" s="9">
        <v>1.4200000000000001E-2</v>
      </c>
      <c r="Y57" s="9">
        <v>1.4E-3</v>
      </c>
      <c r="Z57" s="9">
        <v>3.8E-3</v>
      </c>
      <c r="AA57" s="9">
        <v>1.6999999999999999E-3</v>
      </c>
      <c r="AB57" s="9">
        <v>2.0999999999999999E-3</v>
      </c>
      <c r="AC57" s="9">
        <v>1.1000000000000001E-3</v>
      </c>
      <c r="AD57" s="9">
        <v>4.4000000000000003E-3</v>
      </c>
    </row>
    <row r="58" spans="2:30" x14ac:dyDescent="0.3">
      <c r="B58" s="5">
        <v>202522</v>
      </c>
      <c r="C58" s="5"/>
      <c r="D58" s="9">
        <v>2.7000000000000001E-3</v>
      </c>
      <c r="E58" s="9">
        <v>2.2000000000000001E-3</v>
      </c>
      <c r="F58" s="9">
        <v>2.8E-3</v>
      </c>
      <c r="G58" s="9">
        <v>2.3999999999999998E-3</v>
      </c>
      <c r="H58" s="9">
        <v>2E-3</v>
      </c>
      <c r="I58" s="9">
        <v>3.8999999999999998E-3</v>
      </c>
      <c r="J58" s="9">
        <v>6.9999999999999999E-4</v>
      </c>
      <c r="K58" s="9">
        <v>3.7000000000000002E-3</v>
      </c>
      <c r="L58" s="9">
        <v>2.2000000000000001E-3</v>
      </c>
      <c r="M58" s="9">
        <v>2.5000000000000001E-3</v>
      </c>
      <c r="N58" s="9">
        <v>2.2000000000000001E-3</v>
      </c>
      <c r="O58" s="9">
        <v>8.3999999999999995E-3</v>
      </c>
      <c r="P58" s="9">
        <v>3.3999999999999998E-3</v>
      </c>
      <c r="Q58" s="9"/>
      <c r="R58" s="9">
        <v>3.0000000000000001E-3</v>
      </c>
      <c r="S58" s="9">
        <v>1.6999999999999999E-3</v>
      </c>
      <c r="T58" s="9">
        <v>2.9999999999999997E-4</v>
      </c>
      <c r="U58" s="9">
        <v>3.2000000000000002E-3</v>
      </c>
      <c r="V58" s="9"/>
      <c r="W58" s="9"/>
      <c r="X58" s="9">
        <v>5.7999999999999996E-3</v>
      </c>
      <c r="Y58" s="9">
        <v>1.2999999999999999E-3</v>
      </c>
      <c r="Z58" s="9">
        <v>4.1000000000000003E-3</v>
      </c>
      <c r="AA58" s="9">
        <v>2.5000000000000001E-3</v>
      </c>
      <c r="AB58" s="9">
        <v>1.9E-3</v>
      </c>
      <c r="AC58" s="9">
        <v>1.1999999999999999E-3</v>
      </c>
      <c r="AD58" s="9">
        <v>2.3E-3</v>
      </c>
    </row>
    <row r="59" spans="2:30" x14ac:dyDescent="0.3">
      <c r="B59" s="5">
        <v>202523</v>
      </c>
      <c r="C59" s="5"/>
      <c r="D59" s="9">
        <v>3.0000000000000001E-3</v>
      </c>
      <c r="E59" s="9">
        <v>1.9E-3</v>
      </c>
      <c r="F59" s="9">
        <v>3.0999999999999999E-3</v>
      </c>
      <c r="G59" s="9">
        <v>1.6999999999999999E-3</v>
      </c>
      <c r="H59" s="9">
        <v>1.1000000000000001E-3</v>
      </c>
      <c r="I59" s="9">
        <v>1E-3</v>
      </c>
      <c r="J59" s="9">
        <v>2.2000000000000001E-3</v>
      </c>
      <c r="K59" s="9">
        <v>1.6999999999999999E-3</v>
      </c>
      <c r="L59" s="9">
        <v>4.7999999999999996E-3</v>
      </c>
      <c r="M59" s="9">
        <v>2.5000000000000001E-3</v>
      </c>
      <c r="N59" s="9">
        <v>5.1999999999999998E-3</v>
      </c>
      <c r="O59" s="9">
        <v>9.4999999999999998E-3</v>
      </c>
      <c r="P59" s="9">
        <v>3.5000000000000001E-3</v>
      </c>
      <c r="Q59" s="9"/>
      <c r="R59" s="9">
        <v>3.0000000000000001E-3</v>
      </c>
      <c r="S59" s="9">
        <v>1.9E-3</v>
      </c>
      <c r="T59" s="9"/>
      <c r="U59" s="9">
        <v>2.5999999999999999E-3</v>
      </c>
      <c r="V59" s="9"/>
      <c r="W59" s="9"/>
      <c r="X59" s="9">
        <v>3.8E-3</v>
      </c>
      <c r="Y59" s="9">
        <v>1.6000000000000001E-3</v>
      </c>
      <c r="Z59" s="9">
        <v>6.1999999999999998E-3</v>
      </c>
      <c r="AA59" s="9">
        <v>3.5000000000000001E-3</v>
      </c>
      <c r="AB59" s="9">
        <v>1.9E-3</v>
      </c>
      <c r="AC59" s="9">
        <v>1.4E-3</v>
      </c>
      <c r="AD59" s="9">
        <v>2.3999999999999998E-3</v>
      </c>
    </row>
    <row r="60" spans="2:30" x14ac:dyDescent="0.3">
      <c r="B60" s="5">
        <v>202524</v>
      </c>
      <c r="C60" s="5"/>
      <c r="D60" s="9">
        <v>3.3E-3</v>
      </c>
      <c r="E60" s="9">
        <v>2.5999999999999999E-3</v>
      </c>
      <c r="F60" s="9">
        <v>3.3E-3</v>
      </c>
      <c r="G60" s="9">
        <v>2.3999999999999998E-3</v>
      </c>
      <c r="H60" s="9">
        <v>2.0999999999999999E-3</v>
      </c>
      <c r="I60" s="9">
        <v>5.8999999999999999E-3</v>
      </c>
      <c r="J60" s="9">
        <v>3.0999999999999999E-3</v>
      </c>
      <c r="K60" s="9">
        <v>2.3999999999999998E-3</v>
      </c>
      <c r="L60" s="9">
        <v>3.3E-3</v>
      </c>
      <c r="M60" s="9">
        <v>5.1999999999999998E-3</v>
      </c>
      <c r="N60" s="9">
        <v>5.1000000000000004E-3</v>
      </c>
      <c r="O60" s="9">
        <v>8.9999999999999993E-3</v>
      </c>
      <c r="P60" s="9">
        <v>4.1999999999999997E-3</v>
      </c>
      <c r="Q60" s="9"/>
      <c r="R60" s="9">
        <v>2.8999999999999998E-3</v>
      </c>
      <c r="S60" s="9">
        <v>1.9E-3</v>
      </c>
      <c r="T60" s="9"/>
      <c r="U60" s="9">
        <v>2.5000000000000001E-3</v>
      </c>
      <c r="V60" s="9"/>
      <c r="W60" s="9"/>
      <c r="X60" s="9">
        <v>4.1999999999999997E-3</v>
      </c>
      <c r="Y60" s="9">
        <v>1.6000000000000001E-3</v>
      </c>
      <c r="Z60" s="9">
        <v>6.3E-3</v>
      </c>
      <c r="AA60" s="9">
        <v>3.0000000000000001E-3</v>
      </c>
      <c r="AB60" s="9">
        <v>2.3E-3</v>
      </c>
      <c r="AC60" s="9">
        <v>1.8E-3</v>
      </c>
      <c r="AD60" s="9">
        <v>2.0999999999999999E-3</v>
      </c>
    </row>
    <row r="61" spans="2:30" x14ac:dyDescent="0.3">
      <c r="B61" s="5">
        <v>202525</v>
      </c>
      <c r="C61" s="5"/>
      <c r="D61" s="9">
        <v>3.2000000000000002E-3</v>
      </c>
      <c r="E61" s="9">
        <v>2.8999999999999998E-3</v>
      </c>
      <c r="F61" s="9">
        <v>3.2000000000000002E-3</v>
      </c>
      <c r="G61" s="9">
        <v>2.0999999999999999E-3</v>
      </c>
      <c r="H61" s="9">
        <v>2.0999999999999999E-3</v>
      </c>
      <c r="I61" s="9">
        <v>6.8999999999999999E-3</v>
      </c>
      <c r="J61" s="9">
        <v>4.3E-3</v>
      </c>
      <c r="K61" s="9">
        <v>3.8999999999999998E-3</v>
      </c>
      <c r="L61" s="9">
        <v>4.4000000000000003E-3</v>
      </c>
      <c r="M61" s="9">
        <v>6.4000000000000003E-3</v>
      </c>
      <c r="N61" s="9">
        <v>4.4999999999999997E-3</v>
      </c>
      <c r="O61" s="9">
        <v>9.7000000000000003E-3</v>
      </c>
      <c r="P61" s="9">
        <v>3.3999999999999998E-3</v>
      </c>
      <c r="Q61" s="9"/>
      <c r="R61" s="9">
        <v>3.0000000000000001E-3</v>
      </c>
      <c r="S61" s="9">
        <v>1.9E-3</v>
      </c>
      <c r="T61" s="9"/>
      <c r="U61" s="9">
        <v>3.3999999999999998E-3</v>
      </c>
      <c r="V61" s="9"/>
      <c r="W61" s="9"/>
      <c r="X61" s="9">
        <v>5.0000000000000001E-3</v>
      </c>
      <c r="Y61" s="9">
        <v>1.1999999999999999E-3</v>
      </c>
      <c r="Z61" s="9">
        <v>3.5999999999999999E-3</v>
      </c>
      <c r="AA61" s="9">
        <v>3.0999999999999999E-3</v>
      </c>
      <c r="AB61" s="9">
        <v>2.8E-3</v>
      </c>
      <c r="AC61" s="9">
        <v>1.6999999999999999E-3</v>
      </c>
      <c r="AD61" s="9">
        <v>1.8E-3</v>
      </c>
    </row>
    <row r="62" spans="2:30" x14ac:dyDescent="0.3">
      <c r="B62" s="5">
        <v>202526</v>
      </c>
      <c r="C62" s="5"/>
      <c r="D62" s="9">
        <v>3.5000000000000001E-3</v>
      </c>
      <c r="E62" s="9">
        <v>2.3E-3</v>
      </c>
      <c r="F62" s="9">
        <v>3.5999999999999999E-3</v>
      </c>
      <c r="G62" s="9">
        <v>2E-3</v>
      </c>
      <c r="H62" s="9">
        <v>1.6000000000000001E-3</v>
      </c>
      <c r="I62" s="9">
        <v>7.0000000000000001E-3</v>
      </c>
      <c r="J62" s="9">
        <v>3.3999999999999998E-3</v>
      </c>
      <c r="K62" s="9">
        <v>2.5000000000000001E-3</v>
      </c>
      <c r="L62" s="9">
        <v>3.3E-3</v>
      </c>
      <c r="M62" s="9">
        <v>6.0000000000000001E-3</v>
      </c>
      <c r="N62" s="9">
        <v>2.7000000000000001E-3</v>
      </c>
      <c r="O62" s="9">
        <v>1.9300000000000001E-2</v>
      </c>
      <c r="P62" s="9">
        <v>3.2000000000000002E-3</v>
      </c>
      <c r="Q62" s="9"/>
      <c r="R62" s="9">
        <v>3.3E-3</v>
      </c>
      <c r="S62" s="9">
        <v>1.9E-3</v>
      </c>
      <c r="T62" s="9"/>
      <c r="U62" s="9">
        <v>3.5999999999999999E-3</v>
      </c>
      <c r="V62" s="9"/>
      <c r="W62" s="9"/>
      <c r="X62" s="9">
        <v>5.4999999999999997E-3</v>
      </c>
      <c r="Y62" s="9">
        <v>1.1999999999999999E-3</v>
      </c>
      <c r="Z62" s="9">
        <v>5.4999999999999997E-3</v>
      </c>
      <c r="AA62" s="9">
        <v>3.3E-3</v>
      </c>
      <c r="AB62" s="9">
        <v>3.0999999999999999E-3</v>
      </c>
      <c r="AC62" s="9">
        <v>1.6999999999999999E-3</v>
      </c>
      <c r="AD62" s="9">
        <v>2.2000000000000001E-3</v>
      </c>
    </row>
    <row r="63" spans="2:30" x14ac:dyDescent="0.3">
      <c r="B63" s="5">
        <v>202527</v>
      </c>
      <c r="C63" s="5"/>
      <c r="D63" s="9">
        <v>3.5000000000000001E-3</v>
      </c>
      <c r="E63" s="9">
        <v>2.7000000000000001E-3</v>
      </c>
      <c r="F63" s="9">
        <v>3.5999999999999999E-3</v>
      </c>
      <c r="G63" s="9">
        <v>1.5E-3</v>
      </c>
      <c r="H63" s="9">
        <v>2.2000000000000001E-3</v>
      </c>
      <c r="I63" s="9">
        <v>5.0000000000000001E-3</v>
      </c>
      <c r="J63" s="9">
        <v>4.4000000000000003E-3</v>
      </c>
      <c r="K63" s="9">
        <v>4.4999999999999997E-3</v>
      </c>
      <c r="L63" s="9">
        <v>3.5999999999999999E-3</v>
      </c>
      <c r="M63" s="9">
        <v>4.4000000000000003E-3</v>
      </c>
      <c r="N63" s="9">
        <v>1.4E-3</v>
      </c>
      <c r="O63" s="9">
        <v>2.12E-2</v>
      </c>
      <c r="P63" s="9">
        <v>4.1999999999999997E-3</v>
      </c>
      <c r="Q63" s="9"/>
      <c r="R63" s="9">
        <v>3.2000000000000002E-3</v>
      </c>
      <c r="S63" s="9">
        <v>1.9E-3</v>
      </c>
      <c r="T63" s="9"/>
      <c r="U63" s="9">
        <v>3.3999999999999998E-3</v>
      </c>
      <c r="V63" s="9"/>
      <c r="W63" s="9"/>
      <c r="X63" s="9">
        <v>5.7999999999999996E-3</v>
      </c>
      <c r="Y63" s="9">
        <v>1.1999999999999999E-3</v>
      </c>
      <c r="Z63" s="9">
        <v>6.3E-3</v>
      </c>
      <c r="AA63" s="9">
        <v>3.8999999999999998E-3</v>
      </c>
      <c r="AB63" s="9">
        <v>2.7000000000000001E-3</v>
      </c>
      <c r="AC63" s="9">
        <v>1.1999999999999999E-3</v>
      </c>
      <c r="AD63" s="9">
        <v>1.9E-3</v>
      </c>
    </row>
    <row r="64" spans="2:30" x14ac:dyDescent="0.3">
      <c r="B64" s="5">
        <v>202528</v>
      </c>
      <c r="C64" s="5"/>
      <c r="D64" s="9">
        <v>3.8E-3</v>
      </c>
      <c r="E64" s="9">
        <v>2.0999999999999999E-3</v>
      </c>
      <c r="F64" s="9">
        <v>3.8999999999999998E-3</v>
      </c>
      <c r="G64" s="9">
        <v>1.8E-3</v>
      </c>
      <c r="H64" s="9">
        <v>1.8E-3</v>
      </c>
      <c r="I64" s="9">
        <v>3.0000000000000001E-3</v>
      </c>
      <c r="J64" s="9">
        <v>1.9E-3</v>
      </c>
      <c r="K64" s="9">
        <v>2.5000000000000001E-3</v>
      </c>
      <c r="L64" s="9">
        <v>3.0999999999999999E-3</v>
      </c>
      <c r="M64" s="9">
        <v>5.7999999999999996E-3</v>
      </c>
      <c r="N64" s="9">
        <v>1.5E-3</v>
      </c>
      <c r="O64" s="9">
        <v>1.24E-2</v>
      </c>
      <c r="P64" s="9">
        <v>4.7000000000000002E-3</v>
      </c>
      <c r="Q64" s="9"/>
      <c r="R64" s="9">
        <v>8.6999999999999994E-3</v>
      </c>
      <c r="S64" s="9">
        <v>2.0999999999999999E-3</v>
      </c>
      <c r="T64" s="9">
        <v>1.5E-3</v>
      </c>
      <c r="U64" s="9">
        <v>4.5999999999999999E-3</v>
      </c>
      <c r="V64" s="9">
        <v>8.0000000000000004E-4</v>
      </c>
      <c r="W64" s="9">
        <v>2.2000000000000001E-3</v>
      </c>
      <c r="X64" s="9">
        <v>6.4000000000000003E-3</v>
      </c>
      <c r="Y64" s="9">
        <v>1.8E-3</v>
      </c>
      <c r="Z64" s="9">
        <v>6.4000000000000003E-3</v>
      </c>
      <c r="AA64" s="9">
        <v>3.7000000000000002E-3</v>
      </c>
      <c r="AB64" s="9">
        <v>3.0999999999999999E-3</v>
      </c>
      <c r="AC64" s="9">
        <v>2.0999999999999999E-3</v>
      </c>
      <c r="AD64" s="9">
        <v>2.3999999999999998E-3</v>
      </c>
    </row>
    <row r="65" spans="2:30" ht="15" thickBot="1" x14ac:dyDescent="0.35">
      <c r="B65" s="5">
        <v>202529</v>
      </c>
      <c r="C65" s="5"/>
      <c r="D65" s="9">
        <v>3.3E-3</v>
      </c>
      <c r="E65" s="9">
        <v>2.8E-3</v>
      </c>
      <c r="F65" s="9">
        <v>3.3E-3</v>
      </c>
      <c r="G65" s="9">
        <v>2.8999999999999998E-3</v>
      </c>
      <c r="H65" s="9">
        <v>1.6000000000000001E-3</v>
      </c>
      <c r="I65" s="9">
        <v>6.1000000000000004E-3</v>
      </c>
      <c r="J65" s="9">
        <v>3.3999999999999998E-3</v>
      </c>
      <c r="K65" s="9">
        <v>3.2000000000000002E-3</v>
      </c>
      <c r="L65" s="9">
        <v>4.3E-3</v>
      </c>
      <c r="M65" s="9">
        <v>3.8E-3</v>
      </c>
      <c r="N65" s="9">
        <v>1.4E-3</v>
      </c>
      <c r="O65" s="9">
        <v>1.5800000000000002E-2</v>
      </c>
      <c r="P65" s="9">
        <v>3.3999999999999998E-3</v>
      </c>
      <c r="Q65" s="9"/>
      <c r="R65" s="9">
        <v>3.5000000000000001E-3</v>
      </c>
      <c r="S65" s="9">
        <v>2.0999999999999999E-3</v>
      </c>
      <c r="T65" s="9">
        <v>1.6000000000000001E-3</v>
      </c>
      <c r="U65" s="9">
        <v>4.1999999999999997E-3</v>
      </c>
      <c r="V65" s="9">
        <v>1.1000000000000001E-3</v>
      </c>
      <c r="W65" s="9">
        <v>1.6999999999999999E-3</v>
      </c>
      <c r="X65" s="9">
        <v>5.8999999999999999E-3</v>
      </c>
      <c r="Y65" s="9">
        <v>1.6999999999999999E-3</v>
      </c>
      <c r="Z65" s="9">
        <v>7.3000000000000001E-3</v>
      </c>
      <c r="AA65" s="9">
        <v>3.3999999999999998E-3</v>
      </c>
      <c r="AB65" s="9">
        <v>3.3E-3</v>
      </c>
      <c r="AC65" s="9">
        <v>1.6000000000000001E-3</v>
      </c>
      <c r="AD65" s="9">
        <v>2E-3</v>
      </c>
    </row>
    <row r="66" spans="2:30" ht="15" thickBot="1" x14ac:dyDescent="0.35">
      <c r="B66" s="22" t="s">
        <v>82</v>
      </c>
      <c r="C66" s="22"/>
      <c r="D66" s="24">
        <f t="shared" ref="D66:AD66" si="23">AVERAGE(D37:D65)</f>
        <v>2.8655172413793099E-3</v>
      </c>
      <c r="E66" s="24">
        <f t="shared" si="23"/>
        <v>3.6275862068965515E-3</v>
      </c>
      <c r="F66" s="24">
        <f t="shared" si="23"/>
        <v>2.7862068965517242E-3</v>
      </c>
      <c r="G66" s="24">
        <f t="shared" si="23"/>
        <v>4.7482758620689671E-3</v>
      </c>
      <c r="H66" s="24">
        <f t="shared" si="23"/>
        <v>3.3034482758620694E-3</v>
      </c>
      <c r="I66" s="24">
        <f t="shared" si="23"/>
        <v>4.6310344827586204E-3</v>
      </c>
      <c r="J66" s="24">
        <f t="shared" si="23"/>
        <v>2.7620689655172411E-3</v>
      </c>
      <c r="K66" s="24">
        <f t="shared" si="23"/>
        <v>3.4275862068965509E-3</v>
      </c>
      <c r="L66" s="24">
        <f t="shared" si="23"/>
        <v>2.5000000000000005E-3</v>
      </c>
      <c r="M66" s="24">
        <f t="shared" si="23"/>
        <v>3.1068965517241382E-3</v>
      </c>
      <c r="N66" s="24">
        <f t="shared" si="23"/>
        <v>2.7458333333333332E-3</v>
      </c>
      <c r="O66" s="24">
        <f t="shared" si="23"/>
        <v>7.7965517241379324E-3</v>
      </c>
      <c r="P66" s="24">
        <f t="shared" si="23"/>
        <v>3.1068965517241373E-3</v>
      </c>
      <c r="Q66" s="24">
        <f t="shared" si="23"/>
        <v>-6.7871428571428569E-2</v>
      </c>
      <c r="R66" s="24">
        <f t="shared" si="23"/>
        <v>2.6862068965517239E-3</v>
      </c>
      <c r="S66" s="24">
        <f t="shared" si="23"/>
        <v>1.754545454545455E-3</v>
      </c>
      <c r="T66" s="24">
        <f t="shared" si="23"/>
        <v>2.8125000000000003E-3</v>
      </c>
      <c r="U66" s="24">
        <f t="shared" si="23"/>
        <v>3.2241379310344823E-3</v>
      </c>
      <c r="V66" s="24">
        <f t="shared" si="23"/>
        <v>3.3173913043478263E-3</v>
      </c>
      <c r="W66" s="24">
        <f t="shared" si="23"/>
        <v>2.6826086956521743E-3</v>
      </c>
      <c r="X66" s="24">
        <f t="shared" si="23"/>
        <v>3.4965517241379311E-3</v>
      </c>
      <c r="Y66" s="24">
        <f t="shared" si="23"/>
        <v>1.4068965517241379E-3</v>
      </c>
      <c r="Z66" s="24">
        <f t="shared" si="23"/>
        <v>4.3034482758620698E-3</v>
      </c>
      <c r="AA66" s="24">
        <f t="shared" si="23"/>
        <v>2.2413793103448275E-3</v>
      </c>
      <c r="AB66" s="24">
        <f t="shared" si="23"/>
        <v>1.9041666666666662E-3</v>
      </c>
      <c r="AC66" s="24">
        <f t="shared" si="23"/>
        <v>1.2249999999999997E-3</v>
      </c>
      <c r="AD66" s="24">
        <f t="shared" si="23"/>
        <v>1.5482758620689657E-3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T67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45864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132</v>
      </c>
      <c r="C6" s="7">
        <v>22</v>
      </c>
      <c r="D6" s="7">
        <v>7</v>
      </c>
      <c r="E6" s="7">
        <v>1197</v>
      </c>
      <c r="F6" s="7">
        <v>987</v>
      </c>
      <c r="G6" s="7">
        <v>4</v>
      </c>
      <c r="H6" s="9">
        <f t="shared" ref="H6:H12" si="0">IFERROR(G6/F6,0)</f>
        <v>4.0526849037487338E-3</v>
      </c>
      <c r="I6" s="9">
        <f>IFERROR((1197-F6)/1197,0)</f>
        <v>0.17543859649122806</v>
      </c>
      <c r="J6" s="7">
        <v>3510</v>
      </c>
      <c r="K6" s="11">
        <f t="shared" ref="K6:K12" si="1">IFERROR(J6/D6/F6*100,0)</f>
        <v>50.803300043421629</v>
      </c>
      <c r="L6" s="11">
        <f>K6-52.3281</f>
        <v>-1.5247999565783701</v>
      </c>
      <c r="M6" s="11">
        <v>80</v>
      </c>
      <c r="N6" s="11">
        <f t="shared" ref="N6:N12" si="2">K6-M6</f>
        <v>-29.196699956578371</v>
      </c>
      <c r="O6" s="11">
        <f>IFERROR(175970/1197,0)</f>
        <v>147.0091896407686</v>
      </c>
      <c r="P6" s="11">
        <v>0</v>
      </c>
      <c r="Q6" s="11">
        <f t="shared" ref="Q6:Q11" si="3">IFERROR(O6-P6,0)</f>
        <v>147.0091896407686</v>
      </c>
      <c r="R6" s="7">
        <v>868</v>
      </c>
      <c r="S6" s="11">
        <f t="shared" ref="S6:S11" si="4">IFERROR(R6/D6/F6*1000,0)</f>
        <v>125.63323201621074</v>
      </c>
      <c r="T6" s="13">
        <f t="shared" ref="T6:T12" si="5">IFERROR(J6/R6,0)</f>
        <v>4.0437788018433176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247.29344729344729</v>
      </c>
      <c r="Z6" s="11">
        <f t="shared" ref="Z6:Z12" si="9">IFERROR(Y6*X6/1000,0)</f>
        <v>73.416478632478629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23</v>
      </c>
      <c r="AG6" s="7">
        <f t="shared" ref="AG6:AG11" si="10">IF(M6=0,0,IFERROR(N6/100*7*F6,0))</f>
        <v>-2017.1999999999994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92</v>
      </c>
      <c r="C7" s="7">
        <v>22</v>
      </c>
      <c r="D7" s="7">
        <v>7</v>
      </c>
      <c r="E7" s="7">
        <v>14440</v>
      </c>
      <c r="F7" s="7">
        <v>11066</v>
      </c>
      <c r="G7" s="7">
        <v>23</v>
      </c>
      <c r="H7" s="9">
        <f t="shared" si="0"/>
        <v>2.0784384601482018E-3</v>
      </c>
      <c r="I7" s="9">
        <f>IFERROR((14440-F7)/14440,0)</f>
        <v>0.23365650969529086</v>
      </c>
      <c r="J7" s="7">
        <v>57660</v>
      </c>
      <c r="K7" s="11">
        <f t="shared" si="1"/>
        <v>74.43649789574242</v>
      </c>
      <c r="L7" s="11">
        <f>K7-73.7797</f>
        <v>0.65679789574241454</v>
      </c>
      <c r="M7" s="11">
        <v>80</v>
      </c>
      <c r="N7" s="11">
        <f t="shared" si="2"/>
        <v>-5.5635021042575801</v>
      </c>
      <c r="O7" s="11">
        <f>IFERROR(5124340/14440,0)</f>
        <v>354.87119113573408</v>
      </c>
      <c r="P7" s="11">
        <v>0</v>
      </c>
      <c r="Q7" s="11">
        <f t="shared" si="3"/>
        <v>354.87119113573408</v>
      </c>
      <c r="R7" s="7">
        <v>9730</v>
      </c>
      <c r="S7" s="11">
        <f t="shared" si="4"/>
        <v>125.6099765046087</v>
      </c>
      <c r="T7" s="13">
        <f t="shared" si="5"/>
        <v>5.9260020554984587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168.74783211932015</v>
      </c>
      <c r="Z7" s="11">
        <f t="shared" si="9"/>
        <v>62.96825355532431</v>
      </c>
      <c r="AA7" s="7">
        <v>0</v>
      </c>
      <c r="AB7" s="15">
        <f>IFERROR(AA7/1980,0)</f>
        <v>0</v>
      </c>
      <c r="AC7" s="11">
        <v>0</v>
      </c>
      <c r="AD7" s="15">
        <f>IFERROR(AC7/65.1,0)</f>
        <v>0</v>
      </c>
      <c r="AE7" s="11">
        <v>0</v>
      </c>
      <c r="AF7" s="11">
        <v>23</v>
      </c>
      <c r="AG7" s="7">
        <f t="shared" si="10"/>
        <v>-4309.6000000000067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92</v>
      </c>
      <c r="C8" s="7">
        <v>22</v>
      </c>
      <c r="D8" s="7">
        <v>7</v>
      </c>
      <c r="E8" s="7">
        <v>16063</v>
      </c>
      <c r="F8" s="7">
        <v>12987</v>
      </c>
      <c r="G8" s="7">
        <v>26</v>
      </c>
      <c r="H8" s="9">
        <f t="shared" si="0"/>
        <v>2.002002002002002E-3</v>
      </c>
      <c r="I8" s="9">
        <f>IFERROR((16063-F8)/16063,0)</f>
        <v>0.19149598456079189</v>
      </c>
      <c r="J8" s="7">
        <v>59730</v>
      </c>
      <c r="K8" s="11">
        <f t="shared" si="1"/>
        <v>65.703065703065704</v>
      </c>
      <c r="L8" s="11">
        <f>K8-66.5927</f>
        <v>-0.88963429693428964</v>
      </c>
      <c r="M8" s="11">
        <v>76</v>
      </c>
      <c r="N8" s="11">
        <f t="shared" si="2"/>
        <v>-10.296934296934296</v>
      </c>
      <c r="O8" s="11">
        <f>IFERROR(5338710/16063,0)</f>
        <v>332.36070472514473</v>
      </c>
      <c r="P8" s="11">
        <v>0</v>
      </c>
      <c r="Q8" s="11">
        <f t="shared" si="3"/>
        <v>332.36070472514473</v>
      </c>
      <c r="R8" s="7">
        <v>10360</v>
      </c>
      <c r="S8" s="11">
        <f t="shared" si="4"/>
        <v>113.96011396011396</v>
      </c>
      <c r="T8" s="13">
        <f t="shared" si="5"/>
        <v>5.7654440154440154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173.44717897204086</v>
      </c>
      <c r="Z8" s="11">
        <f t="shared" si="9"/>
        <v>64.175456219655118</v>
      </c>
      <c r="AA8" s="7">
        <v>0</v>
      </c>
      <c r="AB8" s="15">
        <f>IFERROR(AA8/1580,0)</f>
        <v>0</v>
      </c>
      <c r="AC8" s="11">
        <v>0</v>
      </c>
      <c r="AD8" s="15">
        <f>IFERROR(AC8/63.7,0)</f>
        <v>0</v>
      </c>
      <c r="AE8" s="11">
        <v>0</v>
      </c>
      <c r="AF8" s="11">
        <v>23</v>
      </c>
      <c r="AG8" s="7">
        <f t="shared" si="10"/>
        <v>-9360.8399999999983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53</v>
      </c>
      <c r="C9" s="7"/>
      <c r="D9" s="7">
        <v>7</v>
      </c>
      <c r="E9" s="7">
        <v>4686</v>
      </c>
      <c r="F9" s="7">
        <v>4086</v>
      </c>
      <c r="G9" s="7">
        <v>11</v>
      </c>
      <c r="H9" s="9">
        <f t="shared" si="0"/>
        <v>2.6921194322075378E-3</v>
      </c>
      <c r="I9" s="9">
        <f>IFERROR((4686-F9)/4686,0)</f>
        <v>0.12804097311139565</v>
      </c>
      <c r="J9" s="7">
        <v>28500</v>
      </c>
      <c r="K9" s="11">
        <f t="shared" si="1"/>
        <v>99.643381581707587</v>
      </c>
      <c r="L9" s="11">
        <f>K9-99.6897</f>
        <v>-4.6318418292415231E-2</v>
      </c>
      <c r="M9" s="11">
        <v>87.5</v>
      </c>
      <c r="N9" s="11">
        <f t="shared" si="2"/>
        <v>12.143381581707587</v>
      </c>
      <c r="O9" s="11">
        <f>IFERROR(961260/4686,0)</f>
        <v>205.13444302176697</v>
      </c>
      <c r="P9" s="11">
        <v>216</v>
      </c>
      <c r="Q9" s="11">
        <f t="shared" si="3"/>
        <v>-10.86555697823303</v>
      </c>
      <c r="R9" s="7">
        <v>5380</v>
      </c>
      <c r="S9" s="11">
        <f t="shared" si="4"/>
        <v>188.09873435424095</v>
      </c>
      <c r="T9" s="13">
        <f t="shared" si="5"/>
        <v>5.2973977695167287</v>
      </c>
      <c r="U9" s="7">
        <v>5040</v>
      </c>
      <c r="V9" s="11">
        <f t="shared" si="6"/>
        <v>176.21145374449341</v>
      </c>
      <c r="W9" s="11">
        <f t="shared" si="7"/>
        <v>0.9368029739776953</v>
      </c>
      <c r="X9" s="11">
        <v>362.76</v>
      </c>
      <c r="Y9" s="11">
        <f t="shared" si="8"/>
        <v>188.77192982456134</v>
      </c>
      <c r="Z9" s="11">
        <f t="shared" si="9"/>
        <v>68.47890526315787</v>
      </c>
      <c r="AA9" s="7">
        <v>1973</v>
      </c>
      <c r="AB9" s="15">
        <f>IFERROR(AA9/1950,0)</f>
        <v>1.0117948717948717</v>
      </c>
      <c r="AC9" s="11">
        <v>0</v>
      </c>
      <c r="AD9" s="15">
        <f>IFERROR(AC9/63.5,0)</f>
        <v>0</v>
      </c>
      <c r="AE9" s="11">
        <v>14</v>
      </c>
      <c r="AF9" s="11">
        <v>23</v>
      </c>
      <c r="AG9" s="7">
        <f t="shared" si="10"/>
        <v>3473.2500000000036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92</v>
      </c>
      <c r="C10" s="7">
        <v>23</v>
      </c>
      <c r="D10" s="7">
        <v>7</v>
      </c>
      <c r="E10" s="7">
        <v>5000</v>
      </c>
      <c r="F10" s="7">
        <v>4005</v>
      </c>
      <c r="G10" s="7">
        <v>12</v>
      </c>
      <c r="H10" s="9">
        <f t="shared" si="0"/>
        <v>2.9962546816479402E-3</v>
      </c>
      <c r="I10" s="9">
        <f>IFERROR((5000-F10)/5000,0)</f>
        <v>0.19900000000000001</v>
      </c>
      <c r="J10" s="7">
        <v>23760</v>
      </c>
      <c r="K10" s="11">
        <f t="shared" si="1"/>
        <v>84.75120385232745</v>
      </c>
      <c r="L10" s="11">
        <f>K10-85.7783</f>
        <v>-1.0270961476725518</v>
      </c>
      <c r="M10" s="11">
        <v>80</v>
      </c>
      <c r="N10" s="11">
        <f t="shared" si="2"/>
        <v>4.7512038523274498</v>
      </c>
      <c r="O10" s="11">
        <f>IFERROR(1910030/5000,0)</f>
        <v>382.00599999999997</v>
      </c>
      <c r="P10" s="11">
        <v>0</v>
      </c>
      <c r="Q10" s="11">
        <f t="shared" si="3"/>
        <v>382.00599999999997</v>
      </c>
      <c r="R10" s="7">
        <v>4689</v>
      </c>
      <c r="S10" s="11">
        <f t="shared" si="4"/>
        <v>167.25521669341896</v>
      </c>
      <c r="T10" s="13">
        <f t="shared" si="5"/>
        <v>5.067178502879079</v>
      </c>
      <c r="U10" s="7">
        <v>5040</v>
      </c>
      <c r="V10" s="11">
        <f t="shared" si="6"/>
        <v>179.77528089887639</v>
      </c>
      <c r="W10" s="11">
        <f t="shared" si="7"/>
        <v>1.074856046065259</v>
      </c>
      <c r="X10" s="11">
        <v>374.81</v>
      </c>
      <c r="Y10" s="11">
        <f t="shared" si="8"/>
        <v>197.34848484848487</v>
      </c>
      <c r="Z10" s="11">
        <f t="shared" si="9"/>
        <v>73.968185606060629</v>
      </c>
      <c r="AA10" s="7">
        <v>2170</v>
      </c>
      <c r="AB10" s="15">
        <f>IFERROR(AA10/1980,0)</f>
        <v>1.095959595959596</v>
      </c>
      <c r="AC10" s="11">
        <v>0</v>
      </c>
      <c r="AD10" s="15">
        <f>IFERROR(AC10/65.1,0)</f>
        <v>0</v>
      </c>
      <c r="AE10" s="11">
        <v>14</v>
      </c>
      <c r="AF10" s="11">
        <v>24</v>
      </c>
      <c r="AG10" s="7">
        <f t="shared" si="10"/>
        <v>1332.0000000000005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53</v>
      </c>
      <c r="C11" s="7"/>
      <c r="D11" s="7">
        <v>7</v>
      </c>
      <c r="E11" s="7">
        <v>4819</v>
      </c>
      <c r="F11" s="7">
        <v>4426</v>
      </c>
      <c r="G11" s="7">
        <v>17</v>
      </c>
      <c r="H11" s="9">
        <f t="shared" si="0"/>
        <v>3.8409399005874378E-3</v>
      </c>
      <c r="I11" s="9">
        <f>IFERROR((4819-F11)/4819,0)</f>
        <v>8.1552189250881923E-2</v>
      </c>
      <c r="J11" s="7">
        <v>29070</v>
      </c>
      <c r="K11" s="11">
        <f t="shared" si="1"/>
        <v>93.828674714350271</v>
      </c>
      <c r="L11" s="11">
        <f>K11-92.9874</f>
        <v>0.84127471435027701</v>
      </c>
      <c r="M11" s="11">
        <v>87.5</v>
      </c>
      <c r="N11" s="11">
        <f t="shared" si="2"/>
        <v>6.3286747143502708</v>
      </c>
      <c r="O11" s="11">
        <f>IFERROR(1006036/4819,0)</f>
        <v>208.76447395725253</v>
      </c>
      <c r="P11" s="11">
        <v>216</v>
      </c>
      <c r="Q11" s="11">
        <f t="shared" si="3"/>
        <v>-7.2355260427474661</v>
      </c>
      <c r="R11" s="7">
        <v>5545</v>
      </c>
      <c r="S11" s="11">
        <f t="shared" si="4"/>
        <v>178.97488864501969</v>
      </c>
      <c r="T11" s="13">
        <f t="shared" si="5"/>
        <v>5.2425608656447249</v>
      </c>
      <c r="U11" s="7">
        <v>5040</v>
      </c>
      <c r="V11" s="11">
        <f t="shared" si="6"/>
        <v>162.67510167193853</v>
      </c>
      <c r="W11" s="11">
        <f t="shared" si="7"/>
        <v>0.90892696122632999</v>
      </c>
      <c r="X11" s="11">
        <v>362.76</v>
      </c>
      <c r="Y11" s="11">
        <f t="shared" si="8"/>
        <v>190.74647402820776</v>
      </c>
      <c r="Z11" s="11">
        <f t="shared" si="9"/>
        <v>69.195190918472633</v>
      </c>
      <c r="AA11" s="7">
        <v>1971</v>
      </c>
      <c r="AB11" s="15">
        <f>IFERROR(AA11/1950,0)</f>
        <v>1.0107692307692309</v>
      </c>
      <c r="AC11" s="11">
        <v>0</v>
      </c>
      <c r="AD11" s="15">
        <f>IFERROR(AC11/63.5,0)</f>
        <v>0</v>
      </c>
      <c r="AE11" s="11">
        <v>13</v>
      </c>
      <c r="AF11" s="11">
        <v>20</v>
      </c>
      <c r="AG11" s="7">
        <f t="shared" si="10"/>
        <v>1960.7500000000011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37557</v>
      </c>
      <c r="G12" s="17">
        <f>SUM(G6:G11)</f>
        <v>93</v>
      </c>
      <c r="H12" s="18">
        <f t="shared" si="0"/>
        <v>2.4762361210959342E-3</v>
      </c>
      <c r="I12" s="18"/>
      <c r="J12" s="17">
        <f>SUM(J6:J11)</f>
        <v>202230</v>
      </c>
      <c r="K12" s="19">
        <f t="shared" si="1"/>
        <v>76.923076923076934</v>
      </c>
      <c r="L12" s="19"/>
      <c r="M12" s="19">
        <f>IFERROR(SUMPRODUCT($F6:$F11,M6:M11)/$F12, 0)</f>
        <v>80.316638709162078</v>
      </c>
      <c r="N12" s="19">
        <f t="shared" si="2"/>
        <v>-3.3935617860851437</v>
      </c>
      <c r="O12" s="19">
        <f>IFERROR(SUMPRODUCT($E6:$E11,O6:O11)/$E12, 0)</f>
        <v>314.17262201060493</v>
      </c>
      <c r="P12" s="19">
        <f>IFERROR(SUMPRODUCT($E6:$E11,P6:P11)/$E12, 0)</f>
        <v>44.434152148035928</v>
      </c>
      <c r="Q12" s="19">
        <f>IFERROR(SUMPRODUCT($E6:$E11,Q6:Q11)/$E12, 0)</f>
        <v>269.73846986256899</v>
      </c>
      <c r="R12" s="17">
        <f>SUM(R6:R11)</f>
        <v>36572</v>
      </c>
      <c r="S12" s="19">
        <f>IFERROR(R12/D12/$F12*1000,0)</f>
        <v>139.11045686746621</v>
      </c>
      <c r="T12" s="20">
        <f t="shared" si="5"/>
        <v>5.5296401618724706</v>
      </c>
      <c r="U12" s="17">
        <f>SUM(U6:U11)</f>
        <v>15120</v>
      </c>
      <c r="V12" s="19">
        <f>IFERROR(U12/D12/$F12*1000,0)</f>
        <v>57.51258087706686</v>
      </c>
      <c r="W12" s="19">
        <f t="shared" si="7"/>
        <v>0.41343104013999782</v>
      </c>
      <c r="X12" s="19">
        <f>IFERROR(SUMPRODUCT(R6:R11,X6:X11)/R12,0)</f>
        <v>367.55655774909764</v>
      </c>
      <c r="Y12" s="19">
        <f>IFERROR(($F12*S12)/($F12*K12)*100,0)</f>
        <v>180.84359392770602</v>
      </c>
      <c r="Z12" s="19">
        <f t="shared" si="9"/>
        <v>66.470248875043239</v>
      </c>
      <c r="AA12" s="17"/>
      <c r="AB12" s="21">
        <f>IFERROR(SUMPRODUCT($F6:$F11,AB6:AB11)/$F12,0)</f>
        <v>0.34606535781230247</v>
      </c>
      <c r="AC12" s="19"/>
      <c r="AD12" s="21">
        <f>AVERAGE(AD6:AD11)</f>
        <v>0</v>
      </c>
      <c r="AE12" s="19"/>
      <c r="AF12" s="19"/>
      <c r="AG12" s="17">
        <f>SUM(AG6:AG11)</f>
        <v>-8921.64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92</v>
      </c>
      <c r="C14" s="6"/>
      <c r="D14" s="6">
        <v>7</v>
      </c>
      <c r="E14" s="6">
        <v>21388</v>
      </c>
      <c r="F14" s="6">
        <v>15906</v>
      </c>
      <c r="G14" s="6">
        <v>90</v>
      </c>
      <c r="H14" s="8">
        <f t="shared" ref="H14:H31" si="12">IFERROR(G14/F14,0)</f>
        <v>5.6582421727649941E-3</v>
      </c>
      <c r="I14" s="8">
        <f>IFERROR((21388-F14)/21388,0)</f>
        <v>0.25631195062651957</v>
      </c>
      <c r="J14" s="6">
        <v>79850</v>
      </c>
      <c r="K14" s="10">
        <f t="shared" ref="K14:K31" si="13">IFERROR(J14/D14/F14*100,0)</f>
        <v>71.715974205600759</v>
      </c>
      <c r="L14" s="10">
        <f>K14-70.6337</f>
        <v>1.0822742056007542</v>
      </c>
      <c r="M14" s="10">
        <v>72.5</v>
      </c>
      <c r="N14" s="10">
        <f t="shared" ref="N14:N31" si="14">K14-M14</f>
        <v>-0.78402579439924125</v>
      </c>
      <c r="O14" s="10">
        <f>IFERROR(6135180/21388,0)</f>
        <v>286.8515055171124</v>
      </c>
      <c r="P14" s="10">
        <v>427</v>
      </c>
      <c r="Q14" s="10">
        <f t="shared" ref="Q14:Q30" si="15">IFERROR(O14-P14,0)</f>
        <v>-140.1484944828876</v>
      </c>
      <c r="R14" s="6">
        <v>11260</v>
      </c>
      <c r="S14" s="10">
        <f t="shared" ref="S14:S30" si="16">IFERROR(R14/D14/F14*1000,0)</f>
        <v>101.12985216719657</v>
      </c>
      <c r="T14" s="12">
        <f t="shared" ref="T14:T31" si="17">IFERROR(J14/R14,0)</f>
        <v>7.0914742451154531</v>
      </c>
      <c r="U14" s="6">
        <v>22400</v>
      </c>
      <c r="V14" s="10">
        <f t="shared" ref="V14:V30" si="18">IFERROR(U14/D14/F14*1000,0)</f>
        <v>201.18194392053312</v>
      </c>
      <c r="W14" s="10">
        <f t="shared" ref="W14:W31" si="19">IFERROR(V14/S14,0)</f>
        <v>1.9893428063943157</v>
      </c>
      <c r="X14" s="10">
        <v>297.52999999999997</v>
      </c>
      <c r="Y14" s="10">
        <f t="shared" ref="Y14:Y30" si="20">IFERROR((F14*S14)/(F14*K14)*100,0)</f>
        <v>141.01440200375706</v>
      </c>
      <c r="Z14" s="10">
        <f t="shared" ref="Z14:Z31" si="21">IFERROR(Y14*X14/1000,0)</f>
        <v>41.956015028177831</v>
      </c>
      <c r="AA14" s="6">
        <v>1980</v>
      </c>
      <c r="AB14" s="14">
        <f>IFERROR(AA14/1580,0)</f>
        <v>1.2531645569620253</v>
      </c>
      <c r="AC14" s="10">
        <v>0</v>
      </c>
      <c r="AD14" s="14">
        <f>IFERROR(AC14/63.7,0)</f>
        <v>0</v>
      </c>
      <c r="AE14" s="10">
        <v>20</v>
      </c>
      <c r="AF14" s="10">
        <v>25</v>
      </c>
      <c r="AG14" s="6">
        <f t="shared" ref="AG14:AG30" si="22">IF(M14=0,0,IFERROR(N14/100*7*F14,0))</f>
        <v>-872.95000000000312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52</v>
      </c>
      <c r="C15" s="7"/>
      <c r="D15" s="7">
        <v>7</v>
      </c>
      <c r="E15" s="7">
        <v>10225</v>
      </c>
      <c r="F15" s="7">
        <v>7900</v>
      </c>
      <c r="G15" s="7">
        <v>99</v>
      </c>
      <c r="H15" s="9">
        <f t="shared" si="12"/>
        <v>1.2531645569620253E-2</v>
      </c>
      <c r="I15" s="9">
        <f>IFERROR((10225-F15)/10225,0)</f>
        <v>0.22738386308068459</v>
      </c>
      <c r="J15" s="7">
        <v>41790</v>
      </c>
      <c r="K15" s="11">
        <f t="shared" si="13"/>
        <v>75.569620253164558</v>
      </c>
      <c r="L15" s="11">
        <f>K15-79.242</f>
        <v>-3.6723797468354462</v>
      </c>
      <c r="M15" s="11">
        <v>88</v>
      </c>
      <c r="N15" s="11">
        <f t="shared" si="14"/>
        <v>-12.430379746835442</v>
      </c>
      <c r="O15" s="11">
        <f>IFERROR(1771800/10225,0)</f>
        <v>173.28117359413204</v>
      </c>
      <c r="P15" s="11">
        <v>210</v>
      </c>
      <c r="Q15" s="11">
        <f t="shared" si="15"/>
        <v>-36.718826405867958</v>
      </c>
      <c r="R15" s="7">
        <v>7890</v>
      </c>
      <c r="S15" s="11">
        <f t="shared" si="16"/>
        <v>142.6763110307414</v>
      </c>
      <c r="T15" s="13">
        <f t="shared" si="17"/>
        <v>5.2965779467680605</v>
      </c>
      <c r="U15" s="7">
        <v>12460</v>
      </c>
      <c r="V15" s="11">
        <f t="shared" si="18"/>
        <v>225.31645569620255</v>
      </c>
      <c r="W15" s="11">
        <f t="shared" si="19"/>
        <v>1.5792141951837773</v>
      </c>
      <c r="X15" s="11">
        <v>294.05714285710002</v>
      </c>
      <c r="Y15" s="11">
        <f t="shared" si="20"/>
        <v>188.80114860014356</v>
      </c>
      <c r="Z15" s="11">
        <f t="shared" si="21"/>
        <v>55.518326325496986</v>
      </c>
      <c r="AA15" s="7">
        <v>1870</v>
      </c>
      <c r="AB15" s="15">
        <f>IFERROR(AA15/1950,0)</f>
        <v>0.95897435897435901</v>
      </c>
      <c r="AC15" s="11">
        <v>0</v>
      </c>
      <c r="AD15" s="15">
        <f>IFERROR(AC15/63.5,0)</f>
        <v>0</v>
      </c>
      <c r="AE15" s="11">
        <v>14</v>
      </c>
      <c r="AF15" s="11">
        <v>25</v>
      </c>
      <c r="AG15" s="7">
        <f t="shared" si="22"/>
        <v>-6873.9999999999991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81</v>
      </c>
      <c r="C16" s="7"/>
      <c r="D16" s="7">
        <v>7</v>
      </c>
      <c r="E16" s="7">
        <v>56050</v>
      </c>
      <c r="F16" s="7">
        <v>47769</v>
      </c>
      <c r="G16" s="7">
        <v>175</v>
      </c>
      <c r="H16" s="9">
        <f t="shared" si="12"/>
        <v>3.6634637526429276E-3</v>
      </c>
      <c r="I16" s="9">
        <f>IFERROR((56050-F16)/56050,0)</f>
        <v>0.14774308652988402</v>
      </c>
      <c r="J16" s="7">
        <v>285900</v>
      </c>
      <c r="K16" s="11">
        <f t="shared" si="13"/>
        <v>85.500758112703096</v>
      </c>
      <c r="L16" s="11">
        <f>K16-88.3352</f>
        <v>-2.8344418872969044</v>
      </c>
      <c r="M16" s="11">
        <v>84.95</v>
      </c>
      <c r="N16" s="11">
        <f t="shared" si="14"/>
        <v>0.55075811270309316</v>
      </c>
      <c r="O16" s="11">
        <f>IFERROR(20767381/56050,0)</f>
        <v>370.51527207850131</v>
      </c>
      <c r="P16" s="11">
        <v>377</v>
      </c>
      <c r="Q16" s="11">
        <f t="shared" si="15"/>
        <v>-6.4847279214986884</v>
      </c>
      <c r="R16" s="7">
        <v>38800</v>
      </c>
      <c r="S16" s="11">
        <f t="shared" si="16"/>
        <v>116.03460702248618</v>
      </c>
      <c r="T16" s="13">
        <f t="shared" si="17"/>
        <v>7.3685567010309274</v>
      </c>
      <c r="U16" s="7">
        <v>64000</v>
      </c>
      <c r="V16" s="11">
        <f t="shared" si="18"/>
        <v>191.39728993399785</v>
      </c>
      <c r="W16" s="11">
        <f t="shared" si="19"/>
        <v>1.6494845360824744</v>
      </c>
      <c r="X16" s="11">
        <v>309.43142857139998</v>
      </c>
      <c r="Y16" s="11">
        <f t="shared" si="20"/>
        <v>135.71178733823015</v>
      </c>
      <c r="Z16" s="11">
        <f t="shared" si="21"/>
        <v>41.993492230046584</v>
      </c>
      <c r="AA16" s="7">
        <v>1774</v>
      </c>
      <c r="AB16" s="15">
        <f>IFERROR(AA16/1725,0)</f>
        <v>1.0284057971014493</v>
      </c>
      <c r="AC16" s="11">
        <v>0</v>
      </c>
      <c r="AD16" s="15">
        <f>IFERROR(AC16/64.2,0)</f>
        <v>0</v>
      </c>
      <c r="AE16" s="11">
        <v>20</v>
      </c>
      <c r="AF16" s="11">
        <v>26</v>
      </c>
      <c r="AG16" s="7">
        <f t="shared" si="22"/>
        <v>1841.641499999984</v>
      </c>
      <c r="AH16" s="7">
        <v>42</v>
      </c>
      <c r="AI16" s="7">
        <v>11.4285714286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IFERROR(1690/F16,0)</f>
        <v>3.5378592811237411E-2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74</v>
      </c>
      <c r="C17" s="7"/>
      <c r="D17" s="7">
        <v>7</v>
      </c>
      <c r="E17" s="7">
        <v>51536</v>
      </c>
      <c r="F17" s="7">
        <v>49304</v>
      </c>
      <c r="G17" s="7">
        <v>533</v>
      </c>
      <c r="H17" s="9">
        <f t="shared" si="12"/>
        <v>1.081048190816161E-2</v>
      </c>
      <c r="I17" s="9">
        <f>IFERROR((51536-F17)/51536,0)</f>
        <v>4.3309531201490219E-2</v>
      </c>
      <c r="J17" s="7">
        <v>182020</v>
      </c>
      <c r="K17" s="11">
        <f t="shared" si="13"/>
        <v>52.739853040031527</v>
      </c>
      <c r="L17" s="11">
        <f>K17-85.1722</f>
        <v>-32.432346959968477</v>
      </c>
      <c r="M17" s="11">
        <v>87.1</v>
      </c>
      <c r="N17" s="11">
        <f t="shared" si="14"/>
        <v>-34.360146959968468</v>
      </c>
      <c r="O17" s="11">
        <f>IFERROR(16612442/51536,0)</f>
        <v>322.34635982614094</v>
      </c>
      <c r="P17" s="11">
        <v>338</v>
      </c>
      <c r="Q17" s="11">
        <f t="shared" si="15"/>
        <v>-15.65364017385906</v>
      </c>
      <c r="R17" s="7">
        <v>10680</v>
      </c>
      <c r="S17" s="11">
        <f t="shared" si="16"/>
        <v>30.945040680559099</v>
      </c>
      <c r="T17" s="13">
        <f t="shared" si="17"/>
        <v>17.04307116104869</v>
      </c>
      <c r="U17" s="7">
        <v>34501</v>
      </c>
      <c r="V17" s="11">
        <f t="shared" si="18"/>
        <v>99.965809786513987</v>
      </c>
      <c r="W17" s="11">
        <f t="shared" si="19"/>
        <v>3.2304307116104867</v>
      </c>
      <c r="X17" s="11">
        <v>295.08666666670001</v>
      </c>
      <c r="Y17" s="11">
        <f t="shared" si="20"/>
        <v>58.67487089330843</v>
      </c>
      <c r="Z17" s="11">
        <f t="shared" si="21"/>
        <v>17.314172069005362</v>
      </c>
      <c r="AA17" s="7">
        <v>0</v>
      </c>
      <c r="AB17" s="15">
        <f>IFERROR(AA17/1725,0)</f>
        <v>0</v>
      </c>
      <c r="AC17" s="11">
        <v>0</v>
      </c>
      <c r="AD17" s="15">
        <f>IFERROR(AC17/63.85,0)</f>
        <v>0</v>
      </c>
      <c r="AE17" s="11">
        <v>21</v>
      </c>
      <c r="AF17" s="11">
        <v>26</v>
      </c>
      <c r="AG17" s="7">
        <f t="shared" si="22"/>
        <v>-118586.48799999998</v>
      </c>
      <c r="AH17" s="7">
        <v>24</v>
      </c>
      <c r="AI17" s="7">
        <v>21.666666666699999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IFERROR(200/F17,0)</f>
        <v>4.0564660068148628E-3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21</v>
      </c>
      <c r="C18" s="7"/>
      <c r="D18" s="7">
        <v>7</v>
      </c>
      <c r="E18" s="7">
        <v>49067</v>
      </c>
      <c r="F18" s="7">
        <v>48833</v>
      </c>
      <c r="G18" s="7">
        <v>84</v>
      </c>
      <c r="H18" s="9">
        <f t="shared" si="12"/>
        <v>1.7201482603976818E-3</v>
      </c>
      <c r="I18" s="9">
        <f>IFERROR((49067-F18)/49067,0)</f>
        <v>4.7689893411050196E-3</v>
      </c>
      <c r="J18" s="7">
        <v>241940</v>
      </c>
      <c r="K18" s="11">
        <f t="shared" si="13"/>
        <v>70.777664986499175</v>
      </c>
      <c r="L18" s="11">
        <f>K18-44.9449</f>
        <v>25.832764986499178</v>
      </c>
      <c r="M18" s="11">
        <v>71.55</v>
      </c>
      <c r="N18" s="11">
        <f t="shared" si="14"/>
        <v>-0.77233501350082179</v>
      </c>
      <c r="O18" s="11">
        <f>IFERROR(447140/49067,0)</f>
        <v>9.1128457007764894</v>
      </c>
      <c r="P18" s="11">
        <v>53</v>
      </c>
      <c r="Q18" s="11">
        <f t="shared" si="15"/>
        <v>-43.887154299223511</v>
      </c>
      <c r="R18" s="7">
        <v>33990</v>
      </c>
      <c r="S18" s="11">
        <f t="shared" si="16"/>
        <v>99.43510097094763</v>
      </c>
      <c r="T18" s="13">
        <f t="shared" si="17"/>
        <v>7.1179758752574287</v>
      </c>
      <c r="U18" s="7">
        <v>65650</v>
      </c>
      <c r="V18" s="11">
        <f t="shared" si="18"/>
        <v>192.05396818895889</v>
      </c>
      <c r="W18" s="11">
        <f t="shared" si="19"/>
        <v>1.9314504265960579</v>
      </c>
      <c r="X18" s="11">
        <v>307.7642857143</v>
      </c>
      <c r="Y18" s="11">
        <f t="shared" si="20"/>
        <v>140.4893775316194</v>
      </c>
      <c r="Z18" s="11">
        <f t="shared" si="21"/>
        <v>43.237612926465474</v>
      </c>
      <c r="AA18" s="7">
        <v>1402</v>
      </c>
      <c r="AB18" s="15">
        <f>IFERROR(AA18/1415,0)</f>
        <v>0.99081272084805649</v>
      </c>
      <c r="AC18" s="11">
        <v>0</v>
      </c>
      <c r="AD18" s="15">
        <f>IFERROR(AC18/47.95,0)</f>
        <v>0</v>
      </c>
      <c r="AE18" s="11">
        <v>22</v>
      </c>
      <c r="AF18" s="11">
        <v>26</v>
      </c>
      <c r="AG18" s="7">
        <f t="shared" si="22"/>
        <v>-2640.0804999999941</v>
      </c>
      <c r="AH18" s="7">
        <v>7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IFERROR(0/F18,0)</f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53</v>
      </c>
      <c r="C19" s="7"/>
      <c r="D19" s="7">
        <v>7</v>
      </c>
      <c r="E19" s="7">
        <v>52424</v>
      </c>
      <c r="F19" s="7">
        <v>46602</v>
      </c>
      <c r="G19" s="7">
        <v>363</v>
      </c>
      <c r="H19" s="9">
        <f t="shared" si="12"/>
        <v>7.7893652632934213E-3</v>
      </c>
      <c r="I19" s="9">
        <f>IFERROR((52424-F19)/52424,0)</f>
        <v>0.11105600488325958</v>
      </c>
      <c r="J19" s="7">
        <v>291580</v>
      </c>
      <c r="K19" s="11">
        <f t="shared" si="13"/>
        <v>89.383043033100975</v>
      </c>
      <c r="L19" s="11">
        <f>K19-90.0002</f>
        <v>-0.61715696689903154</v>
      </c>
      <c r="M19" s="11">
        <v>93.2</v>
      </c>
      <c r="N19" s="11">
        <f t="shared" si="14"/>
        <v>-3.8169569668990277</v>
      </c>
      <c r="O19" s="11">
        <f>IFERROR(10417260/52424,0)</f>
        <v>198.71165878223715</v>
      </c>
      <c r="P19" s="11">
        <v>214</v>
      </c>
      <c r="Q19" s="11">
        <f t="shared" si="15"/>
        <v>-15.288341217762849</v>
      </c>
      <c r="R19" s="7">
        <v>36778</v>
      </c>
      <c r="S19" s="11">
        <f t="shared" si="16"/>
        <v>112.74194240590532</v>
      </c>
      <c r="T19" s="13">
        <f t="shared" si="17"/>
        <v>7.9281091957148293</v>
      </c>
      <c r="U19" s="7">
        <v>56798</v>
      </c>
      <c r="V19" s="11">
        <f t="shared" si="18"/>
        <v>174.11269902579286</v>
      </c>
      <c r="W19" s="11">
        <f t="shared" si="19"/>
        <v>1.5443471640654738</v>
      </c>
      <c r="X19" s="11">
        <v>296.17714285710002</v>
      </c>
      <c r="Y19" s="11">
        <f t="shared" si="20"/>
        <v>126.13347966252829</v>
      </c>
      <c r="Z19" s="11">
        <f t="shared" si="21"/>
        <v>37.357853625071762</v>
      </c>
      <c r="AA19" s="7">
        <v>1707</v>
      </c>
      <c r="AB19" s="15">
        <f>IFERROR(AA19/1675,0)</f>
        <v>1.0191044776119402</v>
      </c>
      <c r="AC19" s="11">
        <v>61.12</v>
      </c>
      <c r="AD19" s="15">
        <f>IFERROR(AC19/62.85,0)</f>
        <v>0.97247414478918048</v>
      </c>
      <c r="AE19" s="11">
        <v>22</v>
      </c>
      <c r="AF19" s="11">
        <v>26</v>
      </c>
      <c r="AG19" s="7">
        <f t="shared" si="22"/>
        <v>-12451.447999999997</v>
      </c>
      <c r="AH19" s="7">
        <v>35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IFERROR(1450/F19,0)</f>
        <v>3.1114544440152783E-2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43</v>
      </c>
      <c r="C20" s="7"/>
      <c r="D20" s="7">
        <v>7</v>
      </c>
      <c r="E20" s="7">
        <v>50525</v>
      </c>
      <c r="F20" s="7">
        <v>48027</v>
      </c>
      <c r="G20" s="7">
        <v>159</v>
      </c>
      <c r="H20" s="9">
        <f t="shared" si="12"/>
        <v>3.3106377662564805E-3</v>
      </c>
      <c r="I20" s="9">
        <f>IFERROR((50525-F20)/50525,0)</f>
        <v>4.9440870856011877E-2</v>
      </c>
      <c r="J20" s="7">
        <v>300840</v>
      </c>
      <c r="K20" s="11">
        <f t="shared" si="13"/>
        <v>89.485378760161694</v>
      </c>
      <c r="L20" s="11">
        <f>K20-92.3445</f>
        <v>-2.8591212398383021</v>
      </c>
      <c r="M20" s="11">
        <v>92.5</v>
      </c>
      <c r="N20" s="11">
        <f t="shared" si="14"/>
        <v>-3.0146212398383057</v>
      </c>
      <c r="O20" s="11">
        <f>IFERROR(7083770/50525,0)</f>
        <v>140.20326571004452</v>
      </c>
      <c r="P20" s="11">
        <v>152</v>
      </c>
      <c r="Q20" s="11">
        <f t="shared" si="15"/>
        <v>-11.796734289955481</v>
      </c>
      <c r="R20" s="7">
        <v>39748</v>
      </c>
      <c r="S20" s="11">
        <f t="shared" si="16"/>
        <v>118.2311140459682</v>
      </c>
      <c r="T20" s="13">
        <f t="shared" si="17"/>
        <v>7.5686827010164031</v>
      </c>
      <c r="U20" s="7">
        <v>71804</v>
      </c>
      <c r="V20" s="11">
        <f t="shared" si="18"/>
        <v>213.58224094185115</v>
      </c>
      <c r="W20" s="11">
        <f t="shared" si="19"/>
        <v>1.8064808292241117</v>
      </c>
      <c r="X20" s="11">
        <v>299.67142857139999</v>
      </c>
      <c r="Y20" s="11">
        <f t="shared" si="20"/>
        <v>132.12338784736073</v>
      </c>
      <c r="Z20" s="11">
        <f t="shared" si="21"/>
        <v>39.593604383911739</v>
      </c>
      <c r="AA20" s="7">
        <v>1695</v>
      </c>
      <c r="AB20" s="15">
        <f>IFERROR(AA20/1580,0)</f>
        <v>1.0727848101265822</v>
      </c>
      <c r="AC20" s="11">
        <v>60.63</v>
      </c>
      <c r="AD20" s="15">
        <f>IFERROR(AC20/61.5,0)</f>
        <v>0.98585365853658535</v>
      </c>
      <c r="AE20" s="11">
        <v>22</v>
      </c>
      <c r="AF20" s="11">
        <v>27</v>
      </c>
      <c r="AG20" s="7">
        <f t="shared" si="22"/>
        <v>-10134.825000000003</v>
      </c>
      <c r="AH20" s="7">
        <v>36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IFERROR(980/F20,0)</f>
        <v>2.040518874799592E-2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62</v>
      </c>
      <c r="C21" s="7"/>
      <c r="D21" s="7">
        <v>7</v>
      </c>
      <c r="E21" s="7">
        <v>50845</v>
      </c>
      <c r="F21" s="7">
        <v>47725</v>
      </c>
      <c r="G21" s="7">
        <v>113</v>
      </c>
      <c r="H21" s="9">
        <f t="shared" si="12"/>
        <v>2.3677317967522264E-3</v>
      </c>
      <c r="I21" s="9">
        <f>IFERROR((50845-F21)/50845,0)</f>
        <v>6.1362965876684036E-2</v>
      </c>
      <c r="J21" s="7">
        <v>305940</v>
      </c>
      <c r="K21" s="11">
        <f t="shared" si="13"/>
        <v>91.578238419516566</v>
      </c>
      <c r="L21" s="11">
        <f>K21-90.1256</f>
        <v>1.4526384195165605</v>
      </c>
      <c r="M21" s="11">
        <v>90.75</v>
      </c>
      <c r="N21" s="11">
        <f t="shared" si="14"/>
        <v>0.82823841951656618</v>
      </c>
      <c r="O21" s="11">
        <f>IFERROR(13434430/50845,0)</f>
        <v>264.22322745599371</v>
      </c>
      <c r="P21" s="11">
        <v>269</v>
      </c>
      <c r="Q21" s="11">
        <f t="shared" si="15"/>
        <v>-4.7767725440062918</v>
      </c>
      <c r="R21" s="7">
        <v>40081</v>
      </c>
      <c r="S21" s="11">
        <f t="shared" si="16"/>
        <v>119.97605328144878</v>
      </c>
      <c r="T21" s="13">
        <f t="shared" si="17"/>
        <v>7.6330430877473114</v>
      </c>
      <c r="U21" s="7">
        <v>69100</v>
      </c>
      <c r="V21" s="11">
        <f t="shared" si="18"/>
        <v>206.8397814861932</v>
      </c>
      <c r="W21" s="11">
        <f t="shared" si="19"/>
        <v>1.7240088820139217</v>
      </c>
      <c r="X21" s="11">
        <v>300.69857142860002</v>
      </c>
      <c r="Y21" s="11">
        <f t="shared" si="20"/>
        <v>131.00934823821669</v>
      </c>
      <c r="Z21" s="11">
        <f t="shared" si="21"/>
        <v>39.394323859023736</v>
      </c>
      <c r="AA21" s="7">
        <v>1721</v>
      </c>
      <c r="AB21" s="15">
        <f>IFERROR(AA21/1725,0)</f>
        <v>0.9976811594202899</v>
      </c>
      <c r="AC21" s="11">
        <v>61.42</v>
      </c>
      <c r="AD21" s="15">
        <f>IFERROR(AC21/63.3,0)</f>
        <v>0.97030015797788316</v>
      </c>
      <c r="AE21" s="11">
        <v>21</v>
      </c>
      <c r="AF21" s="11">
        <v>25</v>
      </c>
      <c r="AG21" s="7">
        <f t="shared" si="22"/>
        <v>2766.9374999999682</v>
      </c>
      <c r="AH21" s="7">
        <v>36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IFERROR(1400/F21,0)</f>
        <v>2.9334730225248823E-2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29</v>
      </c>
      <c r="C22" s="7"/>
      <c r="D22" s="7">
        <v>7</v>
      </c>
      <c r="E22" s="7">
        <v>21024</v>
      </c>
      <c r="F22" s="7">
        <v>20466</v>
      </c>
      <c r="G22" s="7">
        <v>31</v>
      </c>
      <c r="H22" s="9">
        <f t="shared" si="12"/>
        <v>1.5147073194566598E-3</v>
      </c>
      <c r="I22" s="9">
        <f>IFERROR((21024-F22)/21024,0)</f>
        <v>2.6541095890410957E-2</v>
      </c>
      <c r="J22" s="7">
        <v>83850</v>
      </c>
      <c r="K22" s="11">
        <f t="shared" si="13"/>
        <v>58.529128449972781</v>
      </c>
      <c r="L22" s="11">
        <f>K22-59.1515</f>
        <v>-0.62237155002721778</v>
      </c>
      <c r="M22" s="11">
        <v>95.5</v>
      </c>
      <c r="N22" s="11">
        <f t="shared" si="14"/>
        <v>-36.970871550027219</v>
      </c>
      <c r="O22" s="11">
        <f>IFERROR(736470/21024,0)</f>
        <v>35.029965753424655</v>
      </c>
      <c r="P22" s="11">
        <v>65</v>
      </c>
      <c r="Q22" s="11">
        <f t="shared" si="15"/>
        <v>-29.970034246575345</v>
      </c>
      <c r="R22" s="7">
        <v>17830</v>
      </c>
      <c r="S22" s="11">
        <f t="shared" si="16"/>
        <v>124.45728804567855</v>
      </c>
      <c r="T22" s="13">
        <f t="shared" si="17"/>
        <v>4.7027481772293891</v>
      </c>
      <c r="U22" s="7">
        <v>21660</v>
      </c>
      <c r="V22" s="11">
        <f t="shared" si="18"/>
        <v>151.1915232231855</v>
      </c>
      <c r="W22" s="11">
        <f t="shared" si="19"/>
        <v>1.2148065058889512</v>
      </c>
      <c r="X22" s="11">
        <v>297.52999999999997</v>
      </c>
      <c r="Y22" s="11">
        <f t="shared" si="20"/>
        <v>212.64162194394754</v>
      </c>
      <c r="Z22" s="11">
        <f t="shared" si="21"/>
        <v>63.267261776982707</v>
      </c>
      <c r="AA22" s="7">
        <v>1730</v>
      </c>
      <c r="AB22" s="15">
        <f>IFERROR(AA22/1900,0)</f>
        <v>0.91052631578947374</v>
      </c>
      <c r="AC22" s="11">
        <v>0</v>
      </c>
      <c r="AD22" s="15">
        <f>IFERROR(AC22/60.5,0)</f>
        <v>0</v>
      </c>
      <c r="AE22" s="11">
        <v>20</v>
      </c>
      <c r="AF22" s="11">
        <v>26</v>
      </c>
      <c r="AG22" s="7">
        <f t="shared" si="22"/>
        <v>-52965.209999999992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53</v>
      </c>
      <c r="C23" s="7"/>
      <c r="D23" s="7">
        <v>7</v>
      </c>
      <c r="E23" s="7">
        <v>21875</v>
      </c>
      <c r="F23" s="7">
        <v>20745</v>
      </c>
      <c r="G23" s="7">
        <v>50</v>
      </c>
      <c r="H23" s="9">
        <f t="shared" si="12"/>
        <v>2.4102193299590262E-3</v>
      </c>
      <c r="I23" s="9">
        <f>IFERROR((21875-F23)/21875,0)</f>
        <v>5.165714285714286E-2</v>
      </c>
      <c r="J23" s="7">
        <v>136800</v>
      </c>
      <c r="K23" s="11">
        <f t="shared" si="13"/>
        <v>94.205144096684222</v>
      </c>
      <c r="L23" s="11">
        <f>K23-86.9302</f>
        <v>7.2749440966842229</v>
      </c>
      <c r="M23" s="11">
        <v>87.5</v>
      </c>
      <c r="N23" s="11">
        <f t="shared" si="14"/>
        <v>6.7051440966842222</v>
      </c>
      <c r="O23" s="11">
        <f>IFERROR(4707330/21875,0)</f>
        <v>215.19222857142856</v>
      </c>
      <c r="P23" s="11">
        <v>216</v>
      </c>
      <c r="Q23" s="11">
        <f t="shared" si="15"/>
        <v>-0.80777142857144213</v>
      </c>
      <c r="R23" s="7">
        <v>18290</v>
      </c>
      <c r="S23" s="11">
        <f t="shared" si="16"/>
        <v>125.95117584271595</v>
      </c>
      <c r="T23" s="13">
        <f t="shared" si="17"/>
        <v>7.4794969928922912</v>
      </c>
      <c r="U23" s="7">
        <v>28398</v>
      </c>
      <c r="V23" s="11">
        <f t="shared" si="18"/>
        <v>195.55831009193264</v>
      </c>
      <c r="W23" s="11">
        <f t="shared" si="19"/>
        <v>1.5526517222525971</v>
      </c>
      <c r="X23" s="11">
        <v>293.77428571429999</v>
      </c>
      <c r="Y23" s="11">
        <f t="shared" si="20"/>
        <v>133.6988304093567</v>
      </c>
      <c r="Z23" s="11">
        <f t="shared" si="21"/>
        <v>39.277278404346099</v>
      </c>
      <c r="AA23" s="7">
        <v>2107</v>
      </c>
      <c r="AB23" s="15">
        <f>IFERROR(AA23/1950,0)</f>
        <v>1.0805128205128205</v>
      </c>
      <c r="AC23" s="11">
        <v>65.010000000000005</v>
      </c>
      <c r="AD23" s="15">
        <f>IFERROR(AC23/63.5,0)</f>
        <v>1.0237795275590551</v>
      </c>
      <c r="AE23" s="11">
        <v>22</v>
      </c>
      <c r="AF23" s="11">
        <v>26</v>
      </c>
      <c r="AG23" s="7">
        <f t="shared" si="22"/>
        <v>9736.8749999999927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IFERROR(595/F23,0)</f>
        <v>2.8681610026512414E-2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112</v>
      </c>
      <c r="C24" s="7">
        <v>45</v>
      </c>
      <c r="D24" s="7">
        <v>7</v>
      </c>
      <c r="E24" s="7">
        <v>51833</v>
      </c>
      <c r="F24" s="7">
        <v>28177</v>
      </c>
      <c r="G24" s="7">
        <v>160</v>
      </c>
      <c r="H24" s="9">
        <f t="shared" si="12"/>
        <v>5.6783901763849945E-3</v>
      </c>
      <c r="I24" s="9">
        <f>IFERROR((51833-F24)/51833,0)</f>
        <v>0.45638878706615477</v>
      </c>
      <c r="J24" s="7">
        <v>100840</v>
      </c>
      <c r="K24" s="11">
        <f t="shared" si="13"/>
        <v>51.125791552380619</v>
      </c>
      <c r="L24" s="11">
        <f>K24-61.4542</f>
        <v>-10.328408447619381</v>
      </c>
      <c r="M24" s="11">
        <v>68</v>
      </c>
      <c r="N24" s="11">
        <f t="shared" si="14"/>
        <v>-16.874208447619381</v>
      </c>
      <c r="O24" s="11">
        <f>IFERROR(22120688/51833,0)</f>
        <v>426.76842937896708</v>
      </c>
      <c r="P24" s="11">
        <v>0</v>
      </c>
      <c r="Q24" s="11">
        <f t="shared" si="15"/>
        <v>426.76842937896708</v>
      </c>
      <c r="R24" s="7">
        <v>22986</v>
      </c>
      <c r="S24" s="11">
        <f t="shared" si="16"/>
        <v>116.53881838784419</v>
      </c>
      <c r="T24" s="13">
        <f t="shared" si="17"/>
        <v>4.3870181849821632</v>
      </c>
      <c r="U24" s="7">
        <v>40348</v>
      </c>
      <c r="V24" s="11">
        <f t="shared" si="18"/>
        <v>204.56400610426945</v>
      </c>
      <c r="W24" s="11">
        <f t="shared" si="19"/>
        <v>1.7553293308970679</v>
      </c>
      <c r="X24" s="11">
        <v>292.26571428570003</v>
      </c>
      <c r="Y24" s="11">
        <f t="shared" si="20"/>
        <v>227.9452598175327</v>
      </c>
      <c r="Z24" s="11">
        <f t="shared" si="21"/>
        <v>66.62058417861067</v>
      </c>
      <c r="AA24" s="7">
        <v>1809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19</v>
      </c>
      <c r="AF24" s="11">
        <v>25</v>
      </c>
      <c r="AG24" s="7">
        <f t="shared" si="22"/>
        <v>-33282.519999999997</v>
      </c>
      <c r="AH24" s="7">
        <v>30</v>
      </c>
      <c r="AI24" s="7">
        <v>23.333333333300001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IFERROR(600/F24,0)</f>
        <v>2.1293963161443729E-2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110</v>
      </c>
      <c r="C25" s="7">
        <v>44</v>
      </c>
      <c r="D25" s="7">
        <v>7</v>
      </c>
      <c r="E25" s="7">
        <v>21623</v>
      </c>
      <c r="F25" s="7">
        <v>17367</v>
      </c>
      <c r="G25" s="7">
        <v>53</v>
      </c>
      <c r="H25" s="9">
        <f t="shared" si="12"/>
        <v>3.0517648413658088E-3</v>
      </c>
      <c r="I25" s="9">
        <f>IFERROR((21623-F25)/21623,0)</f>
        <v>0.19682745224991907</v>
      </c>
      <c r="J25" s="7">
        <v>75240</v>
      </c>
      <c r="K25" s="11">
        <f t="shared" si="13"/>
        <v>61.890778076647834</v>
      </c>
      <c r="L25" s="11">
        <f>K25-60.6692</f>
        <v>1.2215780766478375</v>
      </c>
      <c r="M25" s="11">
        <v>66</v>
      </c>
      <c r="N25" s="11">
        <f t="shared" si="14"/>
        <v>-4.1092219233521661</v>
      </c>
      <c r="O25" s="11">
        <f>IFERROR(9509555/21623,0)</f>
        <v>439.78888220875922</v>
      </c>
      <c r="P25" s="11">
        <v>0</v>
      </c>
      <c r="Q25" s="11">
        <f t="shared" si="15"/>
        <v>439.78888220875922</v>
      </c>
      <c r="R25" s="7">
        <v>15162</v>
      </c>
      <c r="S25" s="11">
        <f t="shared" si="16"/>
        <v>124.71929521506304</v>
      </c>
      <c r="T25" s="13">
        <f t="shared" si="17"/>
        <v>4.9624060150375939</v>
      </c>
      <c r="U25" s="7">
        <v>20175</v>
      </c>
      <c r="V25" s="11">
        <f t="shared" si="18"/>
        <v>165.95513658909755</v>
      </c>
      <c r="W25" s="11">
        <f t="shared" si="19"/>
        <v>1.3306292045904236</v>
      </c>
      <c r="X25" s="11">
        <v>285.92714285710002</v>
      </c>
      <c r="Y25" s="11">
        <f t="shared" si="20"/>
        <v>201.5151515151515</v>
      </c>
      <c r="Z25" s="11">
        <f t="shared" si="21"/>
        <v>57.618651515142886</v>
      </c>
      <c r="AA25" s="7">
        <v>2127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19</v>
      </c>
      <c r="AF25" s="11">
        <v>26</v>
      </c>
      <c r="AG25" s="7">
        <f t="shared" si="22"/>
        <v>-4995.5399999999945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IFERROR(240/F25,0)</f>
        <v>1.3819312489203662E-2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68</v>
      </c>
      <c r="B26" s="5">
        <v>43</v>
      </c>
      <c r="C26" s="7"/>
      <c r="D26" s="7">
        <v>7</v>
      </c>
      <c r="E26" s="7">
        <v>21339</v>
      </c>
      <c r="F26" s="7">
        <v>20615</v>
      </c>
      <c r="G26" s="7">
        <v>34</v>
      </c>
      <c r="H26" s="9">
        <f t="shared" si="12"/>
        <v>1.6492845015765218E-3</v>
      </c>
      <c r="I26" s="9">
        <f>IFERROR((21339-F26)/21339,0)</f>
        <v>3.3928487745442618E-2</v>
      </c>
      <c r="J26" s="7">
        <v>127620</v>
      </c>
      <c r="K26" s="11">
        <f t="shared" si="13"/>
        <v>88.437684071930988</v>
      </c>
      <c r="L26" s="11">
        <f>K26-89.7795</f>
        <v>-1.3418159280690105</v>
      </c>
      <c r="M26" s="11">
        <v>91</v>
      </c>
      <c r="N26" s="11">
        <f t="shared" si="14"/>
        <v>-2.5623159280690118</v>
      </c>
      <c r="O26" s="11">
        <f>IFERROR(3131510/21339,0)</f>
        <v>146.75055063498758</v>
      </c>
      <c r="P26" s="11">
        <v>155</v>
      </c>
      <c r="Q26" s="11">
        <f t="shared" si="15"/>
        <v>-8.2494493650124241</v>
      </c>
      <c r="R26" s="7">
        <v>18110</v>
      </c>
      <c r="S26" s="11">
        <f t="shared" si="16"/>
        <v>125.4980769897093</v>
      </c>
      <c r="T26" s="13">
        <f t="shared" si="17"/>
        <v>7.0469353948094975</v>
      </c>
      <c r="U26" s="7">
        <v>36151</v>
      </c>
      <c r="V26" s="11">
        <f t="shared" si="18"/>
        <v>250.5180000692977</v>
      </c>
      <c r="W26" s="11">
        <f t="shared" si="19"/>
        <v>1.9961899503036997</v>
      </c>
      <c r="X26" s="11">
        <v>285.89857142860001</v>
      </c>
      <c r="Y26" s="11">
        <f t="shared" si="20"/>
        <v>141.90565742046701</v>
      </c>
      <c r="Z26" s="11">
        <f t="shared" si="21"/>
        <v>40.570624734147827</v>
      </c>
      <c r="AA26" s="7">
        <v>1880</v>
      </c>
      <c r="AB26" s="15">
        <f>IFERROR(AA26/1940,0)</f>
        <v>0.96907216494845361</v>
      </c>
      <c r="AC26" s="11">
        <v>64.03</v>
      </c>
      <c r="AD26" s="15">
        <f>IFERROR(AC26/62.8,0)</f>
        <v>1.0195859872611466</v>
      </c>
      <c r="AE26" s="11">
        <v>22</v>
      </c>
      <c r="AF26" s="11">
        <v>27</v>
      </c>
      <c r="AG26" s="7">
        <f t="shared" si="22"/>
        <v>-3697.5499999999874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IFERROR(490/F26,0)</f>
        <v>2.3769100169779286E-2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69</v>
      </c>
      <c r="B27" s="5">
        <v>30</v>
      </c>
      <c r="C27" s="7"/>
      <c r="D27" s="7">
        <v>7</v>
      </c>
      <c r="E27" s="7">
        <v>64976</v>
      </c>
      <c r="F27" s="7">
        <v>63606</v>
      </c>
      <c r="G27" s="7">
        <v>128</v>
      </c>
      <c r="H27" s="9">
        <f t="shared" si="12"/>
        <v>2.0123887683551867E-3</v>
      </c>
      <c r="I27" s="9">
        <f>IFERROR((64976-F27)/64976,0)</f>
        <v>2.1084708199950751E-2</v>
      </c>
      <c r="J27" s="7">
        <v>425860</v>
      </c>
      <c r="K27" s="11">
        <f t="shared" si="13"/>
        <v>95.64686170666738</v>
      </c>
      <c r="L27" s="11">
        <f>K27-93.294</f>
        <v>2.3528617066673831</v>
      </c>
      <c r="M27" s="11">
        <v>96</v>
      </c>
      <c r="N27" s="11">
        <f t="shared" si="14"/>
        <v>-0.35313829333261992</v>
      </c>
      <c r="O27" s="11">
        <f>IFERROR(4418000/64976,0)</f>
        <v>67.99433637035213</v>
      </c>
      <c r="P27" s="11">
        <v>67</v>
      </c>
      <c r="Q27" s="11">
        <f t="shared" si="15"/>
        <v>0.99433637035212996</v>
      </c>
      <c r="R27" s="7">
        <v>52950</v>
      </c>
      <c r="S27" s="11">
        <f t="shared" si="16"/>
        <v>118.9240907192044</v>
      </c>
      <c r="T27" s="13">
        <f t="shared" si="17"/>
        <v>8.0426817752596786</v>
      </c>
      <c r="U27" s="7">
        <v>98810</v>
      </c>
      <c r="V27" s="11">
        <f t="shared" si="18"/>
        <v>221.92425692095534</v>
      </c>
      <c r="W27" s="11">
        <f t="shared" si="19"/>
        <v>1.8661000944287061</v>
      </c>
      <c r="X27" s="11">
        <v>294.7042857143</v>
      </c>
      <c r="Y27" s="11">
        <f t="shared" si="20"/>
        <v>124.33663645329453</v>
      </c>
      <c r="Z27" s="11">
        <f t="shared" si="21"/>
        <v>36.642539634086759</v>
      </c>
      <c r="AA27" s="7">
        <v>1608</v>
      </c>
      <c r="AB27" s="15">
        <f>IFERROR(AA27/1530,0)</f>
        <v>1.0509803921568628</v>
      </c>
      <c r="AC27" s="11">
        <v>0</v>
      </c>
      <c r="AD27" s="15">
        <f>IFERROR(AC27/57.6,0)</f>
        <v>0</v>
      </c>
      <c r="AE27" s="11">
        <v>21</v>
      </c>
      <c r="AF27" s="11">
        <v>25</v>
      </c>
      <c r="AG27" s="7">
        <f t="shared" si="22"/>
        <v>-1572.3200000000236</v>
      </c>
      <c r="AH27" s="7">
        <v>17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101</v>
      </c>
      <c r="C28" s="7">
        <v>29</v>
      </c>
      <c r="D28" s="7">
        <v>7</v>
      </c>
      <c r="E28" s="7">
        <v>47224</v>
      </c>
      <c r="F28" s="7">
        <v>41431</v>
      </c>
      <c r="G28" s="7">
        <v>194</v>
      </c>
      <c r="H28" s="9">
        <f t="shared" si="12"/>
        <v>4.682484130240641E-3</v>
      </c>
      <c r="I28" s="9">
        <f>IFERROR((47224-F28)/47224,0)</f>
        <v>0.12267067592749449</v>
      </c>
      <c r="J28" s="7">
        <v>183660</v>
      </c>
      <c r="K28" s="11">
        <f t="shared" si="13"/>
        <v>63.327322191457746</v>
      </c>
      <c r="L28" s="11">
        <f>K28-61.4534</f>
        <v>1.8739221914577442</v>
      </c>
      <c r="M28" s="11">
        <v>73</v>
      </c>
      <c r="N28" s="11">
        <f t="shared" si="14"/>
        <v>-9.6726778085422538</v>
      </c>
      <c r="O28" s="11">
        <f>IFERROR(17949860/47224,0)</f>
        <v>380.10037269185159</v>
      </c>
      <c r="P28" s="11">
        <v>0</v>
      </c>
      <c r="Q28" s="11">
        <f t="shared" si="15"/>
        <v>380.10037269185159</v>
      </c>
      <c r="R28" s="7">
        <v>33900</v>
      </c>
      <c r="S28" s="11">
        <f t="shared" si="16"/>
        <v>116.88969956933559</v>
      </c>
      <c r="T28" s="13">
        <f t="shared" si="17"/>
        <v>5.4176991150442477</v>
      </c>
      <c r="U28" s="7">
        <v>58300</v>
      </c>
      <c r="V28" s="11">
        <f t="shared" si="18"/>
        <v>201.02269866938838</v>
      </c>
      <c r="W28" s="11">
        <f t="shared" si="19"/>
        <v>1.7197640117994102</v>
      </c>
      <c r="X28" s="11">
        <v>292.58571428570002</v>
      </c>
      <c r="Y28" s="11">
        <f t="shared" si="20"/>
        <v>184.58020254818686</v>
      </c>
      <c r="Z28" s="11">
        <f t="shared" si="21"/>
        <v>54.005530405560442</v>
      </c>
      <c r="AA28" s="7">
        <v>1578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15</v>
      </c>
      <c r="AF28" s="11">
        <v>26</v>
      </c>
      <c r="AG28" s="7">
        <f t="shared" si="22"/>
        <v>-28052.409999999993</v>
      </c>
      <c r="AH28" s="7">
        <v>27</v>
      </c>
      <c r="AI28" s="7">
        <v>24.444444444399998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IFERROR(920/F28,0)</f>
        <v>2.2205594844440152E-2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21</v>
      </c>
      <c r="C29" s="7"/>
      <c r="D29" s="7">
        <v>7</v>
      </c>
      <c r="E29" s="7">
        <v>24546</v>
      </c>
      <c r="F29" s="7">
        <v>24474</v>
      </c>
      <c r="G29" s="7">
        <v>26</v>
      </c>
      <c r="H29" s="9">
        <f t="shared" si="12"/>
        <v>1.0623518836316091E-3</v>
      </c>
      <c r="I29" s="9">
        <f>IFERROR((24546-F29)/24546,0)</f>
        <v>2.9332681495966755E-3</v>
      </c>
      <c r="J29" s="7">
        <v>100400</v>
      </c>
      <c r="K29" s="11">
        <f t="shared" si="13"/>
        <v>58.604466547589865</v>
      </c>
      <c r="L29" s="11">
        <f>K29-42.4373</f>
        <v>16.167166547589865</v>
      </c>
      <c r="M29" s="11">
        <v>63.5</v>
      </c>
      <c r="N29" s="11">
        <f t="shared" si="14"/>
        <v>-4.8955334524101346</v>
      </c>
      <c r="O29" s="11">
        <f>IFERROR(196220/24546,0)</f>
        <v>7.9939705043591625</v>
      </c>
      <c r="P29" s="11">
        <v>9</v>
      </c>
      <c r="Q29" s="11">
        <f t="shared" si="15"/>
        <v>-1.0060294956408375</v>
      </c>
      <c r="R29" s="7">
        <v>17560</v>
      </c>
      <c r="S29" s="11">
        <f t="shared" si="16"/>
        <v>102.49944547566513</v>
      </c>
      <c r="T29" s="13">
        <f t="shared" si="17"/>
        <v>5.7175398633257402</v>
      </c>
      <c r="U29" s="7">
        <v>27700</v>
      </c>
      <c r="V29" s="11">
        <f t="shared" si="18"/>
        <v>161.68762184942622</v>
      </c>
      <c r="W29" s="11">
        <f t="shared" si="19"/>
        <v>1.5774487471526197</v>
      </c>
      <c r="X29" s="11">
        <v>314.45571428570003</v>
      </c>
      <c r="Y29" s="11">
        <f t="shared" si="20"/>
        <v>174.90039840637448</v>
      </c>
      <c r="Z29" s="11">
        <f t="shared" si="21"/>
        <v>54.998429709729997</v>
      </c>
      <c r="AA29" s="7">
        <v>1382</v>
      </c>
      <c r="AB29" s="15">
        <f>IFERROR(AA29/1425,0)</f>
        <v>0.96982456140350881</v>
      </c>
      <c r="AC29" s="11">
        <v>0</v>
      </c>
      <c r="AD29" s="15">
        <f>IFERROR(AC29/48,0)</f>
        <v>0</v>
      </c>
      <c r="AE29" s="11">
        <v>15</v>
      </c>
      <c r="AF29" s="11">
        <v>26</v>
      </c>
      <c r="AG29" s="7">
        <f t="shared" si="22"/>
        <v>-8386.9299999999948</v>
      </c>
      <c r="AH29" s="7">
        <v>25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IFERROR(0/F29,0)</f>
        <v>0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21</v>
      </c>
      <c r="C30" s="7"/>
      <c r="D30" s="7">
        <v>7</v>
      </c>
      <c r="E30" s="7">
        <v>12056</v>
      </c>
      <c r="F30" s="7">
        <v>11990</v>
      </c>
      <c r="G30" s="7">
        <v>18</v>
      </c>
      <c r="H30" s="9">
        <f t="shared" si="12"/>
        <v>1.5012510425354462E-3</v>
      </c>
      <c r="I30" s="9">
        <f>IFERROR((12056-F30)/12056,0)</f>
        <v>5.4744525547445258E-3</v>
      </c>
      <c r="J30" s="7">
        <v>68910</v>
      </c>
      <c r="K30" s="11">
        <f t="shared" si="13"/>
        <v>82.104134397712386</v>
      </c>
      <c r="L30" s="11">
        <f>K30-70.1675</f>
        <v>11.936634397712382</v>
      </c>
      <c r="M30" s="11">
        <v>80.5</v>
      </c>
      <c r="N30" s="11">
        <f t="shared" si="14"/>
        <v>1.6041343977123859</v>
      </c>
      <c r="O30" s="11">
        <f>IFERROR(176470/12056,0)</f>
        <v>14.637524883875249</v>
      </c>
      <c r="P30" s="11">
        <v>13</v>
      </c>
      <c r="Q30" s="11">
        <f t="shared" si="15"/>
        <v>1.6375248838752494</v>
      </c>
      <c r="R30" s="7">
        <v>10050</v>
      </c>
      <c r="S30" s="11">
        <f t="shared" si="16"/>
        <v>119.7426426784225</v>
      </c>
      <c r="T30" s="13">
        <f t="shared" si="17"/>
        <v>6.8567164179104481</v>
      </c>
      <c r="U30" s="7">
        <v>13500</v>
      </c>
      <c r="V30" s="11">
        <f t="shared" si="18"/>
        <v>160.84832598594068</v>
      </c>
      <c r="W30" s="11">
        <f t="shared" si="19"/>
        <v>1.3432835820895523</v>
      </c>
      <c r="X30" s="11">
        <v>291.46571428570002</v>
      </c>
      <c r="Y30" s="11">
        <f t="shared" si="20"/>
        <v>145.84240313452327</v>
      </c>
      <c r="Z30" s="11">
        <f t="shared" si="21"/>
        <v>42.50806020274684</v>
      </c>
      <c r="AA30" s="7">
        <v>1708</v>
      </c>
      <c r="AB30" s="15">
        <f>IFERROR(AA30/1720,0)</f>
        <v>0.99302325581395345</v>
      </c>
      <c r="AC30" s="11">
        <v>0</v>
      </c>
      <c r="AD30" s="15">
        <f>IFERROR(AC30/52.55,0)</f>
        <v>0</v>
      </c>
      <c r="AE30" s="11">
        <v>15</v>
      </c>
      <c r="AF30" s="11">
        <v>26</v>
      </c>
      <c r="AG30" s="7">
        <f t="shared" si="22"/>
        <v>1346.3500000000054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IFERROR(0/F30,0)</f>
        <v>0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628556</v>
      </c>
      <c r="F31" s="17">
        <f>SUM(F14:F30)</f>
        <v>560937</v>
      </c>
      <c r="G31" s="17">
        <f>SUM(G14:G30)</f>
        <v>2310</v>
      </c>
      <c r="H31" s="18">
        <f t="shared" si="12"/>
        <v>4.1181095203204638E-3</v>
      </c>
      <c r="I31" s="18"/>
      <c r="J31" s="17">
        <f>SUM(J14:J30)</f>
        <v>3033040</v>
      </c>
      <c r="K31" s="19">
        <f t="shared" si="13"/>
        <v>77.244223249924431</v>
      </c>
      <c r="L31" s="19"/>
      <c r="M31" s="19">
        <f>IFERROR(SUMPRODUCT($F14:$F30,M14:M30)/$F31, 0)</f>
        <v>84.090433061110247</v>
      </c>
      <c r="N31" s="19">
        <f t="shared" si="14"/>
        <v>-6.8462098111858154</v>
      </c>
      <c r="O31" s="19">
        <f>IFERROR(SUMPRODUCT($E14:$E30,O14:O30)/$E31, 0)</f>
        <v>222.12102978891301</v>
      </c>
      <c r="P31" s="19">
        <f>IFERROR(SUMPRODUCT($E14:$E30,P14:P30)/$E31, 0)</f>
        <v>157.72099065158872</v>
      </c>
      <c r="Q31" s="19">
        <f>IFERROR(SUMPRODUCT($E14:$E30,Q14:Q30)/$E31, 0)</f>
        <v>64.400039137324285</v>
      </c>
      <c r="R31" s="17">
        <f>SUM(R14:R30)</f>
        <v>426065</v>
      </c>
      <c r="S31" s="19">
        <f>IFERROR(R31/D31/$F31*1000,0)</f>
        <v>108.50849305969933</v>
      </c>
      <c r="T31" s="20">
        <f t="shared" si="17"/>
        <v>7.1187260159834764</v>
      </c>
      <c r="U31" s="17">
        <f>SUM(U14:U30)</f>
        <v>741755</v>
      </c>
      <c r="V31" s="19">
        <f>IFERROR(U31/D31/$F31*1000,0)</f>
        <v>188.90713217348829</v>
      </c>
      <c r="W31" s="19">
        <f t="shared" si="19"/>
        <v>1.7409432833018439</v>
      </c>
      <c r="X31" s="19">
        <f>IFERROR(SUMPRODUCT(R14:R30,X14:X30)/R31,0)</f>
        <v>298.14323232034769</v>
      </c>
      <c r="Y31" s="19">
        <f>IFERROR(($F31*S31)/($F31*K31)*100,0)</f>
        <v>140.47457336533643</v>
      </c>
      <c r="Z31" s="19">
        <f t="shared" si="21"/>
        <v>41.881543361963224</v>
      </c>
      <c r="AA31" s="17"/>
      <c r="AB31" s="21">
        <f>IFERROR(SUMPRODUCT($F14:$F30,AB14:AB30)/$F31,0)</f>
        <v>0.77578457111980204</v>
      </c>
      <c r="AC31" s="19"/>
      <c r="AD31" s="21">
        <f>AVERAGE(AD14:AD30)</f>
        <v>0.29247020447787359</v>
      </c>
      <c r="AE31" s="19"/>
      <c r="AF31" s="19"/>
      <c r="AG31" s="17">
        <f>SUM(AG14:AG30)</f>
        <v>-268820.46750000009</v>
      </c>
      <c r="AH31" s="17">
        <f>SUM(AH14:AH30)</f>
        <v>279</v>
      </c>
      <c r="AI31" s="17">
        <f>IFERROR(SUMPRODUCT(AH14:AH30,AI14:AI30)/AH31, 0)</f>
        <v>19.641577060931183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674761</v>
      </c>
      <c r="F33" s="23">
        <f>F12+F31</f>
        <v>598494</v>
      </c>
      <c r="G33" s="23">
        <f>G12+G31</f>
        <v>2403</v>
      </c>
      <c r="H33" s="24">
        <f>IFERROR(G33/F33,0)</f>
        <v>4.0150778453919341E-3</v>
      </c>
      <c r="I33" s="23"/>
      <c r="J33" s="23">
        <f>J12+J31</f>
        <v>3235270</v>
      </c>
      <c r="K33" s="25">
        <f>IFERROR(J33/D33/F33*100,0)</f>
        <v>77.224070512223776</v>
      </c>
      <c r="L33" s="23"/>
      <c r="M33" s="25">
        <f>IFERROR($F$12/$F33*M$12,0)+IFERROR($F$31/$F33*M$31,0)</f>
        <v>83.853617997841241</v>
      </c>
      <c r="N33" s="25">
        <f>K33-M33</f>
        <v>-6.629547485617465</v>
      </c>
      <c r="O33" s="23">
        <f>IFERROR($E$12/$E33*O$12,0)+IFERROR($E$31/$E33*O$31,0)</f>
        <v>228.42436358947836</v>
      </c>
      <c r="P33" s="23">
        <f>IFERROR($E$12/$E33*P$12,0)+IFERROR($E$31/$E33*P$31,0)</f>
        <v>149.96355005698314</v>
      </c>
      <c r="Q33" s="23">
        <f>IFERROR($E$12/$E33*Q$12,0)+IFERROR($E$31/$E33*Q$31,0)</f>
        <v>78.460813532495209</v>
      </c>
      <c r="R33" s="23">
        <f>R12+R31</f>
        <v>462637</v>
      </c>
      <c r="S33" s="25">
        <f>IFERROR(R33/D33/$F33*1000,0)</f>
        <v>110.42884306275417</v>
      </c>
      <c r="T33" s="26">
        <f>IFERROR(J33/R33,0)</f>
        <v>6.9931069067108771</v>
      </c>
      <c r="U33" s="23">
        <f>U12+U31</f>
        <v>756875</v>
      </c>
      <c r="V33" s="25">
        <f>IFERROR(U33/D33/$F33*1000,0)</f>
        <v>180.66179443737113</v>
      </c>
      <c r="W33" s="25">
        <f>IFERROR(V33/S33,0)</f>
        <v>1.6360018762009958</v>
      </c>
      <c r="X33" s="25">
        <f>IFERROR($F$12/$F33*X$12,0)+IFERROR($F$31/$F33*X$31,0)</f>
        <v>302.49909263494993</v>
      </c>
      <c r="Y33" s="25">
        <f>IFERROR(($F33*S33)/($F33*K33)*100,0)</f>
        <v>142.99795689386045</v>
      </c>
      <c r="Z33" s="25">
        <f>IFERROR(Y33*X33/1000,0)</f>
        <v>43.256752209044471</v>
      </c>
      <c r="AA33" s="23"/>
      <c r="AB33" s="27"/>
      <c r="AC33" s="23"/>
      <c r="AD33" s="27"/>
      <c r="AE33" s="23"/>
      <c r="AF33" s="23"/>
      <c r="AG33" s="23">
        <f>AG12+AG31</f>
        <v>-277742.1075000001</v>
      </c>
      <c r="AH33" s="23">
        <f>AH12+AH31</f>
        <v>279</v>
      </c>
      <c r="AI33" s="23">
        <f>IFERROR(AH$12/AH33*AI$12,0)+IFERROR(AH$31/AH33*AI$31,0)</f>
        <v>19.641577060931183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69</v>
      </c>
      <c r="T36" s="32" t="s">
        <v>61</v>
      </c>
      <c r="U36" s="32" t="s">
        <v>70</v>
      </c>
      <c r="V36" s="32" t="s">
        <v>71</v>
      </c>
      <c r="W36" s="32" t="s">
        <v>72</v>
      </c>
      <c r="X36" s="32" t="s">
        <v>62</v>
      </c>
      <c r="Y36" s="32" t="s">
        <v>66</v>
      </c>
      <c r="Z36" s="32" t="s">
        <v>67</v>
      </c>
      <c r="AA36" s="32" t="s">
        <v>81</v>
      </c>
      <c r="AB36" s="32" t="s">
        <v>63</v>
      </c>
      <c r="AC36" s="32" t="s">
        <v>68</v>
      </c>
      <c r="AD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/>
      <c r="T37" s="8">
        <v>2.5000000000000001E-3</v>
      </c>
      <c r="U37" s="8">
        <v>5.3E-3</v>
      </c>
      <c r="V37" s="8">
        <v>6.3E-3</v>
      </c>
      <c r="W37" s="8">
        <v>2.7000000000000001E-3</v>
      </c>
      <c r="X37" s="8">
        <v>1.5E-3</v>
      </c>
      <c r="Y37" s="8">
        <v>1.4E-3</v>
      </c>
      <c r="Z37" s="8">
        <v>2.8E-3</v>
      </c>
      <c r="AA37" s="8">
        <v>1.6999999999999999E-3</v>
      </c>
      <c r="AB37" s="8"/>
      <c r="AC37" s="8"/>
      <c r="AD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/>
      <c r="T38" s="9">
        <v>2.5000000000000001E-3</v>
      </c>
      <c r="U38" s="9">
        <v>5.7999999999999996E-3</v>
      </c>
      <c r="V38" s="9">
        <v>3.5999999999999999E-3</v>
      </c>
      <c r="W38" s="9">
        <v>2.3E-3</v>
      </c>
      <c r="X38" s="9">
        <v>1.5E-3</v>
      </c>
      <c r="Y38" s="9">
        <v>1E-3</v>
      </c>
      <c r="Z38" s="9">
        <v>3.0000000000000001E-3</v>
      </c>
      <c r="AA38" s="9">
        <v>1.8E-3</v>
      </c>
      <c r="AB38" s="9"/>
      <c r="AC38" s="9"/>
      <c r="AD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/>
      <c r="T39" s="9">
        <v>2.5000000000000001E-3</v>
      </c>
      <c r="U39" s="9">
        <v>5.4999999999999997E-3</v>
      </c>
      <c r="V39" s="9">
        <v>3.5000000000000001E-3</v>
      </c>
      <c r="W39" s="9">
        <v>2.5000000000000001E-3</v>
      </c>
      <c r="X39" s="9">
        <v>1.6999999999999999E-3</v>
      </c>
      <c r="Y39" s="9">
        <v>6.9999999999999999E-4</v>
      </c>
      <c r="Z39" s="9">
        <v>2.8E-3</v>
      </c>
      <c r="AA39" s="9">
        <v>1.4E-3</v>
      </c>
      <c r="AB39" s="9"/>
      <c r="AC39" s="9"/>
      <c r="AD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/>
      <c r="T40" s="9">
        <v>2.5999999999999999E-3</v>
      </c>
      <c r="U40" s="9">
        <v>3.2000000000000002E-3</v>
      </c>
      <c r="V40" s="9">
        <v>3.7000000000000002E-3</v>
      </c>
      <c r="W40" s="9">
        <v>2.5000000000000001E-3</v>
      </c>
      <c r="X40" s="9">
        <v>1.6000000000000001E-3</v>
      </c>
      <c r="Y40" s="9">
        <v>8.9999999999999998E-4</v>
      </c>
      <c r="Z40" s="9">
        <v>3.5000000000000001E-3</v>
      </c>
      <c r="AA40" s="9">
        <v>1.6000000000000001E-3</v>
      </c>
      <c r="AB40" s="9"/>
      <c r="AC40" s="9"/>
      <c r="AD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/>
      <c r="T41" s="9">
        <v>2.3E-3</v>
      </c>
      <c r="U41" s="9">
        <v>2.2000000000000001E-3</v>
      </c>
      <c r="V41" s="9">
        <v>4.4000000000000003E-3</v>
      </c>
      <c r="W41" s="9">
        <v>2.3E-3</v>
      </c>
      <c r="X41" s="9">
        <v>1.6000000000000001E-3</v>
      </c>
      <c r="Y41" s="9">
        <v>8.9999999999999998E-4</v>
      </c>
      <c r="Z41" s="9">
        <v>3.0999999999999999E-3</v>
      </c>
      <c r="AA41" s="9">
        <v>1.5E-3</v>
      </c>
      <c r="AB41" s="9"/>
      <c r="AC41" s="9"/>
      <c r="AD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/>
      <c r="T42" s="9">
        <v>1.6999999999999999E-3</v>
      </c>
      <c r="U42" s="9">
        <v>3.0000000000000001E-3</v>
      </c>
      <c r="V42" s="9">
        <v>3.5999999999999999E-3</v>
      </c>
      <c r="W42" s="9">
        <v>1.8E-3</v>
      </c>
      <c r="X42" s="9">
        <v>8.9999999999999998E-4</v>
      </c>
      <c r="Y42" s="9">
        <v>5.9999999999999995E-4</v>
      </c>
      <c r="Z42" s="9">
        <v>1.6999999999999999E-3</v>
      </c>
      <c r="AA42" s="9">
        <v>1E-3</v>
      </c>
      <c r="AB42" s="9">
        <v>0</v>
      </c>
      <c r="AC42" s="9">
        <v>0</v>
      </c>
      <c r="AD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/>
      <c r="T43" s="9">
        <v>1.9E-3</v>
      </c>
      <c r="U43" s="9">
        <v>4.3E-3</v>
      </c>
      <c r="V43" s="9">
        <v>4.1999999999999997E-3</v>
      </c>
      <c r="W43" s="9">
        <v>4.4000000000000003E-3</v>
      </c>
      <c r="X43" s="9">
        <v>1.1000000000000001E-3</v>
      </c>
      <c r="Y43" s="9">
        <v>5.0000000000000001E-4</v>
      </c>
      <c r="Z43" s="9">
        <v>2.0999999999999999E-3</v>
      </c>
      <c r="AA43" s="9">
        <v>1.1999999999999999E-3</v>
      </c>
      <c r="AB43" s="9">
        <v>8.9999999999999998E-4</v>
      </c>
      <c r="AC43" s="9">
        <v>8.0000000000000004E-4</v>
      </c>
      <c r="AD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/>
      <c r="T44" s="9">
        <v>1.9E-3</v>
      </c>
      <c r="U44" s="9">
        <v>3.0999999999999999E-3</v>
      </c>
      <c r="V44" s="9">
        <v>3.2000000000000002E-3</v>
      </c>
      <c r="W44" s="9">
        <v>2.3E-3</v>
      </c>
      <c r="X44" s="9">
        <v>1.1000000000000001E-3</v>
      </c>
      <c r="Y44" s="9">
        <v>5.0000000000000001E-4</v>
      </c>
      <c r="Z44" s="9">
        <v>2.8E-3</v>
      </c>
      <c r="AA44" s="9">
        <v>1.2999999999999999E-3</v>
      </c>
      <c r="AB44" s="9">
        <v>1.1999999999999999E-3</v>
      </c>
      <c r="AC44" s="9">
        <v>6.9999999999999999E-4</v>
      </c>
      <c r="AD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/>
      <c r="T45" s="9">
        <v>2.5000000000000001E-3</v>
      </c>
      <c r="U45" s="9">
        <v>3.0999999999999999E-3</v>
      </c>
      <c r="V45" s="9">
        <v>4.5999999999999999E-3</v>
      </c>
      <c r="W45" s="9">
        <v>2.8E-3</v>
      </c>
      <c r="X45" s="9">
        <v>1.6999999999999999E-3</v>
      </c>
      <c r="Y45" s="9">
        <v>1E-3</v>
      </c>
      <c r="Z45" s="9">
        <v>3.5999999999999999E-3</v>
      </c>
      <c r="AA45" s="9">
        <v>1.6000000000000001E-3</v>
      </c>
      <c r="AB45" s="9">
        <v>2.3E-3</v>
      </c>
      <c r="AC45" s="9">
        <v>1.1999999999999999E-3</v>
      </c>
      <c r="AD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/>
      <c r="T46" s="9">
        <v>2.5000000000000001E-3</v>
      </c>
      <c r="U46" s="9">
        <v>2.5999999999999999E-3</v>
      </c>
      <c r="V46" s="9">
        <v>3.3999999999999998E-3</v>
      </c>
      <c r="W46" s="9">
        <v>2.5000000000000001E-3</v>
      </c>
      <c r="X46" s="9">
        <v>2E-3</v>
      </c>
      <c r="Y46" s="9">
        <v>1E-3</v>
      </c>
      <c r="Z46" s="9">
        <v>3.5000000000000001E-3</v>
      </c>
      <c r="AA46" s="9">
        <v>1.6999999999999999E-3</v>
      </c>
      <c r="AB46" s="9">
        <v>1.6999999999999999E-3</v>
      </c>
      <c r="AC46" s="9">
        <v>1.6000000000000001E-3</v>
      </c>
      <c r="AD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/>
      <c r="T47" s="9">
        <v>3.0000000000000001E-3</v>
      </c>
      <c r="U47" s="9">
        <v>2.3E-3</v>
      </c>
      <c r="V47" s="9">
        <v>3.0999999999999999E-3</v>
      </c>
      <c r="W47" s="9">
        <v>2.8E-3</v>
      </c>
      <c r="X47" s="9">
        <v>1.9E-3</v>
      </c>
      <c r="Y47" s="9">
        <v>8.9999999999999998E-4</v>
      </c>
      <c r="Z47" s="9">
        <v>3.5000000000000001E-3</v>
      </c>
      <c r="AA47" s="9">
        <v>1.5E-3</v>
      </c>
      <c r="AB47" s="9">
        <v>1.1000000000000001E-3</v>
      </c>
      <c r="AC47" s="9">
        <v>1.1999999999999999E-3</v>
      </c>
      <c r="AD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/>
      <c r="T48" s="9">
        <v>3.3999999999999998E-3</v>
      </c>
      <c r="U48" s="9">
        <v>2.5000000000000001E-3</v>
      </c>
      <c r="V48" s="9">
        <v>3.0999999999999999E-3</v>
      </c>
      <c r="W48" s="9">
        <v>3.2000000000000002E-3</v>
      </c>
      <c r="X48" s="9">
        <v>1.5E-3</v>
      </c>
      <c r="Y48" s="9">
        <v>8.0000000000000004E-4</v>
      </c>
      <c r="Z48" s="9">
        <v>3.8999999999999998E-3</v>
      </c>
      <c r="AA48" s="9">
        <v>3.5999999999999999E-3</v>
      </c>
      <c r="AB48" s="9">
        <v>1.1000000000000001E-3</v>
      </c>
      <c r="AC48" s="9">
        <v>1E-3</v>
      </c>
      <c r="AD48" s="9">
        <v>8.9999999999999998E-4</v>
      </c>
    </row>
    <row r="49" spans="2:30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>
        <v>5.3E-3</v>
      </c>
      <c r="P49" s="9">
        <v>2.5000000000000001E-3</v>
      </c>
      <c r="Q49" s="9">
        <v>3.8E-3</v>
      </c>
      <c r="R49" s="9">
        <v>3.0000000000000001E-3</v>
      </c>
      <c r="S49" s="9"/>
      <c r="T49" s="9">
        <v>3.5999999999999999E-3</v>
      </c>
      <c r="U49" s="9">
        <v>2.5000000000000001E-3</v>
      </c>
      <c r="V49" s="9">
        <v>3.5000000000000001E-3</v>
      </c>
      <c r="W49" s="9">
        <v>3.0999999999999999E-3</v>
      </c>
      <c r="X49" s="9">
        <v>2E-3</v>
      </c>
      <c r="Y49" s="9">
        <v>1.1000000000000001E-3</v>
      </c>
      <c r="Z49" s="9">
        <v>3.7000000000000002E-3</v>
      </c>
      <c r="AA49" s="9">
        <v>1.8E-3</v>
      </c>
      <c r="AB49" s="9">
        <v>1.6999999999999999E-3</v>
      </c>
      <c r="AC49" s="9">
        <v>8.9999999999999998E-4</v>
      </c>
      <c r="AD49" s="9">
        <v>1E-3</v>
      </c>
    </row>
    <row r="50" spans="2:30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>
        <v>3.8999999999999998E-3</v>
      </c>
      <c r="P50" s="9">
        <v>2.5000000000000001E-3</v>
      </c>
      <c r="Q50" s="9">
        <v>-1</v>
      </c>
      <c r="R50" s="9">
        <v>2.8E-3</v>
      </c>
      <c r="S50" s="9"/>
      <c r="T50" s="9">
        <v>3.5999999999999999E-3</v>
      </c>
      <c r="U50" s="9">
        <v>2.0999999999999999E-3</v>
      </c>
      <c r="V50" s="9">
        <v>3.2000000000000002E-3</v>
      </c>
      <c r="W50" s="9">
        <v>3.2000000000000002E-3</v>
      </c>
      <c r="X50" s="9">
        <v>2.3999999999999998E-3</v>
      </c>
      <c r="Y50" s="9">
        <v>1.1999999999999999E-3</v>
      </c>
      <c r="Z50" s="9">
        <v>4.7999999999999996E-3</v>
      </c>
      <c r="AA50" s="9">
        <v>1.6999999999999999E-3</v>
      </c>
      <c r="AB50" s="9">
        <v>1.6999999999999999E-3</v>
      </c>
      <c r="AC50" s="9">
        <v>1.1000000000000001E-3</v>
      </c>
      <c r="AD50" s="9">
        <v>1.1000000000000001E-3</v>
      </c>
    </row>
    <row r="51" spans="2:30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>
        <v>5.3E-3</v>
      </c>
      <c r="P51" s="9">
        <v>2.5000000000000001E-3</v>
      </c>
      <c r="Q51" s="9"/>
      <c r="R51" s="9">
        <v>2.5000000000000001E-3</v>
      </c>
      <c r="S51" s="9"/>
      <c r="T51" s="9">
        <v>3.7000000000000002E-3</v>
      </c>
      <c r="U51" s="9">
        <v>2.5999999999999999E-3</v>
      </c>
      <c r="V51" s="9">
        <v>2.8999999999999998E-3</v>
      </c>
      <c r="W51" s="9">
        <v>3.5999999999999999E-3</v>
      </c>
      <c r="X51" s="9">
        <v>2.5999999999999999E-3</v>
      </c>
      <c r="Y51" s="9">
        <v>8.0000000000000004E-4</v>
      </c>
      <c r="Z51" s="9">
        <v>3.7000000000000002E-3</v>
      </c>
      <c r="AA51" s="9">
        <v>1.9E-3</v>
      </c>
      <c r="AB51" s="9">
        <v>1.4E-3</v>
      </c>
      <c r="AC51" s="9">
        <v>8.9999999999999998E-4</v>
      </c>
      <c r="AD51" s="9">
        <v>1.4E-3</v>
      </c>
    </row>
    <row r="52" spans="2:30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>
        <v>5.0000000000000001E-3</v>
      </c>
      <c r="P52" s="9">
        <v>2.5000000000000001E-3</v>
      </c>
      <c r="Q52" s="9"/>
      <c r="R52" s="9">
        <v>2.8E-3</v>
      </c>
      <c r="S52" s="9"/>
      <c r="T52" s="9">
        <v>4.0000000000000001E-3</v>
      </c>
      <c r="U52" s="9">
        <v>2.3E-3</v>
      </c>
      <c r="V52" s="9">
        <v>3.0999999999999999E-3</v>
      </c>
      <c r="W52" s="9">
        <v>3.5999999999999999E-3</v>
      </c>
      <c r="X52" s="9">
        <v>3.3999999999999998E-3</v>
      </c>
      <c r="Y52" s="9">
        <v>1.1999999999999999E-3</v>
      </c>
      <c r="Z52" s="9">
        <v>4.3E-3</v>
      </c>
      <c r="AA52" s="9">
        <v>2.2000000000000001E-3</v>
      </c>
      <c r="AB52" s="9">
        <v>1.6000000000000001E-3</v>
      </c>
      <c r="AC52" s="9">
        <v>1.2999999999999999E-3</v>
      </c>
      <c r="AD52" s="9">
        <v>1.2999999999999999E-3</v>
      </c>
    </row>
    <row r="53" spans="2:30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>
        <v>8.2000000000000007E-3</v>
      </c>
      <c r="P53" s="9">
        <v>3.0999999999999999E-3</v>
      </c>
      <c r="Q53" s="9"/>
      <c r="R53" s="9">
        <v>2.8E-3</v>
      </c>
      <c r="S53" s="9"/>
      <c r="T53" s="9">
        <v>3.8999999999999998E-3</v>
      </c>
      <c r="U53" s="9">
        <v>2.8999999999999998E-3</v>
      </c>
      <c r="V53" s="9">
        <v>3.5999999999999999E-3</v>
      </c>
      <c r="W53" s="9">
        <v>2.7000000000000001E-3</v>
      </c>
      <c r="X53" s="9">
        <v>3.3E-3</v>
      </c>
      <c r="Y53" s="9">
        <v>8.9999999999999998E-4</v>
      </c>
      <c r="Z53" s="9">
        <v>4.1999999999999997E-3</v>
      </c>
      <c r="AA53" s="9">
        <v>2E-3</v>
      </c>
      <c r="AB53" s="9">
        <v>2.2000000000000001E-3</v>
      </c>
      <c r="AC53" s="9">
        <v>8.9999999999999998E-4</v>
      </c>
      <c r="AD53" s="9">
        <v>1.2999999999999999E-3</v>
      </c>
    </row>
    <row r="54" spans="2:30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>
        <v>4.8999999999999998E-3</v>
      </c>
      <c r="P54" s="9">
        <v>4.1999999999999997E-3</v>
      </c>
      <c r="Q54" s="9"/>
      <c r="R54" s="9">
        <v>3.0000000000000001E-3</v>
      </c>
      <c r="S54" s="9"/>
      <c r="T54" s="9">
        <v>4.1999999999999997E-3</v>
      </c>
      <c r="U54" s="9">
        <v>2.0999999999999999E-3</v>
      </c>
      <c r="V54" s="9">
        <v>3.3E-3</v>
      </c>
      <c r="W54" s="9">
        <v>3.7000000000000002E-3</v>
      </c>
      <c r="X54" s="9">
        <v>4.1999999999999997E-3</v>
      </c>
      <c r="Y54" s="9">
        <v>9.1999999999999998E-3</v>
      </c>
      <c r="Z54" s="9">
        <v>9.4000000000000004E-3</v>
      </c>
      <c r="AA54" s="9">
        <v>1.9E-3</v>
      </c>
      <c r="AB54" s="9">
        <v>1.8E-3</v>
      </c>
      <c r="AC54" s="9">
        <v>1.6000000000000001E-3</v>
      </c>
      <c r="AD54" s="9">
        <v>1.8E-3</v>
      </c>
    </row>
    <row r="55" spans="2:30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>
        <v>5.1999999999999998E-3</v>
      </c>
      <c r="P55" s="9">
        <v>3.2000000000000002E-3</v>
      </c>
      <c r="Q55" s="9"/>
      <c r="R55" s="9">
        <v>2.5999999999999999E-3</v>
      </c>
      <c r="S55" s="9">
        <v>1.1999999999999999E-3</v>
      </c>
      <c r="T55" s="9">
        <v>3.8999999999999998E-3</v>
      </c>
      <c r="U55" s="9">
        <v>3.3999999999999998E-3</v>
      </c>
      <c r="V55" s="9">
        <v>4.1000000000000003E-3</v>
      </c>
      <c r="W55" s="9">
        <v>3.5000000000000001E-3</v>
      </c>
      <c r="X55" s="9">
        <v>4.4999999999999997E-3</v>
      </c>
      <c r="Y55" s="9">
        <v>2E-3</v>
      </c>
      <c r="Z55" s="9">
        <v>4.8999999999999998E-3</v>
      </c>
      <c r="AA55" s="9">
        <v>3.0000000000000001E-3</v>
      </c>
      <c r="AB55" s="9">
        <v>1.9E-3</v>
      </c>
      <c r="AC55" s="9">
        <v>1E-3</v>
      </c>
      <c r="AD55" s="9">
        <v>2E-3</v>
      </c>
    </row>
    <row r="56" spans="2:30" x14ac:dyDescent="0.3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>
        <v>4.4000000000000003E-3</v>
      </c>
      <c r="P56" s="9">
        <v>3.5999999999999999E-3</v>
      </c>
      <c r="Q56" s="9"/>
      <c r="R56" s="9">
        <v>2.7000000000000001E-3</v>
      </c>
      <c r="S56" s="9">
        <v>1.1999999999999999E-3</v>
      </c>
      <c r="T56" s="9">
        <v>3.8E-3</v>
      </c>
      <c r="U56" s="9">
        <v>2.8E-3</v>
      </c>
      <c r="V56" s="9">
        <v>4.0000000000000001E-3</v>
      </c>
      <c r="W56" s="9">
        <v>2.3E-3</v>
      </c>
      <c r="X56" s="9">
        <v>4.3E-3</v>
      </c>
      <c r="Y56" s="9">
        <v>1.1999999999999999E-3</v>
      </c>
      <c r="Z56" s="9">
        <v>4.0000000000000001E-3</v>
      </c>
      <c r="AA56" s="9">
        <v>2.5000000000000001E-3</v>
      </c>
      <c r="AB56" s="9">
        <v>1.9E-3</v>
      </c>
      <c r="AC56" s="9">
        <v>1.4E-3</v>
      </c>
      <c r="AD56" s="9">
        <v>1.8E-3</v>
      </c>
    </row>
    <row r="57" spans="2:30" x14ac:dyDescent="0.3">
      <c r="B57" s="5">
        <v>202521</v>
      </c>
      <c r="C57" s="5"/>
      <c r="D57" s="9">
        <v>3.8E-3</v>
      </c>
      <c r="E57" s="9">
        <v>2.0999999999999999E-3</v>
      </c>
      <c r="F57" s="9">
        <v>3.8999999999999998E-3</v>
      </c>
      <c r="G57" s="9">
        <v>2.8999999999999998E-3</v>
      </c>
      <c r="H57" s="9">
        <v>1.9E-3</v>
      </c>
      <c r="I57" s="9">
        <v>2.8999999999999998E-3</v>
      </c>
      <c r="J57" s="9">
        <v>2.0000000000000001E-4</v>
      </c>
      <c r="K57" s="9">
        <v>2.7000000000000001E-3</v>
      </c>
      <c r="L57" s="9">
        <v>1.5E-3</v>
      </c>
      <c r="M57" s="9">
        <v>2E-3</v>
      </c>
      <c r="N57" s="9">
        <v>8.9999999999999998E-4</v>
      </c>
      <c r="O57" s="9">
        <v>5.7000000000000002E-3</v>
      </c>
      <c r="P57" s="9">
        <v>3.7000000000000002E-3</v>
      </c>
      <c r="Q57" s="9"/>
      <c r="R57" s="9">
        <v>3.0999999999999999E-3</v>
      </c>
      <c r="S57" s="9">
        <v>1.5E-3</v>
      </c>
      <c r="T57" s="9">
        <v>4.1000000000000003E-3</v>
      </c>
      <c r="U57" s="9">
        <v>2.3999999999999998E-3</v>
      </c>
      <c r="V57" s="9">
        <v>0</v>
      </c>
      <c r="W57" s="9">
        <v>0</v>
      </c>
      <c r="X57" s="9">
        <v>1.4200000000000001E-2</v>
      </c>
      <c r="Y57" s="9">
        <v>1.4E-3</v>
      </c>
      <c r="Z57" s="9">
        <v>3.8E-3</v>
      </c>
      <c r="AA57" s="9">
        <v>1.6999999999999999E-3</v>
      </c>
      <c r="AB57" s="9">
        <v>2.0999999999999999E-3</v>
      </c>
      <c r="AC57" s="9">
        <v>1.1000000000000001E-3</v>
      </c>
      <c r="AD57" s="9">
        <v>4.4000000000000003E-3</v>
      </c>
    </row>
    <row r="58" spans="2:30" x14ac:dyDescent="0.3">
      <c r="B58" s="5">
        <v>202522</v>
      </c>
      <c r="C58" s="5"/>
      <c r="D58" s="9">
        <v>2.7000000000000001E-3</v>
      </c>
      <c r="E58" s="9">
        <v>2.2000000000000001E-3</v>
      </c>
      <c r="F58" s="9">
        <v>2.8E-3</v>
      </c>
      <c r="G58" s="9">
        <v>2.3999999999999998E-3</v>
      </c>
      <c r="H58" s="9">
        <v>2E-3</v>
      </c>
      <c r="I58" s="9">
        <v>3.8999999999999998E-3</v>
      </c>
      <c r="J58" s="9">
        <v>6.9999999999999999E-4</v>
      </c>
      <c r="K58" s="9">
        <v>3.7000000000000002E-3</v>
      </c>
      <c r="L58" s="9">
        <v>2.2000000000000001E-3</v>
      </c>
      <c r="M58" s="9">
        <v>2.5000000000000001E-3</v>
      </c>
      <c r="N58" s="9">
        <v>2.2000000000000001E-3</v>
      </c>
      <c r="O58" s="9">
        <v>8.3999999999999995E-3</v>
      </c>
      <c r="P58" s="9">
        <v>3.3999999999999998E-3</v>
      </c>
      <c r="Q58" s="9"/>
      <c r="R58" s="9">
        <v>3.0000000000000001E-3</v>
      </c>
      <c r="S58" s="9">
        <v>1.6999999999999999E-3</v>
      </c>
      <c r="T58" s="9">
        <v>2.9999999999999997E-4</v>
      </c>
      <c r="U58" s="9">
        <v>3.2000000000000002E-3</v>
      </c>
      <c r="V58" s="9"/>
      <c r="W58" s="9"/>
      <c r="X58" s="9">
        <v>5.7999999999999996E-3</v>
      </c>
      <c r="Y58" s="9">
        <v>1.2999999999999999E-3</v>
      </c>
      <c r="Z58" s="9">
        <v>4.1000000000000003E-3</v>
      </c>
      <c r="AA58" s="9">
        <v>2.5000000000000001E-3</v>
      </c>
      <c r="AB58" s="9">
        <v>1.9E-3</v>
      </c>
      <c r="AC58" s="9">
        <v>1.1999999999999999E-3</v>
      </c>
      <c r="AD58" s="9">
        <v>2.3E-3</v>
      </c>
    </row>
    <row r="59" spans="2:30" x14ac:dyDescent="0.3">
      <c r="B59" s="5">
        <v>202523</v>
      </c>
      <c r="C59" s="5"/>
      <c r="D59" s="9">
        <v>3.0000000000000001E-3</v>
      </c>
      <c r="E59" s="9">
        <v>1.9E-3</v>
      </c>
      <c r="F59" s="9">
        <v>3.0999999999999999E-3</v>
      </c>
      <c r="G59" s="9">
        <v>1.6999999999999999E-3</v>
      </c>
      <c r="H59" s="9">
        <v>1.1000000000000001E-3</v>
      </c>
      <c r="I59" s="9">
        <v>1E-3</v>
      </c>
      <c r="J59" s="9">
        <v>2.2000000000000001E-3</v>
      </c>
      <c r="K59" s="9">
        <v>1.6999999999999999E-3</v>
      </c>
      <c r="L59" s="9">
        <v>4.7999999999999996E-3</v>
      </c>
      <c r="M59" s="9">
        <v>2.5000000000000001E-3</v>
      </c>
      <c r="N59" s="9">
        <v>5.1999999999999998E-3</v>
      </c>
      <c r="O59" s="9">
        <v>9.4999999999999998E-3</v>
      </c>
      <c r="P59" s="9">
        <v>3.5000000000000001E-3</v>
      </c>
      <c r="Q59" s="9"/>
      <c r="R59" s="9">
        <v>3.0000000000000001E-3</v>
      </c>
      <c r="S59" s="9">
        <v>1.9E-3</v>
      </c>
      <c r="T59" s="9"/>
      <c r="U59" s="9">
        <v>2.5999999999999999E-3</v>
      </c>
      <c r="V59" s="9"/>
      <c r="W59" s="9"/>
      <c r="X59" s="9">
        <v>3.8E-3</v>
      </c>
      <c r="Y59" s="9">
        <v>1.6000000000000001E-3</v>
      </c>
      <c r="Z59" s="9">
        <v>6.1999999999999998E-3</v>
      </c>
      <c r="AA59" s="9">
        <v>3.5000000000000001E-3</v>
      </c>
      <c r="AB59" s="9">
        <v>1.9E-3</v>
      </c>
      <c r="AC59" s="9">
        <v>1.4E-3</v>
      </c>
      <c r="AD59" s="9">
        <v>2.3999999999999998E-3</v>
      </c>
    </row>
    <row r="60" spans="2:30" x14ac:dyDescent="0.3">
      <c r="B60" s="5">
        <v>202524</v>
      </c>
      <c r="C60" s="5"/>
      <c r="D60" s="9">
        <v>3.3E-3</v>
      </c>
      <c r="E60" s="9">
        <v>2.5999999999999999E-3</v>
      </c>
      <c r="F60" s="9">
        <v>3.3E-3</v>
      </c>
      <c r="G60" s="9">
        <v>2.3999999999999998E-3</v>
      </c>
      <c r="H60" s="9">
        <v>2.0999999999999999E-3</v>
      </c>
      <c r="I60" s="9">
        <v>5.8999999999999999E-3</v>
      </c>
      <c r="J60" s="9">
        <v>3.0999999999999999E-3</v>
      </c>
      <c r="K60" s="9">
        <v>2.3999999999999998E-3</v>
      </c>
      <c r="L60" s="9">
        <v>3.3E-3</v>
      </c>
      <c r="M60" s="9">
        <v>5.1999999999999998E-3</v>
      </c>
      <c r="N60" s="9">
        <v>5.1000000000000004E-3</v>
      </c>
      <c r="O60" s="9">
        <v>8.9999999999999993E-3</v>
      </c>
      <c r="P60" s="9">
        <v>4.1999999999999997E-3</v>
      </c>
      <c r="Q60" s="9"/>
      <c r="R60" s="9">
        <v>2.8999999999999998E-3</v>
      </c>
      <c r="S60" s="9">
        <v>1.9E-3</v>
      </c>
      <c r="T60" s="9"/>
      <c r="U60" s="9">
        <v>2.5000000000000001E-3</v>
      </c>
      <c r="V60" s="9"/>
      <c r="W60" s="9"/>
      <c r="X60" s="9">
        <v>4.1999999999999997E-3</v>
      </c>
      <c r="Y60" s="9">
        <v>1.6000000000000001E-3</v>
      </c>
      <c r="Z60" s="9">
        <v>6.3E-3</v>
      </c>
      <c r="AA60" s="9">
        <v>3.0000000000000001E-3</v>
      </c>
      <c r="AB60" s="9">
        <v>2.3E-3</v>
      </c>
      <c r="AC60" s="9">
        <v>1.8E-3</v>
      </c>
      <c r="AD60" s="9">
        <v>2.0999999999999999E-3</v>
      </c>
    </row>
    <row r="61" spans="2:30" x14ac:dyDescent="0.3">
      <c r="B61" s="5">
        <v>202525</v>
      </c>
      <c r="C61" s="5"/>
      <c r="D61" s="9">
        <v>3.2000000000000002E-3</v>
      </c>
      <c r="E61" s="9">
        <v>2.8999999999999998E-3</v>
      </c>
      <c r="F61" s="9">
        <v>3.2000000000000002E-3</v>
      </c>
      <c r="G61" s="9">
        <v>2.0999999999999999E-3</v>
      </c>
      <c r="H61" s="9">
        <v>2.0999999999999999E-3</v>
      </c>
      <c r="I61" s="9">
        <v>6.8999999999999999E-3</v>
      </c>
      <c r="J61" s="9">
        <v>4.3E-3</v>
      </c>
      <c r="K61" s="9">
        <v>3.8999999999999998E-3</v>
      </c>
      <c r="L61" s="9">
        <v>4.4000000000000003E-3</v>
      </c>
      <c r="M61" s="9">
        <v>6.4000000000000003E-3</v>
      </c>
      <c r="N61" s="9">
        <v>4.4999999999999997E-3</v>
      </c>
      <c r="O61" s="9">
        <v>9.7000000000000003E-3</v>
      </c>
      <c r="P61" s="9">
        <v>3.3999999999999998E-3</v>
      </c>
      <c r="Q61" s="9"/>
      <c r="R61" s="9">
        <v>3.0000000000000001E-3</v>
      </c>
      <c r="S61" s="9">
        <v>1.9E-3</v>
      </c>
      <c r="T61" s="9"/>
      <c r="U61" s="9">
        <v>3.3999999999999998E-3</v>
      </c>
      <c r="V61" s="9"/>
      <c r="W61" s="9"/>
      <c r="X61" s="9">
        <v>5.0000000000000001E-3</v>
      </c>
      <c r="Y61" s="9">
        <v>1.1999999999999999E-3</v>
      </c>
      <c r="Z61" s="9">
        <v>3.5999999999999999E-3</v>
      </c>
      <c r="AA61" s="9">
        <v>3.0999999999999999E-3</v>
      </c>
      <c r="AB61" s="9">
        <v>2.8E-3</v>
      </c>
      <c r="AC61" s="9">
        <v>1.6999999999999999E-3</v>
      </c>
      <c r="AD61" s="9">
        <v>1.8E-3</v>
      </c>
    </row>
    <row r="62" spans="2:30" x14ac:dyDescent="0.3">
      <c r="B62" s="5">
        <v>202526</v>
      </c>
      <c r="C62" s="5"/>
      <c r="D62" s="9">
        <v>3.5000000000000001E-3</v>
      </c>
      <c r="E62" s="9">
        <v>2.3E-3</v>
      </c>
      <c r="F62" s="9">
        <v>3.5999999999999999E-3</v>
      </c>
      <c r="G62" s="9">
        <v>2E-3</v>
      </c>
      <c r="H62" s="9">
        <v>1.6000000000000001E-3</v>
      </c>
      <c r="I62" s="9">
        <v>7.0000000000000001E-3</v>
      </c>
      <c r="J62" s="9">
        <v>3.3999999999999998E-3</v>
      </c>
      <c r="K62" s="9">
        <v>2.5000000000000001E-3</v>
      </c>
      <c r="L62" s="9">
        <v>3.3E-3</v>
      </c>
      <c r="M62" s="9">
        <v>6.0000000000000001E-3</v>
      </c>
      <c r="N62" s="9">
        <v>2.7000000000000001E-3</v>
      </c>
      <c r="O62" s="9">
        <v>1.9300000000000001E-2</v>
      </c>
      <c r="P62" s="9">
        <v>3.2000000000000002E-3</v>
      </c>
      <c r="Q62" s="9"/>
      <c r="R62" s="9">
        <v>3.3E-3</v>
      </c>
      <c r="S62" s="9">
        <v>1.9E-3</v>
      </c>
      <c r="T62" s="9"/>
      <c r="U62" s="9">
        <v>3.5999999999999999E-3</v>
      </c>
      <c r="V62" s="9"/>
      <c r="W62" s="9"/>
      <c r="X62" s="9">
        <v>5.4999999999999997E-3</v>
      </c>
      <c r="Y62" s="9">
        <v>1.1999999999999999E-3</v>
      </c>
      <c r="Z62" s="9">
        <v>5.4999999999999997E-3</v>
      </c>
      <c r="AA62" s="9">
        <v>3.3E-3</v>
      </c>
      <c r="AB62" s="9">
        <v>3.0999999999999999E-3</v>
      </c>
      <c r="AC62" s="9">
        <v>1.6999999999999999E-3</v>
      </c>
      <c r="AD62" s="9">
        <v>2.2000000000000001E-3</v>
      </c>
    </row>
    <row r="63" spans="2:30" x14ac:dyDescent="0.3">
      <c r="B63" s="5">
        <v>202527</v>
      </c>
      <c r="C63" s="5"/>
      <c r="D63" s="9">
        <v>3.5000000000000001E-3</v>
      </c>
      <c r="E63" s="9">
        <v>2.7000000000000001E-3</v>
      </c>
      <c r="F63" s="9">
        <v>3.5999999999999999E-3</v>
      </c>
      <c r="G63" s="9">
        <v>1.5E-3</v>
      </c>
      <c r="H63" s="9">
        <v>2.2000000000000001E-3</v>
      </c>
      <c r="I63" s="9">
        <v>5.0000000000000001E-3</v>
      </c>
      <c r="J63" s="9">
        <v>4.4000000000000003E-3</v>
      </c>
      <c r="K63" s="9">
        <v>4.4999999999999997E-3</v>
      </c>
      <c r="L63" s="9">
        <v>3.5999999999999999E-3</v>
      </c>
      <c r="M63" s="9">
        <v>4.4000000000000003E-3</v>
      </c>
      <c r="N63" s="9">
        <v>1.4E-3</v>
      </c>
      <c r="O63" s="9">
        <v>2.12E-2</v>
      </c>
      <c r="P63" s="9">
        <v>4.1999999999999997E-3</v>
      </c>
      <c r="Q63" s="9"/>
      <c r="R63" s="9">
        <v>3.2000000000000002E-3</v>
      </c>
      <c r="S63" s="9">
        <v>1.9E-3</v>
      </c>
      <c r="T63" s="9"/>
      <c r="U63" s="9">
        <v>3.3999999999999998E-3</v>
      </c>
      <c r="V63" s="9"/>
      <c r="W63" s="9"/>
      <c r="X63" s="9">
        <v>5.7999999999999996E-3</v>
      </c>
      <c r="Y63" s="9">
        <v>1.1999999999999999E-3</v>
      </c>
      <c r="Z63" s="9">
        <v>6.3E-3</v>
      </c>
      <c r="AA63" s="9">
        <v>3.8999999999999998E-3</v>
      </c>
      <c r="AB63" s="9">
        <v>2.7000000000000001E-3</v>
      </c>
      <c r="AC63" s="9">
        <v>1.1999999999999999E-3</v>
      </c>
      <c r="AD63" s="9">
        <v>1.9E-3</v>
      </c>
    </row>
    <row r="64" spans="2:30" x14ac:dyDescent="0.3">
      <c r="B64" s="5">
        <v>202528</v>
      </c>
      <c r="C64" s="5"/>
      <c r="D64" s="9">
        <v>3.8E-3</v>
      </c>
      <c r="E64" s="9">
        <v>2.0999999999999999E-3</v>
      </c>
      <c r="F64" s="9">
        <v>3.8999999999999998E-3</v>
      </c>
      <c r="G64" s="9">
        <v>1.8E-3</v>
      </c>
      <c r="H64" s="9">
        <v>1.8E-3</v>
      </c>
      <c r="I64" s="9">
        <v>3.0000000000000001E-3</v>
      </c>
      <c r="J64" s="9">
        <v>1.9E-3</v>
      </c>
      <c r="K64" s="9">
        <v>2.5000000000000001E-3</v>
      </c>
      <c r="L64" s="9">
        <v>3.0999999999999999E-3</v>
      </c>
      <c r="M64" s="9">
        <v>5.7999999999999996E-3</v>
      </c>
      <c r="N64" s="9">
        <v>1.5E-3</v>
      </c>
      <c r="O64" s="9">
        <v>1.24E-2</v>
      </c>
      <c r="P64" s="9">
        <v>4.7000000000000002E-3</v>
      </c>
      <c r="Q64" s="9"/>
      <c r="R64" s="9">
        <v>8.6999999999999994E-3</v>
      </c>
      <c r="S64" s="9">
        <v>2.0999999999999999E-3</v>
      </c>
      <c r="T64" s="9">
        <v>1.5E-3</v>
      </c>
      <c r="U64" s="9">
        <v>4.5999999999999999E-3</v>
      </c>
      <c r="V64" s="9">
        <v>8.0000000000000004E-4</v>
      </c>
      <c r="W64" s="9">
        <v>2.2000000000000001E-3</v>
      </c>
      <c r="X64" s="9">
        <v>6.4000000000000003E-3</v>
      </c>
      <c r="Y64" s="9">
        <v>1.8E-3</v>
      </c>
      <c r="Z64" s="9">
        <v>6.4000000000000003E-3</v>
      </c>
      <c r="AA64" s="9">
        <v>3.7000000000000002E-3</v>
      </c>
      <c r="AB64" s="9">
        <v>3.0999999999999999E-3</v>
      </c>
      <c r="AC64" s="9">
        <v>2.0999999999999999E-3</v>
      </c>
      <c r="AD64" s="9">
        <v>2.3999999999999998E-3</v>
      </c>
    </row>
    <row r="65" spans="2:30" x14ac:dyDescent="0.3">
      <c r="B65" s="5">
        <v>202529</v>
      </c>
      <c r="C65" s="5"/>
      <c r="D65" s="9">
        <v>3.3E-3</v>
      </c>
      <c r="E65" s="9">
        <v>2.8E-3</v>
      </c>
      <c r="F65" s="9">
        <v>3.3E-3</v>
      </c>
      <c r="G65" s="9">
        <v>2.8999999999999998E-3</v>
      </c>
      <c r="H65" s="9">
        <v>1.6000000000000001E-3</v>
      </c>
      <c r="I65" s="9">
        <v>6.1000000000000004E-3</v>
      </c>
      <c r="J65" s="9">
        <v>3.3999999999999998E-3</v>
      </c>
      <c r="K65" s="9">
        <v>3.2000000000000002E-3</v>
      </c>
      <c r="L65" s="9">
        <v>4.3E-3</v>
      </c>
      <c r="M65" s="9">
        <v>3.8E-3</v>
      </c>
      <c r="N65" s="9">
        <v>1.4E-3</v>
      </c>
      <c r="O65" s="9">
        <v>1.5800000000000002E-2</v>
      </c>
      <c r="P65" s="9">
        <v>3.3999999999999998E-3</v>
      </c>
      <c r="Q65" s="9"/>
      <c r="R65" s="9">
        <v>3.5000000000000001E-3</v>
      </c>
      <c r="S65" s="9">
        <v>2.0999999999999999E-3</v>
      </c>
      <c r="T65" s="9">
        <v>1.6000000000000001E-3</v>
      </c>
      <c r="U65" s="9">
        <v>4.1999999999999997E-3</v>
      </c>
      <c r="V65" s="9">
        <v>1.1000000000000001E-3</v>
      </c>
      <c r="W65" s="9">
        <v>1.6999999999999999E-3</v>
      </c>
      <c r="X65" s="9">
        <v>5.8999999999999999E-3</v>
      </c>
      <c r="Y65" s="9">
        <v>1.6999999999999999E-3</v>
      </c>
      <c r="Z65" s="9">
        <v>7.3000000000000001E-3</v>
      </c>
      <c r="AA65" s="9">
        <v>3.3999999999999998E-3</v>
      </c>
      <c r="AB65" s="9">
        <v>3.3E-3</v>
      </c>
      <c r="AC65" s="9">
        <v>1.6000000000000001E-3</v>
      </c>
      <c r="AD65" s="9">
        <v>2E-3</v>
      </c>
    </row>
    <row r="66" spans="2:30" ht="15" thickBot="1" x14ac:dyDescent="0.35">
      <c r="B66" s="5">
        <v>202530</v>
      </c>
      <c r="C66" s="5"/>
      <c r="D66" s="9">
        <v>4.0000000000000001E-3</v>
      </c>
      <c r="E66" s="9">
        <v>2.5000000000000001E-3</v>
      </c>
      <c r="F66" s="9">
        <v>4.1000000000000003E-3</v>
      </c>
      <c r="G66" s="9">
        <v>2.0999999999999999E-3</v>
      </c>
      <c r="H66" s="9">
        <v>2E-3</v>
      </c>
      <c r="I66" s="9">
        <v>4.1000000000000003E-3</v>
      </c>
      <c r="J66" s="9">
        <v>2.7000000000000001E-3</v>
      </c>
      <c r="K66" s="9">
        <v>3.0000000000000001E-3</v>
      </c>
      <c r="L66" s="9">
        <v>3.8E-3</v>
      </c>
      <c r="M66" s="9">
        <v>5.7000000000000002E-3</v>
      </c>
      <c r="N66" s="9">
        <v>1.5E-3</v>
      </c>
      <c r="O66" s="9">
        <v>1.2500000000000001E-2</v>
      </c>
      <c r="P66" s="9">
        <v>3.7000000000000002E-3</v>
      </c>
      <c r="Q66" s="9"/>
      <c r="R66" s="9">
        <v>1.0800000000000001E-2</v>
      </c>
      <c r="S66" s="9">
        <v>2E-3</v>
      </c>
      <c r="T66" s="9">
        <v>1.6999999999999999E-3</v>
      </c>
      <c r="U66" s="9">
        <v>4.7000000000000002E-3</v>
      </c>
      <c r="V66" s="9">
        <v>1.1000000000000001E-3</v>
      </c>
      <c r="W66" s="9">
        <v>1.5E-3</v>
      </c>
      <c r="X66" s="9">
        <v>7.7999999999999996E-3</v>
      </c>
      <c r="Y66" s="9">
        <v>2.3999999999999998E-3</v>
      </c>
      <c r="Z66" s="9">
        <v>5.7000000000000002E-3</v>
      </c>
      <c r="AA66" s="9">
        <v>3.0999999999999999E-3</v>
      </c>
      <c r="AB66" s="9">
        <v>3.3E-3</v>
      </c>
      <c r="AC66" s="9">
        <v>1.6000000000000001E-3</v>
      </c>
      <c r="AD66" s="9">
        <v>2.3999999999999998E-3</v>
      </c>
    </row>
    <row r="67" spans="2:30" ht="15" thickBot="1" x14ac:dyDescent="0.35">
      <c r="B67" s="22" t="s">
        <v>82</v>
      </c>
      <c r="C67" s="22"/>
      <c r="D67" s="24">
        <f t="shared" ref="D67:AD67" si="23">AVERAGE(D37:D66)</f>
        <v>2.9033333333333333E-3</v>
      </c>
      <c r="E67" s="24">
        <f t="shared" si="23"/>
        <v>3.5899999999999999E-3</v>
      </c>
      <c r="F67" s="24">
        <f t="shared" si="23"/>
        <v>2.8300000000000001E-3</v>
      </c>
      <c r="G67" s="24">
        <f t="shared" si="23"/>
        <v>4.6600000000000009E-3</v>
      </c>
      <c r="H67" s="24">
        <f t="shared" si="23"/>
        <v>3.2600000000000003E-3</v>
      </c>
      <c r="I67" s="24">
        <f t="shared" si="23"/>
        <v>4.613333333333333E-3</v>
      </c>
      <c r="J67" s="24">
        <f t="shared" si="23"/>
        <v>2.7599999999999994E-3</v>
      </c>
      <c r="K67" s="24">
        <f t="shared" si="23"/>
        <v>3.4133333333333325E-3</v>
      </c>
      <c r="L67" s="24">
        <f t="shared" si="23"/>
        <v>2.5433333333333336E-3</v>
      </c>
      <c r="M67" s="24">
        <f t="shared" si="23"/>
        <v>3.1933333333333336E-3</v>
      </c>
      <c r="N67" s="24">
        <f t="shared" si="23"/>
        <v>2.696E-3</v>
      </c>
      <c r="O67" s="24">
        <f t="shared" si="23"/>
        <v>7.9533333333333348E-3</v>
      </c>
      <c r="P67" s="24">
        <f t="shared" si="23"/>
        <v>3.126666666666666E-3</v>
      </c>
      <c r="Q67" s="24">
        <f t="shared" si="23"/>
        <v>-6.7871428571428569E-2</v>
      </c>
      <c r="R67" s="24">
        <f t="shared" si="23"/>
        <v>2.9566666666666669E-3</v>
      </c>
      <c r="S67" s="24">
        <f t="shared" si="23"/>
        <v>1.7750000000000005E-3</v>
      </c>
      <c r="T67" s="24">
        <f t="shared" si="23"/>
        <v>2.7680000000000001E-3</v>
      </c>
      <c r="U67" s="24">
        <f t="shared" si="23"/>
        <v>3.2733333333333325E-3</v>
      </c>
      <c r="V67" s="24">
        <f t="shared" si="23"/>
        <v>3.2250000000000004E-3</v>
      </c>
      <c r="W67" s="24">
        <f t="shared" si="23"/>
        <v>2.6333333333333334E-3</v>
      </c>
      <c r="X67" s="24">
        <f t="shared" si="23"/>
        <v>3.64E-3</v>
      </c>
      <c r="Y67" s="24">
        <f t="shared" si="23"/>
        <v>1.4399999999999999E-3</v>
      </c>
      <c r="Z67" s="24">
        <f t="shared" si="23"/>
        <v>4.3500000000000014E-3</v>
      </c>
      <c r="AA67" s="24">
        <f t="shared" si="23"/>
        <v>2.2700000000000003E-3</v>
      </c>
      <c r="AB67" s="24">
        <f t="shared" si="23"/>
        <v>1.9599999999999995E-3</v>
      </c>
      <c r="AC67" s="24">
        <f t="shared" si="23"/>
        <v>1.2399999999999998E-3</v>
      </c>
      <c r="AD67" s="24">
        <f t="shared" si="23"/>
        <v>1.5766666666666668E-3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T68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45871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133</v>
      </c>
      <c r="C6" s="7">
        <v>23</v>
      </c>
      <c r="D6" s="7">
        <v>7</v>
      </c>
      <c r="E6" s="7">
        <v>1197</v>
      </c>
      <c r="F6" s="7">
        <v>980</v>
      </c>
      <c r="G6" s="7">
        <v>7</v>
      </c>
      <c r="H6" s="9">
        <f t="shared" ref="H6:H12" si="0">IFERROR(G6/F6,0)</f>
        <v>7.1428571428571426E-3</v>
      </c>
      <c r="I6" s="9">
        <f>IFERROR((1197-F6)/1197,0)</f>
        <v>0.18128654970760233</v>
      </c>
      <c r="J6" s="7">
        <v>3330</v>
      </c>
      <c r="K6" s="11">
        <f t="shared" ref="K6:K12" si="1">IFERROR(J6/D6/F6*100,0)</f>
        <v>48.542274052478135</v>
      </c>
      <c r="L6" s="11">
        <f>K6-50.8033</f>
        <v>-2.2610259475218655</v>
      </c>
      <c r="M6" s="11">
        <v>80</v>
      </c>
      <c r="N6" s="11">
        <f t="shared" ref="N6:N12" si="2">K6-M6</f>
        <v>-31.457725947521865</v>
      </c>
      <c r="O6" s="11">
        <f>IFERROR(179300/1197,0)</f>
        <v>149.79114452798663</v>
      </c>
      <c r="P6" s="11">
        <v>0</v>
      </c>
      <c r="Q6" s="11">
        <f t="shared" ref="Q6:Q11" si="3">IFERROR(O6-P6,0)</f>
        <v>149.79114452798663</v>
      </c>
      <c r="R6" s="7">
        <v>868</v>
      </c>
      <c r="S6" s="11">
        <f t="shared" ref="S6:S11" si="4">IFERROR(R6/D6/F6*1000,0)</f>
        <v>126.53061224489795</v>
      </c>
      <c r="T6" s="13">
        <f t="shared" ref="T6:T12" si="5">IFERROR(J6/R6,0)</f>
        <v>3.8364055299539173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260.66066066066065</v>
      </c>
      <c r="Z6" s="11">
        <f t="shared" ref="Z6:Z12" si="9">IFERROR(Y6*X6/1000,0)</f>
        <v>77.384936936936938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9</v>
      </c>
      <c r="AF6" s="11">
        <v>23</v>
      </c>
      <c r="AG6" s="7">
        <f t="shared" ref="AG6:AG11" si="10">IF(M6=0,0,IFERROR(N6/100*7*F6,0))</f>
        <v>-2158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93</v>
      </c>
      <c r="C7" s="7">
        <v>23</v>
      </c>
      <c r="D7" s="7">
        <v>7</v>
      </c>
      <c r="E7" s="7">
        <v>14440</v>
      </c>
      <c r="F7" s="7">
        <v>11030</v>
      </c>
      <c r="G7" s="7">
        <v>36</v>
      </c>
      <c r="H7" s="9">
        <f t="shared" si="0"/>
        <v>3.2638259292837716E-3</v>
      </c>
      <c r="I7" s="9">
        <f>IFERROR((14440-F7)/14440,0)</f>
        <v>0.23614958448753462</v>
      </c>
      <c r="J7" s="7">
        <v>57030</v>
      </c>
      <c r="K7" s="11">
        <f t="shared" si="1"/>
        <v>73.863489185338679</v>
      </c>
      <c r="L7" s="11">
        <f>K7-74.4365</f>
        <v>-0.5730108146613162</v>
      </c>
      <c r="M7" s="11">
        <v>80</v>
      </c>
      <c r="N7" s="11">
        <f t="shared" si="2"/>
        <v>-6.136510814661321</v>
      </c>
      <c r="O7" s="11">
        <f>IFERROR(5181370/14440,0)</f>
        <v>358.8206371191136</v>
      </c>
      <c r="P7" s="11">
        <v>0</v>
      </c>
      <c r="Q7" s="11">
        <f t="shared" si="3"/>
        <v>358.8206371191136</v>
      </c>
      <c r="R7" s="7">
        <v>9730</v>
      </c>
      <c r="S7" s="11">
        <f t="shared" si="4"/>
        <v>126.01994560290117</v>
      </c>
      <c r="T7" s="13">
        <f t="shared" si="5"/>
        <v>5.8612538540596093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170.6119586182711</v>
      </c>
      <c r="Z7" s="11">
        <f t="shared" si="9"/>
        <v>63.663852358407858</v>
      </c>
      <c r="AA7" s="7">
        <v>2076</v>
      </c>
      <c r="AB7" s="15">
        <f>IFERROR(AA7/1980,0)</f>
        <v>1.0484848484848486</v>
      </c>
      <c r="AC7" s="11">
        <v>0</v>
      </c>
      <c r="AD7" s="15">
        <f>IFERROR(AC7/65.1,0)</f>
        <v>0</v>
      </c>
      <c r="AE7" s="11">
        <v>9</v>
      </c>
      <c r="AF7" s="11">
        <v>23</v>
      </c>
      <c r="AG7" s="7">
        <f t="shared" si="10"/>
        <v>-4738.0000000000055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93</v>
      </c>
      <c r="C8" s="7">
        <v>23</v>
      </c>
      <c r="D8" s="7">
        <v>7</v>
      </c>
      <c r="E8" s="7">
        <v>16063</v>
      </c>
      <c r="F8" s="7">
        <v>12940</v>
      </c>
      <c r="G8" s="7">
        <v>47</v>
      </c>
      <c r="H8" s="9">
        <f t="shared" si="0"/>
        <v>3.632148377125193E-3</v>
      </c>
      <c r="I8" s="9">
        <f>IFERROR((16063-F8)/16063,0)</f>
        <v>0.19442196351864532</v>
      </c>
      <c r="J8" s="7">
        <v>59490</v>
      </c>
      <c r="K8" s="11">
        <f t="shared" si="1"/>
        <v>65.676749834400539</v>
      </c>
      <c r="L8" s="11">
        <f>K8-65.7031</f>
        <v>-2.6350165599467346E-2</v>
      </c>
      <c r="M8" s="11">
        <v>76</v>
      </c>
      <c r="N8" s="11">
        <f t="shared" si="2"/>
        <v>-10.323250165599461</v>
      </c>
      <c r="O8" s="11">
        <f>IFERROR(5398200/16063,0)</f>
        <v>336.06424702732988</v>
      </c>
      <c r="P8" s="11">
        <v>0</v>
      </c>
      <c r="Q8" s="11">
        <f t="shared" si="3"/>
        <v>336.06424702732988</v>
      </c>
      <c r="R8" s="7">
        <v>10360</v>
      </c>
      <c r="S8" s="11">
        <f t="shared" si="4"/>
        <v>114.3740340030912</v>
      </c>
      <c r="T8" s="13">
        <f t="shared" si="5"/>
        <v>5.7422779922779918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174.14691544797444</v>
      </c>
      <c r="Z8" s="11">
        <f t="shared" si="9"/>
        <v>64.434358715750534</v>
      </c>
      <c r="AA8" s="7">
        <v>1742</v>
      </c>
      <c r="AB8" s="15">
        <f>IFERROR(AA8/1580,0)</f>
        <v>1.1025316455696204</v>
      </c>
      <c r="AC8" s="11">
        <v>0</v>
      </c>
      <c r="AD8" s="15">
        <f>IFERROR(AC8/63.7,0)</f>
        <v>0</v>
      </c>
      <c r="AE8" s="11">
        <v>9</v>
      </c>
      <c r="AF8" s="11">
        <v>23</v>
      </c>
      <c r="AG8" s="7">
        <f t="shared" si="10"/>
        <v>-9350.799999999992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54</v>
      </c>
      <c r="C9" s="7"/>
      <c r="D9" s="7">
        <v>7</v>
      </c>
      <c r="E9" s="7">
        <v>4686</v>
      </c>
      <c r="F9" s="7">
        <v>4066</v>
      </c>
      <c r="G9" s="7">
        <v>20</v>
      </c>
      <c r="H9" s="9">
        <f t="shared" si="0"/>
        <v>4.9188391539596657E-3</v>
      </c>
      <c r="I9" s="9">
        <f>IFERROR((4686-F9)/4686,0)</f>
        <v>0.13230900554844216</v>
      </c>
      <c r="J9" s="7">
        <v>28590</v>
      </c>
      <c r="K9" s="11">
        <f t="shared" si="1"/>
        <v>100.44972243693347</v>
      </c>
      <c r="L9" s="11">
        <f>K9-99.6434</f>
        <v>0.8063224369334705</v>
      </c>
      <c r="M9" s="11">
        <v>87.5</v>
      </c>
      <c r="N9" s="11">
        <f t="shared" si="2"/>
        <v>12.94972243693347</v>
      </c>
      <c r="O9" s="11">
        <f>IFERROR(989850/4686,0)</f>
        <v>211.23559539052496</v>
      </c>
      <c r="P9" s="11">
        <v>222</v>
      </c>
      <c r="Q9" s="11">
        <f t="shared" si="3"/>
        <v>-10.764404609475037</v>
      </c>
      <c r="R9" s="7">
        <v>5071</v>
      </c>
      <c r="S9" s="11">
        <f t="shared" si="4"/>
        <v>178.16738106949617</v>
      </c>
      <c r="T9" s="13">
        <f t="shared" si="5"/>
        <v>5.6379412344705182</v>
      </c>
      <c r="U9" s="7">
        <v>5040</v>
      </c>
      <c r="V9" s="11">
        <f t="shared" si="6"/>
        <v>177.07820954254797</v>
      </c>
      <c r="W9" s="11">
        <f t="shared" si="7"/>
        <v>0.99388680733583123</v>
      </c>
      <c r="X9" s="11">
        <v>362.76</v>
      </c>
      <c r="Y9" s="11">
        <f t="shared" si="8"/>
        <v>177.36970968870233</v>
      </c>
      <c r="Z9" s="11">
        <f t="shared" si="9"/>
        <v>64.342635886673662</v>
      </c>
      <c r="AA9" s="7">
        <v>1985</v>
      </c>
      <c r="AB9" s="15">
        <f>IFERROR(AA9/1950,0)</f>
        <v>1.0179487179487179</v>
      </c>
      <c r="AC9" s="11">
        <v>0</v>
      </c>
      <c r="AD9" s="15">
        <f>IFERROR(AC9/63.5,0)</f>
        <v>0</v>
      </c>
      <c r="AE9" s="11">
        <v>13</v>
      </c>
      <c r="AF9" s="11">
        <v>23</v>
      </c>
      <c r="AG9" s="7">
        <f t="shared" si="10"/>
        <v>3685.7500000000045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93</v>
      </c>
      <c r="C10" s="7">
        <v>24</v>
      </c>
      <c r="D10" s="7">
        <v>7</v>
      </c>
      <c r="E10" s="7">
        <v>5000</v>
      </c>
      <c r="F10" s="7">
        <v>3999</v>
      </c>
      <c r="G10" s="7">
        <v>6</v>
      </c>
      <c r="H10" s="9">
        <f t="shared" si="0"/>
        <v>1.5003750937734434E-3</v>
      </c>
      <c r="I10" s="9">
        <f>IFERROR((5000-F10)/5000,0)</f>
        <v>0.20019999999999999</v>
      </c>
      <c r="J10" s="7">
        <v>24700</v>
      </c>
      <c r="K10" s="11">
        <f t="shared" si="1"/>
        <v>88.236344800485838</v>
      </c>
      <c r="L10" s="11">
        <f>K10-84.7512</f>
        <v>3.4851448004858412</v>
      </c>
      <c r="M10" s="11">
        <v>79</v>
      </c>
      <c r="N10" s="11">
        <f t="shared" si="2"/>
        <v>9.2363448004858384</v>
      </c>
      <c r="O10" s="11">
        <f>IFERROR(1934730/5000,0)</f>
        <v>386.94600000000003</v>
      </c>
      <c r="P10" s="11">
        <v>0</v>
      </c>
      <c r="Q10" s="11">
        <f t="shared" si="3"/>
        <v>386.94600000000003</v>
      </c>
      <c r="R10" s="7">
        <v>4375</v>
      </c>
      <c r="S10" s="11">
        <f t="shared" si="4"/>
        <v>156.289072268067</v>
      </c>
      <c r="T10" s="13">
        <f t="shared" si="5"/>
        <v>5.6457142857142859</v>
      </c>
      <c r="U10" s="7">
        <v>5040</v>
      </c>
      <c r="V10" s="11">
        <f t="shared" si="6"/>
        <v>180.0450112528132</v>
      </c>
      <c r="W10" s="11">
        <f t="shared" si="7"/>
        <v>1.1520000000000001</v>
      </c>
      <c r="X10" s="11">
        <v>374.81</v>
      </c>
      <c r="Y10" s="11">
        <f t="shared" si="8"/>
        <v>177.12550607287449</v>
      </c>
      <c r="Z10" s="11">
        <f t="shared" si="9"/>
        <v>66.388410931174093</v>
      </c>
      <c r="AA10" s="7">
        <v>2200</v>
      </c>
      <c r="AB10" s="15">
        <f>IFERROR(AA10/1980,0)</f>
        <v>1.1111111111111112</v>
      </c>
      <c r="AC10" s="11">
        <v>0</v>
      </c>
      <c r="AD10" s="15">
        <f>IFERROR(AC10/65.1,0)</f>
        <v>0</v>
      </c>
      <c r="AE10" s="11">
        <v>14</v>
      </c>
      <c r="AF10" s="11">
        <v>21</v>
      </c>
      <c r="AG10" s="7">
        <f t="shared" si="10"/>
        <v>2585.5300000000007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54</v>
      </c>
      <c r="C11" s="7"/>
      <c r="D11" s="7">
        <v>7</v>
      </c>
      <c r="E11" s="7">
        <v>4819</v>
      </c>
      <c r="F11" s="7">
        <v>4411</v>
      </c>
      <c r="G11" s="7">
        <v>15</v>
      </c>
      <c r="H11" s="9">
        <f t="shared" si="0"/>
        <v>3.4005894355021537E-3</v>
      </c>
      <c r="I11" s="9">
        <f>IFERROR((4819-F11)/4819,0)</f>
        <v>8.4664868229923224E-2</v>
      </c>
      <c r="J11" s="7">
        <v>28260</v>
      </c>
      <c r="K11" s="11">
        <f t="shared" si="1"/>
        <v>91.524435664086539</v>
      </c>
      <c r="L11" s="11">
        <f>K11-93.8287</f>
        <v>-2.3042643359134587</v>
      </c>
      <c r="M11" s="11">
        <v>87.5</v>
      </c>
      <c r="N11" s="11">
        <f t="shared" si="2"/>
        <v>4.0244356640865391</v>
      </c>
      <c r="O11" s="11">
        <f>IFERROR(1034296/4819,0)</f>
        <v>214.62876115376633</v>
      </c>
      <c r="P11" s="11">
        <v>222</v>
      </c>
      <c r="Q11" s="11">
        <f t="shared" si="3"/>
        <v>-7.3712388462336662</v>
      </c>
      <c r="R11" s="7">
        <v>4466</v>
      </c>
      <c r="S11" s="11">
        <f t="shared" si="4"/>
        <v>144.63840399002495</v>
      </c>
      <c r="T11" s="13">
        <f t="shared" si="5"/>
        <v>6.3278101209135693</v>
      </c>
      <c r="U11" s="7">
        <v>5040</v>
      </c>
      <c r="V11" s="11">
        <f t="shared" si="6"/>
        <v>163.22829290410337</v>
      </c>
      <c r="W11" s="11">
        <f t="shared" si="7"/>
        <v>1.128526645768025</v>
      </c>
      <c r="X11" s="11">
        <v>362.76</v>
      </c>
      <c r="Y11" s="11">
        <f t="shared" si="8"/>
        <v>158.03255484784148</v>
      </c>
      <c r="Z11" s="11">
        <f t="shared" si="9"/>
        <v>57.327889596602972</v>
      </c>
      <c r="AA11" s="7">
        <v>1992</v>
      </c>
      <c r="AB11" s="15">
        <f>IFERROR(AA11/1950,0)</f>
        <v>1.0215384615384615</v>
      </c>
      <c r="AC11" s="11">
        <v>0</v>
      </c>
      <c r="AD11" s="15">
        <f>IFERROR(AC11/63.5,0)</f>
        <v>0</v>
      </c>
      <c r="AE11" s="11">
        <v>15</v>
      </c>
      <c r="AF11" s="11">
        <v>22</v>
      </c>
      <c r="AG11" s="7">
        <f t="shared" si="10"/>
        <v>1242.6250000000007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37426</v>
      </c>
      <c r="G12" s="17">
        <f>SUM(G6:G11)</f>
        <v>131</v>
      </c>
      <c r="H12" s="18">
        <f t="shared" si="0"/>
        <v>3.5002404745364184E-3</v>
      </c>
      <c r="I12" s="18"/>
      <c r="J12" s="17">
        <f>SUM(J6:J11)</f>
        <v>201400</v>
      </c>
      <c r="K12" s="19">
        <f t="shared" si="1"/>
        <v>76.875510531257873</v>
      </c>
      <c r="L12" s="19"/>
      <c r="M12" s="19">
        <f>IFERROR(SUMPRODUCT($F6:$F11,M6:M11)/$F12, 0)</f>
        <v>80.208905573665362</v>
      </c>
      <c r="N12" s="19">
        <f t="shared" si="2"/>
        <v>-3.3333950424074885</v>
      </c>
      <c r="O12" s="19">
        <f>IFERROR(SUMPRODUCT($E6:$E11,O6:O11)/$E12, 0)</f>
        <v>318.53145763445514</v>
      </c>
      <c r="P12" s="19">
        <f>IFERROR(SUMPRODUCT($E6:$E11,P6:P11)/$E12, 0)</f>
        <v>45.668434152148038</v>
      </c>
      <c r="Q12" s="19">
        <f>IFERROR(SUMPRODUCT($E6:$E11,Q6:Q11)/$E12, 0)</f>
        <v>272.86302348230709</v>
      </c>
      <c r="R12" s="17">
        <f>SUM(R6:R11)</f>
        <v>34870</v>
      </c>
      <c r="S12" s="19">
        <f>IFERROR(R12/D12/$F12*1000,0)</f>
        <v>133.10074737959096</v>
      </c>
      <c r="T12" s="20">
        <f t="shared" si="5"/>
        <v>5.7757384571264696</v>
      </c>
      <c r="U12" s="17">
        <f>SUM(U6:U11)</f>
        <v>15120</v>
      </c>
      <c r="V12" s="19">
        <f>IFERROR(U12/D12/$F12*1000,0)</f>
        <v>57.713888740447821</v>
      </c>
      <c r="W12" s="19">
        <f t="shared" si="7"/>
        <v>0.43361055348437055</v>
      </c>
      <c r="X12" s="19">
        <f>IFERROR(SUMPRODUCT(R6:R11,X6:X11)/R12,0)</f>
        <v>367.68216833954693</v>
      </c>
      <c r="Y12" s="19">
        <f>IFERROR(($F12*S12)/($F12*K12)*100,0)</f>
        <v>173.13803376365439</v>
      </c>
      <c r="Z12" s="19">
        <f t="shared" si="9"/>
        <v>63.659767676266135</v>
      </c>
      <c r="AA12" s="17"/>
      <c r="AB12" s="21">
        <f>IFERROR(SUMPRODUCT($F6:$F11,AB6:AB11)/$F12,0)</f>
        <v>1.0399152019135824</v>
      </c>
      <c r="AC12" s="19"/>
      <c r="AD12" s="21">
        <f>AVERAGE(AD6:AD11)</f>
        <v>0</v>
      </c>
      <c r="AE12" s="19"/>
      <c r="AF12" s="19"/>
      <c r="AG12" s="17">
        <f>SUM(AG6:AG11)</f>
        <v>-8732.8949999999913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93</v>
      </c>
      <c r="C14" s="6"/>
      <c r="D14" s="6">
        <v>7</v>
      </c>
      <c r="E14" s="6">
        <v>21388</v>
      </c>
      <c r="F14" s="6">
        <v>15788</v>
      </c>
      <c r="G14" s="6">
        <v>118</v>
      </c>
      <c r="H14" s="8">
        <f t="shared" ref="H14:H31" si="12">IFERROR(G14/F14,0)</f>
        <v>7.4740309095515578E-3</v>
      </c>
      <c r="I14" s="8">
        <f>IFERROR((21388-F14)/21388,0)</f>
        <v>0.2618290630259959</v>
      </c>
      <c r="J14" s="6">
        <v>79640</v>
      </c>
      <c r="K14" s="10">
        <f t="shared" ref="K14:K31" si="13">IFERROR(J14/D14/F14*100,0)</f>
        <v>72.061963878533419</v>
      </c>
      <c r="L14" s="10">
        <f>K14-71.716</f>
        <v>0.34596387853342492</v>
      </c>
      <c r="M14" s="10">
        <v>72.5</v>
      </c>
      <c r="N14" s="10">
        <f t="shared" ref="N14:N31" si="14">K14-M14</f>
        <v>-0.43803612146658111</v>
      </c>
      <c r="O14" s="10">
        <f>IFERROR(6214820/21388,0)</f>
        <v>290.57508883486065</v>
      </c>
      <c r="P14" s="10">
        <v>432</v>
      </c>
      <c r="Q14" s="10">
        <f t="shared" ref="Q14:Q30" si="15">IFERROR(O14-P14,0)</f>
        <v>-141.42491116513935</v>
      </c>
      <c r="R14" s="6">
        <v>11480</v>
      </c>
      <c r="S14" s="10">
        <f t="shared" ref="S14:S30" si="16">IFERROR(R14/D14/F14*1000,0)</f>
        <v>103.87636179376742</v>
      </c>
      <c r="T14" s="12">
        <f t="shared" ref="T14:T31" si="17">IFERROR(J14/R14,0)</f>
        <v>6.9372822299651569</v>
      </c>
      <c r="U14" s="6">
        <v>22040</v>
      </c>
      <c r="V14" s="10">
        <f t="shared" ref="V14:V30" si="18">IFERROR(U14/D14/F14*1000,0)</f>
        <v>199.42813710232002</v>
      </c>
      <c r="W14" s="10">
        <f t="shared" ref="W14:W31" si="19">IFERROR(V14/S14,0)</f>
        <v>1.9198606271777003</v>
      </c>
      <c r="X14" s="10">
        <v>315.77</v>
      </c>
      <c r="Y14" s="10">
        <f t="shared" ref="Y14:Y30" si="20">IFERROR((F14*S14)/(F14*K14)*100,0)</f>
        <v>144.14866901054745</v>
      </c>
      <c r="Z14" s="10">
        <f t="shared" ref="Z14:Z31" si="21">IFERROR(Y14*X14/1000,0)</f>
        <v>45.517825213460561</v>
      </c>
      <c r="AA14" s="6">
        <v>2030</v>
      </c>
      <c r="AB14" s="14">
        <f>IFERROR(AA14/1580,0)</f>
        <v>1.2848101265822784</v>
      </c>
      <c r="AC14" s="10">
        <v>0</v>
      </c>
      <c r="AD14" s="14">
        <f>IFERROR(AC14/63.7,0)</f>
        <v>0</v>
      </c>
      <c r="AE14" s="10">
        <v>20</v>
      </c>
      <c r="AF14" s="10">
        <v>26</v>
      </c>
      <c r="AG14" s="6">
        <f t="shared" ref="AG14:AG30" si="22">IF(M14=0,0,IFERROR(N14/100*7*F14,0))</f>
        <v>-484.10000000000679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53</v>
      </c>
      <c r="C15" s="7"/>
      <c r="D15" s="7">
        <v>7</v>
      </c>
      <c r="E15" s="7">
        <v>10225</v>
      </c>
      <c r="F15" s="7">
        <v>7796</v>
      </c>
      <c r="G15" s="7">
        <v>104</v>
      </c>
      <c r="H15" s="9">
        <f t="shared" si="12"/>
        <v>1.3340174448435094E-2</v>
      </c>
      <c r="I15" s="9">
        <f>IFERROR((10225-F15)/10225,0)</f>
        <v>0.23755501222493888</v>
      </c>
      <c r="J15" s="7">
        <v>40350</v>
      </c>
      <c r="K15" s="11">
        <f t="shared" si="13"/>
        <v>73.939016345378576</v>
      </c>
      <c r="L15" s="11">
        <f>K15-75.5696</f>
        <v>-1.6305836546214181</v>
      </c>
      <c r="M15" s="11">
        <v>87.5</v>
      </c>
      <c r="N15" s="11">
        <f t="shared" si="14"/>
        <v>-13.560983654621424</v>
      </c>
      <c r="O15" s="11">
        <f>IFERROR(1812150/10225,0)</f>
        <v>177.22738386308069</v>
      </c>
      <c r="P15" s="11">
        <v>216</v>
      </c>
      <c r="Q15" s="11">
        <f t="shared" si="15"/>
        <v>-38.772616136919311</v>
      </c>
      <c r="R15" s="7">
        <v>8020</v>
      </c>
      <c r="S15" s="11">
        <f t="shared" si="16"/>
        <v>146.96181191819983</v>
      </c>
      <c r="T15" s="13">
        <f t="shared" si="17"/>
        <v>5.0311720698254367</v>
      </c>
      <c r="U15" s="7">
        <v>12500</v>
      </c>
      <c r="V15" s="11">
        <f t="shared" si="18"/>
        <v>229.05519313933885</v>
      </c>
      <c r="W15" s="11">
        <f t="shared" si="19"/>
        <v>1.5586034912718203</v>
      </c>
      <c r="X15" s="11">
        <v>307.50571428569998</v>
      </c>
      <c r="Y15" s="11">
        <f t="shared" si="20"/>
        <v>198.76084262701369</v>
      </c>
      <c r="Z15" s="11">
        <f t="shared" si="21"/>
        <v>61.120094884047454</v>
      </c>
      <c r="AA15" s="7">
        <v>1960</v>
      </c>
      <c r="AB15" s="15">
        <f>IFERROR(AA15/1950,0)</f>
        <v>1.0051282051282051</v>
      </c>
      <c r="AC15" s="11">
        <v>0</v>
      </c>
      <c r="AD15" s="15">
        <f>IFERROR(AC15/63.5,0)</f>
        <v>0</v>
      </c>
      <c r="AE15" s="11">
        <v>13</v>
      </c>
      <c r="AF15" s="11">
        <v>26</v>
      </c>
      <c r="AG15" s="7">
        <f t="shared" si="22"/>
        <v>-7400.5000000000036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82</v>
      </c>
      <c r="C16" s="7"/>
      <c r="D16" s="7">
        <v>7</v>
      </c>
      <c r="E16" s="7">
        <v>56050</v>
      </c>
      <c r="F16" s="7">
        <v>47568</v>
      </c>
      <c r="G16" s="7">
        <v>201</v>
      </c>
      <c r="H16" s="9">
        <f t="shared" si="12"/>
        <v>4.2255297679112012E-3</v>
      </c>
      <c r="I16" s="9">
        <f>IFERROR((56050-F16)/56050,0)</f>
        <v>0.15132917038358609</v>
      </c>
      <c r="J16" s="7">
        <v>290500</v>
      </c>
      <c r="K16" s="11">
        <f t="shared" si="13"/>
        <v>87.243525058863099</v>
      </c>
      <c r="L16" s="11">
        <f>K16-85.5008</f>
        <v>1.7427250588631011</v>
      </c>
      <c r="M16" s="11">
        <v>84.6</v>
      </c>
      <c r="N16" s="11">
        <f t="shared" si="14"/>
        <v>2.643525058863105</v>
      </c>
      <c r="O16" s="11">
        <f>IFERROR(21057881/56050,0)</f>
        <v>375.69814451382695</v>
      </c>
      <c r="P16" s="11">
        <v>383</v>
      </c>
      <c r="Q16" s="11">
        <f t="shared" si="15"/>
        <v>-7.3018554861730536</v>
      </c>
      <c r="R16" s="7">
        <v>40070</v>
      </c>
      <c r="S16" s="11">
        <f t="shared" si="16"/>
        <v>120.3390034116573</v>
      </c>
      <c r="T16" s="13">
        <f t="shared" si="17"/>
        <v>7.2498128275517848</v>
      </c>
      <c r="U16" s="7">
        <v>64300</v>
      </c>
      <c r="V16" s="11">
        <f t="shared" si="18"/>
        <v>193.10701071548704</v>
      </c>
      <c r="W16" s="11">
        <f t="shared" si="19"/>
        <v>1.6046917893686052</v>
      </c>
      <c r="X16" s="11">
        <v>311.58142857140001</v>
      </c>
      <c r="Y16" s="11">
        <f t="shared" si="20"/>
        <v>137.93459552495696</v>
      </c>
      <c r="Z16" s="11">
        <f t="shared" si="21"/>
        <v>42.977858323084327</v>
      </c>
      <c r="AA16" s="7">
        <v>1790</v>
      </c>
      <c r="AB16" s="15">
        <f>IFERROR(AA16/1725,0)</f>
        <v>1.0376811594202899</v>
      </c>
      <c r="AC16" s="11">
        <v>0</v>
      </c>
      <c r="AD16" s="15">
        <f>IFERROR(AC16/64.25,0)</f>
        <v>0</v>
      </c>
      <c r="AE16" s="11">
        <v>20</v>
      </c>
      <c r="AF16" s="11">
        <v>26</v>
      </c>
      <c r="AG16" s="7">
        <f t="shared" si="22"/>
        <v>8802.3040000000128</v>
      </c>
      <c r="AH16" s="7">
        <v>63</v>
      </c>
      <c r="AI16" s="7">
        <v>3.4920634921000002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IFERROR(1680/F16,0)</f>
        <v>3.5317860746720484E-2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75</v>
      </c>
      <c r="C17" s="7">
        <v>2</v>
      </c>
      <c r="D17" s="7">
        <v>7</v>
      </c>
      <c r="E17" s="7">
        <v>51536</v>
      </c>
      <c r="F17" s="7">
        <v>48776</v>
      </c>
      <c r="G17" s="7">
        <v>528</v>
      </c>
      <c r="H17" s="9">
        <f t="shared" si="12"/>
        <v>1.0824995899622766E-2</v>
      </c>
      <c r="I17" s="9">
        <f>IFERROR((51536-F17)/51536,0)</f>
        <v>5.3554796647004035E-2</v>
      </c>
      <c r="J17" s="7">
        <v>0</v>
      </c>
      <c r="K17" s="11">
        <f t="shared" si="13"/>
        <v>0</v>
      </c>
      <c r="L17" s="11">
        <f>K17-52.7399</f>
        <v>-52.739899999999999</v>
      </c>
      <c r="M17" s="11">
        <v>0</v>
      </c>
      <c r="N17" s="11">
        <f t="shared" si="14"/>
        <v>0</v>
      </c>
      <c r="O17" s="11">
        <f>IFERROR(16612442/51536,0)</f>
        <v>322.34635982614094</v>
      </c>
      <c r="P17" s="11">
        <v>0</v>
      </c>
      <c r="Q17" s="11">
        <f t="shared" si="15"/>
        <v>322.34635982614094</v>
      </c>
      <c r="R17" s="7">
        <v>15290</v>
      </c>
      <c r="S17" s="11">
        <f t="shared" si="16"/>
        <v>44.781977084748938</v>
      </c>
      <c r="T17" s="13">
        <f t="shared" si="17"/>
        <v>0</v>
      </c>
      <c r="U17" s="7">
        <v>20454</v>
      </c>
      <c r="V17" s="11">
        <f t="shared" si="18"/>
        <v>59.906511399048711</v>
      </c>
      <c r="W17" s="11">
        <f t="shared" si="19"/>
        <v>1.3377370830608242</v>
      </c>
      <c r="X17" s="11">
        <v>292.52</v>
      </c>
      <c r="Y17" s="11">
        <f t="shared" si="20"/>
        <v>0</v>
      </c>
      <c r="Z17" s="11">
        <f t="shared" si="21"/>
        <v>0</v>
      </c>
      <c r="AA17" s="7">
        <v>0</v>
      </c>
      <c r="AB17" s="15">
        <f>IFERROR(AA17/1715,0)</f>
        <v>0</v>
      </c>
      <c r="AC17" s="11">
        <v>0</v>
      </c>
      <c r="AD17" s="15">
        <f>IFERROR(AC17/63.9,0)</f>
        <v>0</v>
      </c>
      <c r="AE17" s="11">
        <v>23</v>
      </c>
      <c r="AF17" s="11">
        <v>26</v>
      </c>
      <c r="AG17" s="7">
        <f t="shared" si="22"/>
        <v>0</v>
      </c>
      <c r="AH17" s="7">
        <v>2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22</v>
      </c>
      <c r="C18" s="7"/>
      <c r="D18" s="7">
        <v>7</v>
      </c>
      <c r="E18" s="7">
        <v>49067</v>
      </c>
      <c r="F18" s="7">
        <v>48743</v>
      </c>
      <c r="G18" s="7">
        <v>90</v>
      </c>
      <c r="H18" s="9">
        <f t="shared" si="12"/>
        <v>1.8464189729807358E-3</v>
      </c>
      <c r="I18" s="9">
        <f>IFERROR((49067-F18)/49067,0)</f>
        <v>6.6032160107607962E-3</v>
      </c>
      <c r="J18" s="7">
        <v>289780</v>
      </c>
      <c r="K18" s="11">
        <f t="shared" si="13"/>
        <v>84.92941110958057</v>
      </c>
      <c r="L18" s="11">
        <f>K18-70.7777</f>
        <v>14.151711109580575</v>
      </c>
      <c r="M18" s="11">
        <v>84.35</v>
      </c>
      <c r="N18" s="11">
        <f t="shared" si="14"/>
        <v>0.57941110958057607</v>
      </c>
      <c r="O18" s="11">
        <f>IFERROR(736920/49067,0)</f>
        <v>15.018647971141501</v>
      </c>
      <c r="P18" s="11">
        <v>14</v>
      </c>
      <c r="Q18" s="11">
        <f t="shared" si="15"/>
        <v>1.0186479711415011</v>
      </c>
      <c r="R18" s="7">
        <v>36510</v>
      </c>
      <c r="S18" s="11">
        <f t="shared" si="16"/>
        <v>107.00437571988358</v>
      </c>
      <c r="T18" s="13">
        <f t="shared" si="17"/>
        <v>7.9370035606683098</v>
      </c>
      <c r="U18" s="7">
        <v>69380</v>
      </c>
      <c r="V18" s="11">
        <f t="shared" si="18"/>
        <v>203.34055292921181</v>
      </c>
      <c r="W18" s="11">
        <f t="shared" si="19"/>
        <v>1.900301287318543</v>
      </c>
      <c r="X18" s="11">
        <v>315.82</v>
      </c>
      <c r="Y18" s="11">
        <f t="shared" si="20"/>
        <v>125.99213196217821</v>
      </c>
      <c r="Z18" s="11">
        <f t="shared" si="21"/>
        <v>39.790835116295121</v>
      </c>
      <c r="AA18" s="7">
        <v>1380</v>
      </c>
      <c r="AB18" s="15">
        <f>IFERROR(AA18/1445,0)</f>
        <v>0.95501730103806226</v>
      </c>
      <c r="AC18" s="11">
        <v>0</v>
      </c>
      <c r="AD18" s="15">
        <f>IFERROR(AC18/49.95,0)</f>
        <v>0</v>
      </c>
      <c r="AE18" s="11">
        <v>21</v>
      </c>
      <c r="AF18" s="11">
        <v>26</v>
      </c>
      <c r="AG18" s="7">
        <f t="shared" si="22"/>
        <v>1976.9565000000214</v>
      </c>
      <c r="AH18" s="7">
        <v>16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IFERROR(0/F18,0)</f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54</v>
      </c>
      <c r="C19" s="7"/>
      <c r="D19" s="7">
        <v>7</v>
      </c>
      <c r="E19" s="7">
        <v>52424</v>
      </c>
      <c r="F19" s="7">
        <v>46236</v>
      </c>
      <c r="G19" s="7">
        <v>366</v>
      </c>
      <c r="H19" s="9">
        <f t="shared" si="12"/>
        <v>7.9159096807682322E-3</v>
      </c>
      <c r="I19" s="9">
        <f>IFERROR((52424-F19)/52424,0)</f>
        <v>0.11803754005798871</v>
      </c>
      <c r="J19" s="7">
        <v>288460</v>
      </c>
      <c r="K19" s="11">
        <f t="shared" si="13"/>
        <v>89.126592760125064</v>
      </c>
      <c r="L19" s="11">
        <f>K19-89.383</f>
        <v>-0.25640723987493175</v>
      </c>
      <c r="M19" s="11">
        <v>93</v>
      </c>
      <c r="N19" s="11">
        <f t="shared" si="14"/>
        <v>-3.8734072398749362</v>
      </c>
      <c r="O19" s="11">
        <f>IFERROR(10705720/52424,0)</f>
        <v>204.21410041202503</v>
      </c>
      <c r="P19" s="11">
        <v>220</v>
      </c>
      <c r="Q19" s="11">
        <f t="shared" si="15"/>
        <v>-15.785899587974967</v>
      </c>
      <c r="R19" s="7">
        <v>37774</v>
      </c>
      <c r="S19" s="11">
        <f t="shared" si="16"/>
        <v>116.71177684673663</v>
      </c>
      <c r="T19" s="13">
        <f t="shared" si="17"/>
        <v>7.636469529305872</v>
      </c>
      <c r="U19" s="7">
        <v>57397</v>
      </c>
      <c r="V19" s="11">
        <f t="shared" si="18"/>
        <v>177.34171270376825</v>
      </c>
      <c r="W19" s="11">
        <f t="shared" si="19"/>
        <v>1.5194843013713135</v>
      </c>
      <c r="X19" s="11">
        <v>297.09714285709998</v>
      </c>
      <c r="Y19" s="11">
        <f t="shared" si="20"/>
        <v>130.95056506968038</v>
      </c>
      <c r="Z19" s="11">
        <f t="shared" si="21"/>
        <v>38.905038737724794</v>
      </c>
      <c r="AA19" s="7">
        <v>1733</v>
      </c>
      <c r="AB19" s="15">
        <f>IFERROR(AA19/1725,0)</f>
        <v>1.0046376811594202</v>
      </c>
      <c r="AC19" s="11">
        <v>61.23</v>
      </c>
      <c r="AD19" s="15">
        <f>IFERROR(AC19/62.9,0)</f>
        <v>0.97344992050874402</v>
      </c>
      <c r="AE19" s="11">
        <v>21</v>
      </c>
      <c r="AF19" s="11">
        <v>26</v>
      </c>
      <c r="AG19" s="7">
        <f t="shared" si="22"/>
        <v>-12536.360000000028</v>
      </c>
      <c r="AH19" s="7">
        <v>35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IFERROR(1400/F19,0)</f>
        <v>3.0279435937364825E-2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44</v>
      </c>
      <c r="C20" s="7"/>
      <c r="D20" s="7">
        <v>7</v>
      </c>
      <c r="E20" s="7">
        <v>50525</v>
      </c>
      <c r="F20" s="7">
        <v>47817</v>
      </c>
      <c r="G20" s="7">
        <v>210</v>
      </c>
      <c r="H20" s="9">
        <f t="shared" si="12"/>
        <v>4.391743522178305E-3</v>
      </c>
      <c r="I20" s="9">
        <f>IFERROR((50525-F20)/50525,0)</f>
        <v>5.3597229094507669E-2</v>
      </c>
      <c r="J20" s="7">
        <v>305960</v>
      </c>
      <c r="K20" s="11">
        <f t="shared" si="13"/>
        <v>91.408016873855374</v>
      </c>
      <c r="L20" s="11">
        <f>K20-89.4854</f>
        <v>1.9226168738553753</v>
      </c>
      <c r="M20" s="11">
        <v>92</v>
      </c>
      <c r="N20" s="11">
        <f t="shared" si="14"/>
        <v>-0.59198312614462623</v>
      </c>
      <c r="O20" s="11">
        <f>IFERROR(7389730/50525,0)</f>
        <v>146.25888174171203</v>
      </c>
      <c r="P20" s="11">
        <v>158</v>
      </c>
      <c r="Q20" s="11">
        <f t="shared" si="15"/>
        <v>-11.741118258287969</v>
      </c>
      <c r="R20" s="7">
        <v>39101</v>
      </c>
      <c r="S20" s="11">
        <f t="shared" si="16"/>
        <v>116.81739010931558</v>
      </c>
      <c r="T20" s="13">
        <f t="shared" si="17"/>
        <v>7.8248638142246998</v>
      </c>
      <c r="U20" s="7">
        <v>68565</v>
      </c>
      <c r="V20" s="11">
        <f t="shared" si="18"/>
        <v>204.84346571303095</v>
      </c>
      <c r="W20" s="11">
        <f t="shared" si="19"/>
        <v>1.7535357151990998</v>
      </c>
      <c r="X20" s="11">
        <v>303.8557142857</v>
      </c>
      <c r="Y20" s="11">
        <f t="shared" si="20"/>
        <v>127.79775134004446</v>
      </c>
      <c r="Z20" s="11">
        <f t="shared" si="21"/>
        <v>38.832077017535482</v>
      </c>
      <c r="AA20" s="7">
        <v>1688</v>
      </c>
      <c r="AB20" s="15">
        <f>IFERROR(AA20/1580,0)</f>
        <v>1.0683544303797468</v>
      </c>
      <c r="AC20" s="11">
        <v>60.71</v>
      </c>
      <c r="AD20" s="15">
        <f>IFERROR(AC20/61.6,0)</f>
        <v>0.98555194805194801</v>
      </c>
      <c r="AE20" s="11">
        <v>23</v>
      </c>
      <c r="AF20" s="11">
        <v>26</v>
      </c>
      <c r="AG20" s="7">
        <f t="shared" si="22"/>
        <v>-1981.4800000000316</v>
      </c>
      <c r="AH20" s="7">
        <v>37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IFERROR(980/F20,0)</f>
        <v>2.0494803103498757E-2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63</v>
      </c>
      <c r="C21" s="7"/>
      <c r="D21" s="7">
        <v>7</v>
      </c>
      <c r="E21" s="7">
        <v>50845</v>
      </c>
      <c r="F21" s="7">
        <v>47630</v>
      </c>
      <c r="G21" s="7">
        <v>95</v>
      </c>
      <c r="H21" s="9">
        <f t="shared" si="12"/>
        <v>1.9945412555112322E-3</v>
      </c>
      <c r="I21" s="9">
        <f>IFERROR((50845-F21)/50845,0)</f>
        <v>6.3231389517159994E-2</v>
      </c>
      <c r="J21" s="7">
        <v>301760</v>
      </c>
      <c r="K21" s="11">
        <f t="shared" si="13"/>
        <v>90.507183347829994</v>
      </c>
      <c r="L21" s="11">
        <f>K21-91.5782</f>
        <v>-1.0710166521700017</v>
      </c>
      <c r="M21" s="11">
        <v>90.45</v>
      </c>
      <c r="N21" s="11">
        <f t="shared" si="14"/>
        <v>5.7183347829990794E-2</v>
      </c>
      <c r="O21" s="11">
        <f>IFERROR(13736190/50845,0)</f>
        <v>270.15812764283606</v>
      </c>
      <c r="P21" s="11">
        <v>275</v>
      </c>
      <c r="Q21" s="11">
        <f t="shared" si="15"/>
        <v>-4.8418723571639362</v>
      </c>
      <c r="R21" s="7">
        <v>39296</v>
      </c>
      <c r="S21" s="11">
        <f t="shared" si="16"/>
        <v>117.86089199484118</v>
      </c>
      <c r="T21" s="13">
        <f t="shared" si="17"/>
        <v>7.6791530944625404</v>
      </c>
      <c r="U21" s="7">
        <v>68400</v>
      </c>
      <c r="V21" s="11">
        <f t="shared" si="18"/>
        <v>205.15281485258387</v>
      </c>
      <c r="W21" s="11">
        <f t="shared" si="19"/>
        <v>1.7406351791530943</v>
      </c>
      <c r="X21" s="11">
        <v>304.17857142859998</v>
      </c>
      <c r="Y21" s="11">
        <f t="shared" si="20"/>
        <v>130.22269353128314</v>
      </c>
      <c r="Z21" s="11">
        <f t="shared" si="21"/>
        <v>39.610952885930089</v>
      </c>
      <c r="AA21" s="7">
        <v>1834</v>
      </c>
      <c r="AB21" s="15">
        <f>IFERROR(AA21/1725,0)</f>
        <v>1.0631884057971015</v>
      </c>
      <c r="AC21" s="11">
        <v>61.42</v>
      </c>
      <c r="AD21" s="15">
        <f>IFERROR(AC21/63.3,0)</f>
        <v>0.97030015797788316</v>
      </c>
      <c r="AE21" s="11">
        <v>20</v>
      </c>
      <c r="AF21" s="11">
        <v>26</v>
      </c>
      <c r="AG21" s="7">
        <f t="shared" si="22"/>
        <v>190.65499999997229</v>
      </c>
      <c r="AH21" s="7">
        <v>37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IFERROR(1400/F21,0)</f>
        <v>2.9393239554902372E-2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30</v>
      </c>
      <c r="C22" s="7"/>
      <c r="D22" s="7">
        <v>7</v>
      </c>
      <c r="E22" s="7">
        <v>21024</v>
      </c>
      <c r="F22" s="7">
        <v>20347</v>
      </c>
      <c r="G22" s="7">
        <v>119</v>
      </c>
      <c r="H22" s="9">
        <f t="shared" si="12"/>
        <v>5.8485280385314788E-3</v>
      </c>
      <c r="I22" s="9">
        <f>IFERROR((21024-F22)/21024,0)</f>
        <v>3.2201293759512938E-2</v>
      </c>
      <c r="J22" s="7">
        <v>98520</v>
      </c>
      <c r="K22" s="11">
        <f t="shared" si="13"/>
        <v>69.171306405296676</v>
      </c>
      <c r="L22" s="11">
        <f>K22-58.5291</f>
        <v>10.642206405296676</v>
      </c>
      <c r="M22" s="11">
        <v>95</v>
      </c>
      <c r="N22" s="11">
        <f t="shared" si="14"/>
        <v>-25.828693594703324</v>
      </c>
      <c r="O22" s="11">
        <f>IFERROR(834990/21024,0)</f>
        <v>39.716038812785385</v>
      </c>
      <c r="P22" s="11">
        <v>71</v>
      </c>
      <c r="Q22" s="11">
        <f t="shared" si="15"/>
        <v>-31.283961187214615</v>
      </c>
      <c r="R22" s="7">
        <v>18270</v>
      </c>
      <c r="S22" s="11">
        <f t="shared" si="16"/>
        <v>128.27443849216101</v>
      </c>
      <c r="T22" s="13">
        <f t="shared" si="17"/>
        <v>5.3924466338259442</v>
      </c>
      <c r="U22" s="7">
        <v>22420</v>
      </c>
      <c r="V22" s="11">
        <f t="shared" si="18"/>
        <v>157.41176305387245</v>
      </c>
      <c r="W22" s="11">
        <f t="shared" si="19"/>
        <v>1.2271483305966064</v>
      </c>
      <c r="X22" s="11">
        <v>315.77</v>
      </c>
      <c r="Y22" s="11">
        <f t="shared" si="20"/>
        <v>185.44457978075519</v>
      </c>
      <c r="Z22" s="11">
        <f t="shared" si="21"/>
        <v>58.557834957369067</v>
      </c>
      <c r="AA22" s="7">
        <v>1800</v>
      </c>
      <c r="AB22" s="15">
        <f>IFERROR(AA22/1900,0)</f>
        <v>0.94736842105263153</v>
      </c>
      <c r="AC22" s="11">
        <v>0</v>
      </c>
      <c r="AD22" s="15">
        <f>IFERROR(AC22/60.9,0)</f>
        <v>0</v>
      </c>
      <c r="AE22" s="11">
        <v>20</v>
      </c>
      <c r="AF22" s="11">
        <v>26</v>
      </c>
      <c r="AG22" s="7">
        <f t="shared" si="22"/>
        <v>-36787.549999999996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54</v>
      </c>
      <c r="C23" s="7"/>
      <c r="D23" s="7">
        <v>7</v>
      </c>
      <c r="E23" s="7">
        <v>21875</v>
      </c>
      <c r="F23" s="7">
        <v>20706</v>
      </c>
      <c r="G23" s="7">
        <v>39</v>
      </c>
      <c r="H23" s="9">
        <f t="shared" si="12"/>
        <v>1.8835120254998552E-3</v>
      </c>
      <c r="I23" s="9">
        <f>IFERROR((21875-F23)/21875,0)</f>
        <v>5.3440000000000001E-2</v>
      </c>
      <c r="J23" s="7">
        <v>132660</v>
      </c>
      <c r="K23" s="11">
        <f t="shared" si="13"/>
        <v>91.526265678685263</v>
      </c>
      <c r="L23" s="11">
        <f>K23-94.2051</f>
        <v>-2.6788343213147385</v>
      </c>
      <c r="M23" s="11">
        <v>87.5</v>
      </c>
      <c r="N23" s="11">
        <f t="shared" si="14"/>
        <v>4.0262656786852631</v>
      </c>
      <c r="O23" s="11">
        <f>IFERROR(4839990/21875,0)</f>
        <v>221.25668571428571</v>
      </c>
      <c r="P23" s="11">
        <v>222</v>
      </c>
      <c r="Q23" s="11">
        <f t="shared" si="15"/>
        <v>-0.74331428571429115</v>
      </c>
      <c r="R23" s="7">
        <v>16520</v>
      </c>
      <c r="S23" s="11">
        <f t="shared" si="16"/>
        <v>113.97662513281175</v>
      </c>
      <c r="T23" s="13">
        <f t="shared" si="17"/>
        <v>8.0302663438256658</v>
      </c>
      <c r="U23" s="7">
        <v>28698</v>
      </c>
      <c r="V23" s="11">
        <f t="shared" si="18"/>
        <v>197.99643995529246</v>
      </c>
      <c r="W23" s="11">
        <f t="shared" si="19"/>
        <v>1.7371670702179176</v>
      </c>
      <c r="X23" s="11">
        <v>291.14999999999998</v>
      </c>
      <c r="Y23" s="11">
        <f t="shared" si="20"/>
        <v>124.52887079752753</v>
      </c>
      <c r="Z23" s="11">
        <f t="shared" si="21"/>
        <v>36.256580732700137</v>
      </c>
      <c r="AA23" s="7">
        <v>2021</v>
      </c>
      <c r="AB23" s="15">
        <f>IFERROR(AA23/1950,0)</f>
        <v>1.0364102564102564</v>
      </c>
      <c r="AC23" s="11">
        <v>65.010000000000005</v>
      </c>
      <c r="AD23" s="15">
        <f>IFERROR(AC23/63.5,0)</f>
        <v>1.0237795275590551</v>
      </c>
      <c r="AE23" s="11">
        <v>21</v>
      </c>
      <c r="AF23" s="11">
        <v>26</v>
      </c>
      <c r="AG23" s="7">
        <f t="shared" si="22"/>
        <v>5835.7499999999936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IFERROR(575/F23,0)</f>
        <v>2.7769728581087609E-2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113</v>
      </c>
      <c r="C24" s="7">
        <v>46</v>
      </c>
      <c r="D24" s="7">
        <v>7</v>
      </c>
      <c r="E24" s="7">
        <v>51833</v>
      </c>
      <c r="F24" s="7">
        <v>27999</v>
      </c>
      <c r="G24" s="7">
        <v>178</v>
      </c>
      <c r="H24" s="9">
        <f t="shared" si="12"/>
        <v>6.3573699060680737E-3</v>
      </c>
      <c r="I24" s="9">
        <f>IFERROR((51833-F24)/51833,0)</f>
        <v>0.45982289275172189</v>
      </c>
      <c r="J24" s="7">
        <v>97760</v>
      </c>
      <c r="K24" s="11">
        <f t="shared" si="13"/>
        <v>49.879332425137633</v>
      </c>
      <c r="L24" s="11">
        <f>K24-51.1258</f>
        <v>-1.2464675748623648</v>
      </c>
      <c r="M24" s="11">
        <v>67</v>
      </c>
      <c r="N24" s="11">
        <f t="shared" si="14"/>
        <v>-17.120667574862367</v>
      </c>
      <c r="O24" s="11">
        <f>IFERROR(22218448/51833,0)</f>
        <v>428.6544865240291</v>
      </c>
      <c r="P24" s="11">
        <v>0</v>
      </c>
      <c r="Q24" s="11">
        <f t="shared" si="15"/>
        <v>428.6544865240291</v>
      </c>
      <c r="R24" s="7">
        <v>22285</v>
      </c>
      <c r="S24" s="11">
        <f t="shared" si="16"/>
        <v>113.7030404147087</v>
      </c>
      <c r="T24" s="13">
        <f t="shared" si="17"/>
        <v>4.3868072694637652</v>
      </c>
      <c r="U24" s="7">
        <v>38292</v>
      </c>
      <c r="V24" s="11">
        <f t="shared" si="18"/>
        <v>195.37432459322528</v>
      </c>
      <c r="W24" s="11">
        <f t="shared" si="19"/>
        <v>1.7182858424949519</v>
      </c>
      <c r="X24" s="11">
        <v>289.42428571430003</v>
      </c>
      <c r="Y24" s="11">
        <f t="shared" si="20"/>
        <v>227.95621931260231</v>
      </c>
      <c r="Z24" s="11">
        <f t="shared" si="21"/>
        <v>65.976065948682262</v>
      </c>
      <c r="AA24" s="7">
        <v>1606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22</v>
      </c>
      <c r="AF24" s="11">
        <v>26</v>
      </c>
      <c r="AG24" s="7">
        <f t="shared" si="22"/>
        <v>-33555.31</v>
      </c>
      <c r="AH24" s="7">
        <v>39</v>
      </c>
      <c r="AI24" s="7">
        <v>17.435897435899999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IFERROR(1400/F24,0)</f>
        <v>5.0001785778063502E-2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111</v>
      </c>
      <c r="C25" s="7">
        <v>45</v>
      </c>
      <c r="D25" s="7">
        <v>7</v>
      </c>
      <c r="E25" s="7">
        <v>21623</v>
      </c>
      <c r="F25" s="7">
        <v>17304</v>
      </c>
      <c r="G25" s="7">
        <v>63</v>
      </c>
      <c r="H25" s="9">
        <f t="shared" si="12"/>
        <v>3.6407766990291263E-3</v>
      </c>
      <c r="I25" s="9">
        <f>IFERROR((21623-F25)/21623,0)</f>
        <v>0.19974101651019746</v>
      </c>
      <c r="J25" s="7">
        <v>72360</v>
      </c>
      <c r="K25" s="11">
        <f t="shared" si="13"/>
        <v>59.738458490192194</v>
      </c>
      <c r="L25" s="11">
        <f>K25-61.8908</f>
        <v>-2.1523415098078047</v>
      </c>
      <c r="M25" s="11">
        <v>66</v>
      </c>
      <c r="N25" s="11">
        <f t="shared" si="14"/>
        <v>-6.261541509807806</v>
      </c>
      <c r="O25" s="11">
        <f>IFERROR(9581915/21623,0)</f>
        <v>443.1353188734218</v>
      </c>
      <c r="P25" s="11">
        <v>0</v>
      </c>
      <c r="Q25" s="11">
        <f t="shared" si="15"/>
        <v>443.1353188734218</v>
      </c>
      <c r="R25" s="7">
        <v>15576</v>
      </c>
      <c r="S25" s="11">
        <f t="shared" si="16"/>
        <v>128.59124232217158</v>
      </c>
      <c r="T25" s="13">
        <f t="shared" si="17"/>
        <v>4.6456086286594758</v>
      </c>
      <c r="U25" s="7">
        <v>19146</v>
      </c>
      <c r="V25" s="11">
        <f t="shared" si="18"/>
        <v>158.0641965524074</v>
      </c>
      <c r="W25" s="11">
        <f t="shared" si="19"/>
        <v>1.2291987673343607</v>
      </c>
      <c r="X25" s="11">
        <v>279.9685714286</v>
      </c>
      <c r="Y25" s="11">
        <f t="shared" si="20"/>
        <v>215.25704809286896</v>
      </c>
      <c r="Z25" s="11">
        <f t="shared" si="21"/>
        <v>60.26520824449797</v>
      </c>
      <c r="AA25" s="7">
        <v>2119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22</v>
      </c>
      <c r="AF25" s="11">
        <v>26</v>
      </c>
      <c r="AG25" s="7">
        <f t="shared" si="22"/>
        <v>-7584.4799999999987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IFERROR(560/F25,0)</f>
        <v>3.2362459546925564E-2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68</v>
      </c>
      <c r="B26" s="5">
        <v>44</v>
      </c>
      <c r="C26" s="7"/>
      <c r="D26" s="7">
        <v>7</v>
      </c>
      <c r="E26" s="7">
        <v>21339</v>
      </c>
      <c r="F26" s="7">
        <v>20564</v>
      </c>
      <c r="G26" s="7">
        <v>51</v>
      </c>
      <c r="H26" s="9">
        <f t="shared" si="12"/>
        <v>2.480062244699475E-3</v>
      </c>
      <c r="I26" s="9">
        <f>IFERROR((21339-F26)/21339,0)</f>
        <v>3.6318477904306666E-2</v>
      </c>
      <c r="J26" s="7">
        <v>126900</v>
      </c>
      <c r="K26" s="11">
        <f t="shared" si="13"/>
        <v>88.156834412426704</v>
      </c>
      <c r="L26" s="11">
        <f>K26-88.4377</f>
        <v>-0.28086558757330238</v>
      </c>
      <c r="M26" s="11">
        <v>91</v>
      </c>
      <c r="N26" s="11">
        <f t="shared" si="14"/>
        <v>-2.8431655875732957</v>
      </c>
      <c r="O26" s="11">
        <f>IFERROR(3258410/21339,0)</f>
        <v>152.69740850086697</v>
      </c>
      <c r="P26" s="11">
        <v>162</v>
      </c>
      <c r="Q26" s="11">
        <f t="shared" si="15"/>
        <v>-9.3025914991330296</v>
      </c>
      <c r="R26" s="7">
        <v>17220</v>
      </c>
      <c r="S26" s="11">
        <f t="shared" si="16"/>
        <v>119.62653180315114</v>
      </c>
      <c r="T26" s="13">
        <f t="shared" si="17"/>
        <v>7.3693379790940767</v>
      </c>
      <c r="U26" s="7">
        <v>34282</v>
      </c>
      <c r="V26" s="11">
        <f t="shared" si="18"/>
        <v>238.15544502181342</v>
      </c>
      <c r="W26" s="11">
        <f t="shared" si="19"/>
        <v>1.9908246225319395</v>
      </c>
      <c r="X26" s="11">
        <v>286.74857142859997</v>
      </c>
      <c r="Y26" s="11">
        <f t="shared" si="20"/>
        <v>135.69739952718678</v>
      </c>
      <c r="Z26" s="11">
        <f t="shared" si="21"/>
        <v>38.911035460996786</v>
      </c>
      <c r="AA26" s="7">
        <v>1906</v>
      </c>
      <c r="AB26" s="15">
        <f>IFERROR(AA26/1940,0)</f>
        <v>0.98247422680412366</v>
      </c>
      <c r="AC26" s="11">
        <v>64.22</v>
      </c>
      <c r="AD26" s="15">
        <f>IFERROR(AC26/62.9,0)</f>
        <v>1.0209856915739268</v>
      </c>
      <c r="AE26" s="11">
        <v>23</v>
      </c>
      <c r="AF26" s="11">
        <v>26</v>
      </c>
      <c r="AG26" s="7">
        <f t="shared" si="22"/>
        <v>-4092.680000000008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IFERROR(490/F26,0)</f>
        <v>2.3828049017700838E-2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69</v>
      </c>
      <c r="B27" s="5">
        <v>31</v>
      </c>
      <c r="C27" s="7"/>
      <c r="D27" s="7">
        <v>7</v>
      </c>
      <c r="E27" s="7">
        <v>64976</v>
      </c>
      <c r="F27" s="7">
        <v>63454</v>
      </c>
      <c r="G27" s="7">
        <v>152</v>
      </c>
      <c r="H27" s="9">
        <f t="shared" si="12"/>
        <v>2.3954360639203203E-3</v>
      </c>
      <c r="I27" s="9">
        <f>IFERROR((64976-F27)/64976,0)</f>
        <v>2.3424033489288353E-2</v>
      </c>
      <c r="J27" s="7">
        <v>425700</v>
      </c>
      <c r="K27" s="11">
        <f t="shared" si="13"/>
        <v>95.839956053654177</v>
      </c>
      <c r="L27" s="11">
        <f>K27-95.6469</f>
        <v>0.19305605365417478</v>
      </c>
      <c r="M27" s="11">
        <v>96</v>
      </c>
      <c r="N27" s="11">
        <f t="shared" si="14"/>
        <v>-0.16004394634582297</v>
      </c>
      <c r="O27" s="11">
        <f>IFERROR(4843700/64976,0)</f>
        <v>74.545986210293037</v>
      </c>
      <c r="P27" s="11">
        <v>74</v>
      </c>
      <c r="Q27" s="11">
        <f t="shared" si="15"/>
        <v>0.54598621029303729</v>
      </c>
      <c r="R27" s="7">
        <v>52700</v>
      </c>
      <c r="S27" s="11">
        <f t="shared" si="16"/>
        <v>118.6461283539482</v>
      </c>
      <c r="T27" s="13">
        <f t="shared" si="17"/>
        <v>8.0777988614800762</v>
      </c>
      <c r="U27" s="7">
        <v>98010</v>
      </c>
      <c r="V27" s="11">
        <f t="shared" si="18"/>
        <v>220.654782542134</v>
      </c>
      <c r="W27" s="11">
        <f t="shared" si="19"/>
        <v>1.8597722960151801</v>
      </c>
      <c r="X27" s="11">
        <v>294.02285714290002</v>
      </c>
      <c r="Y27" s="11">
        <f t="shared" si="20"/>
        <v>123.79610054028657</v>
      </c>
      <c r="Z27" s="11">
        <f t="shared" si="21"/>
        <v>36.398883184004767</v>
      </c>
      <c r="AA27" s="7">
        <v>1609</v>
      </c>
      <c r="AB27" s="15">
        <f>IFERROR(AA27/1540,0)</f>
        <v>1.0448051948051948</v>
      </c>
      <c r="AC27" s="11">
        <v>0</v>
      </c>
      <c r="AD27" s="15">
        <f>IFERROR(AC27/58.1,0)</f>
        <v>0</v>
      </c>
      <c r="AE27" s="11">
        <v>18</v>
      </c>
      <c r="AF27" s="11">
        <v>25</v>
      </c>
      <c r="AG27" s="7">
        <f t="shared" si="22"/>
        <v>-710.87999999994963</v>
      </c>
      <c r="AH27" s="7">
        <v>19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102</v>
      </c>
      <c r="C28" s="7">
        <v>30</v>
      </c>
      <c r="D28" s="7">
        <v>7</v>
      </c>
      <c r="E28" s="7">
        <v>47224</v>
      </c>
      <c r="F28" s="7">
        <v>41110</v>
      </c>
      <c r="G28" s="7">
        <v>321</v>
      </c>
      <c r="H28" s="9">
        <f t="shared" si="12"/>
        <v>7.8083191437606425E-3</v>
      </c>
      <c r="I28" s="9">
        <f>IFERROR((47224-F28)/47224,0)</f>
        <v>0.12946806708453329</v>
      </c>
      <c r="J28" s="7">
        <v>166440</v>
      </c>
      <c r="K28" s="11">
        <f t="shared" si="13"/>
        <v>57.837856621607543</v>
      </c>
      <c r="L28" s="11">
        <f>K28-63.3273</f>
        <v>-5.4894433783924583</v>
      </c>
      <c r="M28" s="11">
        <v>72</v>
      </c>
      <c r="N28" s="11">
        <f t="shared" si="14"/>
        <v>-14.162143378392457</v>
      </c>
      <c r="O28" s="11">
        <f>IFERROR(18116300/47224,0)</f>
        <v>383.62485177028628</v>
      </c>
      <c r="P28" s="11">
        <v>0</v>
      </c>
      <c r="Q28" s="11">
        <f t="shared" si="15"/>
        <v>383.62485177028628</v>
      </c>
      <c r="R28" s="7">
        <v>33150</v>
      </c>
      <c r="S28" s="11">
        <f t="shared" si="16"/>
        <v>115.19616360287729</v>
      </c>
      <c r="T28" s="13">
        <f t="shared" si="17"/>
        <v>5.020814479638009</v>
      </c>
      <c r="U28" s="7">
        <v>57400</v>
      </c>
      <c r="V28" s="11">
        <f t="shared" si="18"/>
        <v>199.46485040136218</v>
      </c>
      <c r="W28" s="11">
        <f t="shared" si="19"/>
        <v>1.7315233785822022</v>
      </c>
      <c r="X28" s="11">
        <v>290.40285714290002</v>
      </c>
      <c r="Y28" s="11">
        <f t="shared" si="20"/>
        <v>199.17087238644552</v>
      </c>
      <c r="Z28" s="11">
        <f t="shared" si="21"/>
        <v>57.839790400667709</v>
      </c>
      <c r="AA28" s="7">
        <v>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14</v>
      </c>
      <c r="AF28" s="11">
        <v>26</v>
      </c>
      <c r="AG28" s="7">
        <f t="shared" si="22"/>
        <v>-40754.39999999998</v>
      </c>
      <c r="AH28" s="7">
        <v>51</v>
      </c>
      <c r="AI28" s="7">
        <v>17.6470588235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IFERROR(1190/F28,0)</f>
        <v>2.8946728289953781E-2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22</v>
      </c>
      <c r="C29" s="7"/>
      <c r="D29" s="7">
        <v>7</v>
      </c>
      <c r="E29" s="7">
        <v>24546</v>
      </c>
      <c r="F29" s="7">
        <v>24434</v>
      </c>
      <c r="G29" s="7">
        <v>40</v>
      </c>
      <c r="H29" s="9">
        <f t="shared" si="12"/>
        <v>1.6370631087828436E-3</v>
      </c>
      <c r="I29" s="9">
        <f>IFERROR((24546-F29)/24546,0)</f>
        <v>4.5628615660392733E-3</v>
      </c>
      <c r="J29" s="7">
        <v>136200</v>
      </c>
      <c r="K29" s="11">
        <f t="shared" si="13"/>
        <v>79.631426934365464</v>
      </c>
      <c r="L29" s="11">
        <f>K29-58.6045</f>
        <v>21.026926934365463</v>
      </c>
      <c r="M29" s="11">
        <v>82</v>
      </c>
      <c r="N29" s="11">
        <f t="shared" si="14"/>
        <v>-2.3685730656345356</v>
      </c>
      <c r="O29" s="11">
        <f>IFERROR(332420/24546,0)</f>
        <v>13.542736087346206</v>
      </c>
      <c r="P29" s="11">
        <v>15</v>
      </c>
      <c r="Q29" s="11">
        <f t="shared" si="15"/>
        <v>-1.4572639126537936</v>
      </c>
      <c r="R29" s="7">
        <v>18160</v>
      </c>
      <c r="S29" s="11">
        <f t="shared" si="16"/>
        <v>106.17523591248728</v>
      </c>
      <c r="T29" s="13">
        <f t="shared" si="17"/>
        <v>7.5</v>
      </c>
      <c r="U29" s="7">
        <v>28900</v>
      </c>
      <c r="V29" s="11">
        <f t="shared" si="18"/>
        <v>168.96829944222921</v>
      </c>
      <c r="W29" s="11">
        <f t="shared" si="19"/>
        <v>1.591409691629956</v>
      </c>
      <c r="X29" s="11">
        <v>318.98714285710003</v>
      </c>
      <c r="Y29" s="11">
        <f t="shared" si="20"/>
        <v>133.33333333333331</v>
      </c>
      <c r="Z29" s="11">
        <f t="shared" si="21"/>
        <v>42.531619047613333</v>
      </c>
      <c r="AA29" s="7">
        <v>1315</v>
      </c>
      <c r="AB29" s="15">
        <f>IFERROR(AA29/1450,0)</f>
        <v>0.90689655172413797</v>
      </c>
      <c r="AC29" s="11">
        <v>0</v>
      </c>
      <c r="AD29" s="15">
        <f>IFERROR(AC29/49.8,0)</f>
        <v>0</v>
      </c>
      <c r="AE29" s="11">
        <v>15</v>
      </c>
      <c r="AF29" s="11">
        <v>26</v>
      </c>
      <c r="AG29" s="7">
        <f t="shared" si="22"/>
        <v>-4051.1599999999967</v>
      </c>
      <c r="AH29" s="7">
        <v>39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IFERROR(0/F29,0)</f>
        <v>0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22</v>
      </c>
      <c r="C30" s="7"/>
      <c r="D30" s="7">
        <v>7</v>
      </c>
      <c r="E30" s="7">
        <v>12056</v>
      </c>
      <c r="F30" s="7">
        <v>11963</v>
      </c>
      <c r="G30" s="7">
        <v>27</v>
      </c>
      <c r="H30" s="9">
        <f t="shared" si="12"/>
        <v>2.2569589567834154E-3</v>
      </c>
      <c r="I30" s="9">
        <f>IFERROR((12056-F30)/12056,0)</f>
        <v>7.7140013271400128E-3</v>
      </c>
      <c r="J30" s="7">
        <v>72760</v>
      </c>
      <c r="K30" s="11">
        <f t="shared" si="13"/>
        <v>86.886949045270541</v>
      </c>
      <c r="L30" s="11">
        <f>K30-82.1041</f>
        <v>4.7828490452705381</v>
      </c>
      <c r="M30" s="11">
        <v>89.5</v>
      </c>
      <c r="N30" s="11">
        <f t="shared" si="14"/>
        <v>-2.6130509547294594</v>
      </c>
      <c r="O30" s="11">
        <f>IFERROR(249230/12056,0)</f>
        <v>20.672694094226941</v>
      </c>
      <c r="P30" s="11">
        <v>19</v>
      </c>
      <c r="Q30" s="11">
        <f t="shared" si="15"/>
        <v>1.6726940942269408</v>
      </c>
      <c r="R30" s="7">
        <v>9570</v>
      </c>
      <c r="S30" s="11">
        <f t="shared" si="16"/>
        <v>114.28093765300152</v>
      </c>
      <c r="T30" s="13">
        <f t="shared" si="17"/>
        <v>7.6029258098223611</v>
      </c>
      <c r="U30" s="7">
        <v>14100</v>
      </c>
      <c r="V30" s="11">
        <f t="shared" si="18"/>
        <v>168.37630312511195</v>
      </c>
      <c r="W30" s="11">
        <f t="shared" si="19"/>
        <v>1.4733542319749215</v>
      </c>
      <c r="X30" s="11">
        <v>288.72714285709998</v>
      </c>
      <c r="Y30" s="11">
        <f t="shared" si="20"/>
        <v>131.52831225948322</v>
      </c>
      <c r="Z30" s="11">
        <f t="shared" si="21"/>
        <v>37.975793803497062</v>
      </c>
      <c r="AA30" s="7">
        <v>1648</v>
      </c>
      <c r="AB30" s="15">
        <f>IFERROR(AA30/1770,0)</f>
        <v>0.93107344632768363</v>
      </c>
      <c r="AC30" s="11">
        <v>0</v>
      </c>
      <c r="AD30" s="15">
        <f>IFERROR(AC30/54.2,0)</f>
        <v>0</v>
      </c>
      <c r="AE30" s="11">
        <v>15</v>
      </c>
      <c r="AF30" s="11">
        <v>26</v>
      </c>
      <c r="AG30" s="7">
        <f t="shared" si="22"/>
        <v>-2188.1949999999965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IFERROR(0/F30,0)</f>
        <v>0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628556</v>
      </c>
      <c r="F31" s="17">
        <f>SUM(F14:F30)</f>
        <v>558235</v>
      </c>
      <c r="G31" s="17">
        <f>SUM(G14:G30)</f>
        <v>2702</v>
      </c>
      <c r="H31" s="18">
        <f t="shared" si="12"/>
        <v>4.8402554479744196E-3</v>
      </c>
      <c r="I31" s="18"/>
      <c r="J31" s="17">
        <f>SUM(J14:J30)</f>
        <v>2925750</v>
      </c>
      <c r="K31" s="19">
        <f t="shared" si="13"/>
        <v>74.872461546532506</v>
      </c>
      <c r="L31" s="19"/>
      <c r="M31" s="19">
        <f>IFERROR(SUMPRODUCT($F14:$F30,M14:M30)/$F31, 0)</f>
        <v>78.3354534380682</v>
      </c>
      <c r="N31" s="19">
        <f t="shared" si="14"/>
        <v>-3.4629918915356939</v>
      </c>
      <c r="O31" s="19">
        <f>IFERROR(SUMPRODUCT($E14:$E30,O14:O30)/$E31, 0)</f>
        <v>226.77574631377317</v>
      </c>
      <c r="P31" s="19">
        <f>IFERROR(SUMPRODUCT($E14:$E30,P14:P30)/$E31, 0)</f>
        <v>130.95453547496166</v>
      </c>
      <c r="Q31" s="19">
        <f>IFERROR(SUMPRODUCT($E14:$E30,Q14:Q30)/$E31, 0)</f>
        <v>95.821210838811496</v>
      </c>
      <c r="R31" s="17">
        <f>SUM(R14:R30)</f>
        <v>430992</v>
      </c>
      <c r="S31" s="19">
        <f>IFERROR(R31/D31/$F31*1000,0)</f>
        <v>110.29456360544523</v>
      </c>
      <c r="T31" s="20">
        <f t="shared" si="17"/>
        <v>6.7884090655975049</v>
      </c>
      <c r="U31" s="17">
        <f>SUM(U14:U30)</f>
        <v>724284</v>
      </c>
      <c r="V31" s="19">
        <f>IFERROR(U31/D31/$F31*1000,0)</f>
        <v>185.35051162528836</v>
      </c>
      <c r="W31" s="19">
        <f t="shared" si="19"/>
        <v>1.6805045105245571</v>
      </c>
      <c r="X31" s="19">
        <f>IFERROR(SUMPRODUCT(R14:R30,X14:X30)/R31,0)</f>
        <v>300.79735750481615</v>
      </c>
      <c r="Y31" s="19">
        <f>IFERROR(($F31*S31)/($F31*K31)*100,0)</f>
        <v>147.30992053319659</v>
      </c>
      <c r="Z31" s="19">
        <f t="shared" si="21"/>
        <v>44.310434830629994</v>
      </c>
      <c r="AA31" s="17"/>
      <c r="AB31" s="21">
        <f>IFERROR(SUMPRODUCT($F14:$F30,AB14:AB30)/$F31,0)</f>
        <v>0.77519540999746961</v>
      </c>
      <c r="AC31" s="19"/>
      <c r="AD31" s="21">
        <f>AVERAGE(AD14:AD30)</f>
        <v>0.29259219092185629</v>
      </c>
      <c r="AE31" s="19"/>
      <c r="AF31" s="19"/>
      <c r="AG31" s="17">
        <f>SUM(AG14:AG30)</f>
        <v>-135321.4295</v>
      </c>
      <c r="AH31" s="17">
        <f>SUM(AH14:AH30)</f>
        <v>338</v>
      </c>
      <c r="AI31" s="17">
        <f>IFERROR(SUMPRODUCT(AH14:AH30,AI14:AI30)/AH31, 0)</f>
        <v>16.153846153848818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674761</v>
      </c>
      <c r="F33" s="23">
        <f>F12+F31</f>
        <v>595661</v>
      </c>
      <c r="G33" s="23">
        <f>G12+G31</f>
        <v>2833</v>
      </c>
      <c r="H33" s="24">
        <f>IFERROR(G33/F33,0)</f>
        <v>4.7560609138419339E-3</v>
      </c>
      <c r="I33" s="23"/>
      <c r="J33" s="23">
        <f>J12+J31</f>
        <v>3127150</v>
      </c>
      <c r="K33" s="25">
        <f>IFERROR(J33/D33/F33*100,0)</f>
        <v>74.998315197018812</v>
      </c>
      <c r="L33" s="23"/>
      <c r="M33" s="25">
        <f>IFERROR($F$12/$F33*M$12,0)+IFERROR($F$31/$F33*M$31,0)</f>
        <v>78.453164383768623</v>
      </c>
      <c r="N33" s="25">
        <f>K33-M33</f>
        <v>-3.4548491867498115</v>
      </c>
      <c r="O33" s="23">
        <f>IFERROR($E$12/$E33*O$12,0)+IFERROR($E$31/$E33*O$31,0)</f>
        <v>233.05881934492362</v>
      </c>
      <c r="P33" s="23">
        <f>IFERROR($E$12/$E33*P$12,0)+IFERROR($E$31/$E33*P$31,0)</f>
        <v>125.11447608857063</v>
      </c>
      <c r="Q33" s="23">
        <f>IFERROR($E$12/$E33*Q$12,0)+IFERROR($E$31/$E33*Q$31,0)</f>
        <v>107.94434325635298</v>
      </c>
      <c r="R33" s="23">
        <f>R12+R31</f>
        <v>465862</v>
      </c>
      <c r="S33" s="25">
        <f>IFERROR(R33/D33/$F33*1000,0)</f>
        <v>111.72749984590949</v>
      </c>
      <c r="T33" s="26">
        <f>IFERROR(J33/R33,0)</f>
        <v>6.712610172111054</v>
      </c>
      <c r="U33" s="23">
        <f>U12+U31</f>
        <v>739404</v>
      </c>
      <c r="V33" s="25">
        <f>IFERROR(U33/D33/$F33*1000,0)</f>
        <v>177.33096989251075</v>
      </c>
      <c r="W33" s="25">
        <f>IFERROR(V33/S33,0)</f>
        <v>1.5871738841116034</v>
      </c>
      <c r="X33" s="25">
        <f>IFERROR($F$12/$F33*X$12,0)+IFERROR($F$31/$F33*X$31,0)</f>
        <v>304.99979971657859</v>
      </c>
      <c r="Y33" s="25">
        <f>IFERROR(($F33*S33)/($F33*K33)*100,0)</f>
        <v>148.97334633771968</v>
      </c>
      <c r="Z33" s="25">
        <f>IFERROR(Y33*X33/1000,0)</f>
        <v>45.436840796113003</v>
      </c>
      <c r="AA33" s="23"/>
      <c r="AB33" s="27"/>
      <c r="AC33" s="23"/>
      <c r="AD33" s="27"/>
      <c r="AE33" s="23"/>
      <c r="AF33" s="23"/>
      <c r="AG33" s="23">
        <f>AG12+AG31</f>
        <v>-144054.32449999999</v>
      </c>
      <c r="AH33" s="23">
        <f>AH12+AH31</f>
        <v>338</v>
      </c>
      <c r="AI33" s="23">
        <f>IFERROR(AH$12/AH33*AI$12,0)+IFERROR(AH$31/AH33*AI$31,0)</f>
        <v>16.153846153848818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69</v>
      </c>
      <c r="T36" s="32" t="s">
        <v>61</v>
      </c>
      <c r="U36" s="32" t="s">
        <v>70</v>
      </c>
      <c r="V36" s="32" t="s">
        <v>71</v>
      </c>
      <c r="W36" s="32" t="s">
        <v>72</v>
      </c>
      <c r="X36" s="32" t="s">
        <v>62</v>
      </c>
      <c r="Y36" s="32" t="s">
        <v>66</v>
      </c>
      <c r="Z36" s="32" t="s">
        <v>67</v>
      </c>
      <c r="AA36" s="32" t="s">
        <v>81</v>
      </c>
      <c r="AB36" s="32" t="s">
        <v>63</v>
      </c>
      <c r="AC36" s="32" t="s">
        <v>68</v>
      </c>
      <c r="AD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/>
      <c r="T37" s="8">
        <v>2.5000000000000001E-3</v>
      </c>
      <c r="U37" s="8">
        <v>5.3E-3</v>
      </c>
      <c r="V37" s="8">
        <v>6.3E-3</v>
      </c>
      <c r="W37" s="8">
        <v>2.7000000000000001E-3</v>
      </c>
      <c r="X37" s="8">
        <v>1.5E-3</v>
      </c>
      <c r="Y37" s="8">
        <v>1.4E-3</v>
      </c>
      <c r="Z37" s="8">
        <v>2.8E-3</v>
      </c>
      <c r="AA37" s="8">
        <v>1.6999999999999999E-3</v>
      </c>
      <c r="AB37" s="8"/>
      <c r="AC37" s="8"/>
      <c r="AD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/>
      <c r="T38" s="9">
        <v>2.5000000000000001E-3</v>
      </c>
      <c r="U38" s="9">
        <v>5.7999999999999996E-3</v>
      </c>
      <c r="V38" s="9">
        <v>3.5999999999999999E-3</v>
      </c>
      <c r="W38" s="9">
        <v>2.3E-3</v>
      </c>
      <c r="X38" s="9">
        <v>1.5E-3</v>
      </c>
      <c r="Y38" s="9">
        <v>1E-3</v>
      </c>
      <c r="Z38" s="9">
        <v>3.0000000000000001E-3</v>
      </c>
      <c r="AA38" s="9">
        <v>1.8E-3</v>
      </c>
      <c r="AB38" s="9"/>
      <c r="AC38" s="9"/>
      <c r="AD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/>
      <c r="T39" s="9">
        <v>2.5000000000000001E-3</v>
      </c>
      <c r="U39" s="9">
        <v>5.4999999999999997E-3</v>
      </c>
      <c r="V39" s="9">
        <v>3.5000000000000001E-3</v>
      </c>
      <c r="W39" s="9">
        <v>2.5000000000000001E-3</v>
      </c>
      <c r="X39" s="9">
        <v>1.6999999999999999E-3</v>
      </c>
      <c r="Y39" s="9">
        <v>6.9999999999999999E-4</v>
      </c>
      <c r="Z39" s="9">
        <v>2.8E-3</v>
      </c>
      <c r="AA39" s="9">
        <v>1.4E-3</v>
      </c>
      <c r="AB39" s="9"/>
      <c r="AC39" s="9"/>
      <c r="AD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/>
      <c r="T40" s="9">
        <v>2.5999999999999999E-3</v>
      </c>
      <c r="U40" s="9">
        <v>3.2000000000000002E-3</v>
      </c>
      <c r="V40" s="9">
        <v>3.7000000000000002E-3</v>
      </c>
      <c r="W40" s="9">
        <v>2.5000000000000001E-3</v>
      </c>
      <c r="X40" s="9">
        <v>1.6000000000000001E-3</v>
      </c>
      <c r="Y40" s="9">
        <v>8.9999999999999998E-4</v>
      </c>
      <c r="Z40" s="9">
        <v>3.5000000000000001E-3</v>
      </c>
      <c r="AA40" s="9">
        <v>1.6000000000000001E-3</v>
      </c>
      <c r="AB40" s="9"/>
      <c r="AC40" s="9"/>
      <c r="AD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/>
      <c r="T41" s="9">
        <v>2.3E-3</v>
      </c>
      <c r="U41" s="9">
        <v>2.2000000000000001E-3</v>
      </c>
      <c r="V41" s="9">
        <v>4.4000000000000003E-3</v>
      </c>
      <c r="W41" s="9">
        <v>2.3E-3</v>
      </c>
      <c r="X41" s="9">
        <v>1.6000000000000001E-3</v>
      </c>
      <c r="Y41" s="9">
        <v>8.9999999999999998E-4</v>
      </c>
      <c r="Z41" s="9">
        <v>3.0999999999999999E-3</v>
      </c>
      <c r="AA41" s="9">
        <v>1.5E-3</v>
      </c>
      <c r="AB41" s="9"/>
      <c r="AC41" s="9"/>
      <c r="AD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/>
      <c r="T42" s="9">
        <v>1.6999999999999999E-3</v>
      </c>
      <c r="U42" s="9">
        <v>3.0000000000000001E-3</v>
      </c>
      <c r="V42" s="9">
        <v>3.5999999999999999E-3</v>
      </c>
      <c r="W42" s="9">
        <v>1.8E-3</v>
      </c>
      <c r="X42" s="9">
        <v>8.9999999999999998E-4</v>
      </c>
      <c r="Y42" s="9">
        <v>5.9999999999999995E-4</v>
      </c>
      <c r="Z42" s="9">
        <v>1.6999999999999999E-3</v>
      </c>
      <c r="AA42" s="9">
        <v>1E-3</v>
      </c>
      <c r="AB42" s="9">
        <v>0</v>
      </c>
      <c r="AC42" s="9">
        <v>0</v>
      </c>
      <c r="AD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/>
      <c r="T43" s="9">
        <v>1.9E-3</v>
      </c>
      <c r="U43" s="9">
        <v>4.3E-3</v>
      </c>
      <c r="V43" s="9">
        <v>4.1999999999999997E-3</v>
      </c>
      <c r="W43" s="9">
        <v>4.4000000000000003E-3</v>
      </c>
      <c r="X43" s="9">
        <v>1.1000000000000001E-3</v>
      </c>
      <c r="Y43" s="9">
        <v>5.0000000000000001E-4</v>
      </c>
      <c r="Z43" s="9">
        <v>2.0999999999999999E-3</v>
      </c>
      <c r="AA43" s="9">
        <v>1.1999999999999999E-3</v>
      </c>
      <c r="AB43" s="9">
        <v>8.9999999999999998E-4</v>
      </c>
      <c r="AC43" s="9">
        <v>8.0000000000000004E-4</v>
      </c>
      <c r="AD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/>
      <c r="T44" s="9">
        <v>1.9E-3</v>
      </c>
      <c r="U44" s="9">
        <v>3.0999999999999999E-3</v>
      </c>
      <c r="V44" s="9">
        <v>3.2000000000000002E-3</v>
      </c>
      <c r="W44" s="9">
        <v>2.3E-3</v>
      </c>
      <c r="X44" s="9">
        <v>1.1000000000000001E-3</v>
      </c>
      <c r="Y44" s="9">
        <v>5.0000000000000001E-4</v>
      </c>
      <c r="Z44" s="9">
        <v>2.8E-3</v>
      </c>
      <c r="AA44" s="9">
        <v>1.2999999999999999E-3</v>
      </c>
      <c r="AB44" s="9">
        <v>1.1999999999999999E-3</v>
      </c>
      <c r="AC44" s="9">
        <v>6.9999999999999999E-4</v>
      </c>
      <c r="AD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/>
      <c r="T45" s="9">
        <v>2.5000000000000001E-3</v>
      </c>
      <c r="U45" s="9">
        <v>3.0999999999999999E-3</v>
      </c>
      <c r="V45" s="9">
        <v>4.5999999999999999E-3</v>
      </c>
      <c r="W45" s="9">
        <v>2.8E-3</v>
      </c>
      <c r="X45" s="9">
        <v>1.6999999999999999E-3</v>
      </c>
      <c r="Y45" s="9">
        <v>1E-3</v>
      </c>
      <c r="Z45" s="9">
        <v>3.5999999999999999E-3</v>
      </c>
      <c r="AA45" s="9">
        <v>1.6000000000000001E-3</v>
      </c>
      <c r="AB45" s="9">
        <v>2.3E-3</v>
      </c>
      <c r="AC45" s="9">
        <v>1.1999999999999999E-3</v>
      </c>
      <c r="AD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/>
      <c r="T46" s="9">
        <v>2.5000000000000001E-3</v>
      </c>
      <c r="U46" s="9">
        <v>2.5999999999999999E-3</v>
      </c>
      <c r="V46" s="9">
        <v>3.3999999999999998E-3</v>
      </c>
      <c r="W46" s="9">
        <v>2.5000000000000001E-3</v>
      </c>
      <c r="X46" s="9">
        <v>2E-3</v>
      </c>
      <c r="Y46" s="9">
        <v>1E-3</v>
      </c>
      <c r="Z46" s="9">
        <v>3.5000000000000001E-3</v>
      </c>
      <c r="AA46" s="9">
        <v>1.6999999999999999E-3</v>
      </c>
      <c r="AB46" s="9">
        <v>1.6999999999999999E-3</v>
      </c>
      <c r="AC46" s="9">
        <v>1.6000000000000001E-3</v>
      </c>
      <c r="AD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/>
      <c r="T47" s="9">
        <v>3.0000000000000001E-3</v>
      </c>
      <c r="U47" s="9">
        <v>2.3E-3</v>
      </c>
      <c r="V47" s="9">
        <v>3.0999999999999999E-3</v>
      </c>
      <c r="W47" s="9">
        <v>2.8E-3</v>
      </c>
      <c r="X47" s="9">
        <v>1.9E-3</v>
      </c>
      <c r="Y47" s="9">
        <v>8.9999999999999998E-4</v>
      </c>
      <c r="Z47" s="9">
        <v>3.5000000000000001E-3</v>
      </c>
      <c r="AA47" s="9">
        <v>1.5E-3</v>
      </c>
      <c r="AB47" s="9">
        <v>1.1000000000000001E-3</v>
      </c>
      <c r="AC47" s="9">
        <v>1.1999999999999999E-3</v>
      </c>
      <c r="AD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/>
      <c r="T48" s="9">
        <v>3.3999999999999998E-3</v>
      </c>
      <c r="U48" s="9">
        <v>2.5000000000000001E-3</v>
      </c>
      <c r="V48" s="9">
        <v>3.0999999999999999E-3</v>
      </c>
      <c r="W48" s="9">
        <v>3.2000000000000002E-3</v>
      </c>
      <c r="X48" s="9">
        <v>1.5E-3</v>
      </c>
      <c r="Y48" s="9">
        <v>8.0000000000000004E-4</v>
      </c>
      <c r="Z48" s="9">
        <v>3.8999999999999998E-3</v>
      </c>
      <c r="AA48" s="9">
        <v>3.5999999999999999E-3</v>
      </c>
      <c r="AB48" s="9">
        <v>1.1000000000000001E-3</v>
      </c>
      <c r="AC48" s="9">
        <v>1E-3</v>
      </c>
      <c r="AD48" s="9">
        <v>8.9999999999999998E-4</v>
      </c>
    </row>
    <row r="49" spans="2:30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>
        <v>5.3E-3</v>
      </c>
      <c r="P49" s="9">
        <v>2.5000000000000001E-3</v>
      </c>
      <c r="Q49" s="9">
        <v>3.8E-3</v>
      </c>
      <c r="R49" s="9">
        <v>3.0000000000000001E-3</v>
      </c>
      <c r="S49" s="9"/>
      <c r="T49" s="9">
        <v>3.5999999999999999E-3</v>
      </c>
      <c r="U49" s="9">
        <v>2.5000000000000001E-3</v>
      </c>
      <c r="V49" s="9">
        <v>3.5000000000000001E-3</v>
      </c>
      <c r="W49" s="9">
        <v>3.0999999999999999E-3</v>
      </c>
      <c r="X49" s="9">
        <v>2E-3</v>
      </c>
      <c r="Y49" s="9">
        <v>1.1000000000000001E-3</v>
      </c>
      <c r="Z49" s="9">
        <v>3.7000000000000002E-3</v>
      </c>
      <c r="AA49" s="9">
        <v>1.8E-3</v>
      </c>
      <c r="AB49" s="9">
        <v>1.6999999999999999E-3</v>
      </c>
      <c r="AC49" s="9">
        <v>8.9999999999999998E-4</v>
      </c>
      <c r="AD49" s="9">
        <v>1E-3</v>
      </c>
    </row>
    <row r="50" spans="2:30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>
        <v>3.8999999999999998E-3</v>
      </c>
      <c r="P50" s="9">
        <v>2.5000000000000001E-3</v>
      </c>
      <c r="Q50" s="9">
        <v>-1</v>
      </c>
      <c r="R50" s="9">
        <v>2.8E-3</v>
      </c>
      <c r="S50" s="9"/>
      <c r="T50" s="9">
        <v>3.5999999999999999E-3</v>
      </c>
      <c r="U50" s="9">
        <v>2.0999999999999999E-3</v>
      </c>
      <c r="V50" s="9">
        <v>3.2000000000000002E-3</v>
      </c>
      <c r="W50" s="9">
        <v>3.2000000000000002E-3</v>
      </c>
      <c r="X50" s="9">
        <v>2.3999999999999998E-3</v>
      </c>
      <c r="Y50" s="9">
        <v>1.1999999999999999E-3</v>
      </c>
      <c r="Z50" s="9">
        <v>4.7999999999999996E-3</v>
      </c>
      <c r="AA50" s="9">
        <v>1.6999999999999999E-3</v>
      </c>
      <c r="AB50" s="9">
        <v>1.6999999999999999E-3</v>
      </c>
      <c r="AC50" s="9">
        <v>1.1000000000000001E-3</v>
      </c>
      <c r="AD50" s="9">
        <v>1.1000000000000001E-3</v>
      </c>
    </row>
    <row r="51" spans="2:30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>
        <v>5.3E-3</v>
      </c>
      <c r="P51" s="9">
        <v>2.5000000000000001E-3</v>
      </c>
      <c r="Q51" s="9"/>
      <c r="R51" s="9">
        <v>2.5000000000000001E-3</v>
      </c>
      <c r="S51" s="9"/>
      <c r="T51" s="9">
        <v>3.7000000000000002E-3</v>
      </c>
      <c r="U51" s="9">
        <v>2.5999999999999999E-3</v>
      </c>
      <c r="V51" s="9">
        <v>2.8999999999999998E-3</v>
      </c>
      <c r="W51" s="9">
        <v>3.5999999999999999E-3</v>
      </c>
      <c r="X51" s="9">
        <v>2.5999999999999999E-3</v>
      </c>
      <c r="Y51" s="9">
        <v>8.0000000000000004E-4</v>
      </c>
      <c r="Z51" s="9">
        <v>3.7000000000000002E-3</v>
      </c>
      <c r="AA51" s="9">
        <v>1.9E-3</v>
      </c>
      <c r="AB51" s="9">
        <v>1.4E-3</v>
      </c>
      <c r="AC51" s="9">
        <v>8.9999999999999998E-4</v>
      </c>
      <c r="AD51" s="9">
        <v>1.4E-3</v>
      </c>
    </row>
    <row r="52" spans="2:30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>
        <v>5.0000000000000001E-3</v>
      </c>
      <c r="P52" s="9">
        <v>2.5000000000000001E-3</v>
      </c>
      <c r="Q52" s="9"/>
      <c r="R52" s="9">
        <v>2.8E-3</v>
      </c>
      <c r="S52" s="9"/>
      <c r="T52" s="9">
        <v>4.0000000000000001E-3</v>
      </c>
      <c r="U52" s="9">
        <v>2.3E-3</v>
      </c>
      <c r="V52" s="9">
        <v>3.0999999999999999E-3</v>
      </c>
      <c r="W52" s="9">
        <v>3.5999999999999999E-3</v>
      </c>
      <c r="X52" s="9">
        <v>3.3999999999999998E-3</v>
      </c>
      <c r="Y52" s="9">
        <v>1.1999999999999999E-3</v>
      </c>
      <c r="Z52" s="9">
        <v>4.3E-3</v>
      </c>
      <c r="AA52" s="9">
        <v>2.2000000000000001E-3</v>
      </c>
      <c r="AB52" s="9">
        <v>1.6000000000000001E-3</v>
      </c>
      <c r="AC52" s="9">
        <v>1.2999999999999999E-3</v>
      </c>
      <c r="AD52" s="9">
        <v>1.2999999999999999E-3</v>
      </c>
    </row>
    <row r="53" spans="2:30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>
        <v>8.2000000000000007E-3</v>
      </c>
      <c r="P53" s="9">
        <v>3.0999999999999999E-3</v>
      </c>
      <c r="Q53" s="9"/>
      <c r="R53" s="9">
        <v>2.8E-3</v>
      </c>
      <c r="S53" s="9"/>
      <c r="T53" s="9">
        <v>3.8999999999999998E-3</v>
      </c>
      <c r="U53" s="9">
        <v>2.8999999999999998E-3</v>
      </c>
      <c r="V53" s="9">
        <v>3.5999999999999999E-3</v>
      </c>
      <c r="W53" s="9">
        <v>2.7000000000000001E-3</v>
      </c>
      <c r="X53" s="9">
        <v>3.3E-3</v>
      </c>
      <c r="Y53" s="9">
        <v>8.9999999999999998E-4</v>
      </c>
      <c r="Z53" s="9">
        <v>4.1999999999999997E-3</v>
      </c>
      <c r="AA53" s="9">
        <v>2E-3</v>
      </c>
      <c r="AB53" s="9">
        <v>2.2000000000000001E-3</v>
      </c>
      <c r="AC53" s="9">
        <v>8.9999999999999998E-4</v>
      </c>
      <c r="AD53" s="9">
        <v>1.2999999999999999E-3</v>
      </c>
    </row>
    <row r="54" spans="2:30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>
        <v>4.8999999999999998E-3</v>
      </c>
      <c r="P54" s="9">
        <v>4.1999999999999997E-3</v>
      </c>
      <c r="Q54" s="9"/>
      <c r="R54" s="9">
        <v>3.0000000000000001E-3</v>
      </c>
      <c r="S54" s="9"/>
      <c r="T54" s="9">
        <v>4.1999999999999997E-3</v>
      </c>
      <c r="U54" s="9">
        <v>2.0999999999999999E-3</v>
      </c>
      <c r="V54" s="9">
        <v>3.3E-3</v>
      </c>
      <c r="W54" s="9">
        <v>3.7000000000000002E-3</v>
      </c>
      <c r="X54" s="9">
        <v>4.1999999999999997E-3</v>
      </c>
      <c r="Y54" s="9">
        <v>9.1999999999999998E-3</v>
      </c>
      <c r="Z54" s="9">
        <v>9.4000000000000004E-3</v>
      </c>
      <c r="AA54" s="9">
        <v>1.9E-3</v>
      </c>
      <c r="AB54" s="9">
        <v>1.8E-3</v>
      </c>
      <c r="AC54" s="9">
        <v>1.6000000000000001E-3</v>
      </c>
      <c r="AD54" s="9">
        <v>1.8E-3</v>
      </c>
    </row>
    <row r="55" spans="2:30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>
        <v>5.1999999999999998E-3</v>
      </c>
      <c r="P55" s="9">
        <v>3.2000000000000002E-3</v>
      </c>
      <c r="Q55" s="9"/>
      <c r="R55" s="9">
        <v>2.5999999999999999E-3</v>
      </c>
      <c r="S55" s="9">
        <v>1.1999999999999999E-3</v>
      </c>
      <c r="T55" s="9">
        <v>3.8999999999999998E-3</v>
      </c>
      <c r="U55" s="9">
        <v>3.3999999999999998E-3</v>
      </c>
      <c r="V55" s="9">
        <v>4.1000000000000003E-3</v>
      </c>
      <c r="W55" s="9">
        <v>3.5000000000000001E-3</v>
      </c>
      <c r="X55" s="9">
        <v>4.4999999999999997E-3</v>
      </c>
      <c r="Y55" s="9">
        <v>2E-3</v>
      </c>
      <c r="Z55" s="9">
        <v>4.8999999999999998E-3</v>
      </c>
      <c r="AA55" s="9">
        <v>3.0000000000000001E-3</v>
      </c>
      <c r="AB55" s="9">
        <v>1.9E-3</v>
      </c>
      <c r="AC55" s="9">
        <v>1E-3</v>
      </c>
      <c r="AD55" s="9">
        <v>2E-3</v>
      </c>
    </row>
    <row r="56" spans="2:30" x14ac:dyDescent="0.3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>
        <v>4.4000000000000003E-3</v>
      </c>
      <c r="P56" s="9">
        <v>3.5999999999999999E-3</v>
      </c>
      <c r="Q56" s="9"/>
      <c r="R56" s="9">
        <v>2.7000000000000001E-3</v>
      </c>
      <c r="S56" s="9">
        <v>1.1999999999999999E-3</v>
      </c>
      <c r="T56" s="9">
        <v>3.8E-3</v>
      </c>
      <c r="U56" s="9">
        <v>2.8E-3</v>
      </c>
      <c r="V56" s="9">
        <v>4.0000000000000001E-3</v>
      </c>
      <c r="W56" s="9">
        <v>2.3E-3</v>
      </c>
      <c r="X56" s="9">
        <v>4.3E-3</v>
      </c>
      <c r="Y56" s="9">
        <v>1.1999999999999999E-3</v>
      </c>
      <c r="Z56" s="9">
        <v>4.0000000000000001E-3</v>
      </c>
      <c r="AA56" s="9">
        <v>2.5000000000000001E-3</v>
      </c>
      <c r="AB56" s="9">
        <v>1.9E-3</v>
      </c>
      <c r="AC56" s="9">
        <v>1.4E-3</v>
      </c>
      <c r="AD56" s="9">
        <v>1.8E-3</v>
      </c>
    </row>
    <row r="57" spans="2:30" x14ac:dyDescent="0.3">
      <c r="B57" s="5">
        <v>202521</v>
      </c>
      <c r="C57" s="5"/>
      <c r="D57" s="9">
        <v>3.8E-3</v>
      </c>
      <c r="E57" s="9">
        <v>2.0999999999999999E-3</v>
      </c>
      <c r="F57" s="9">
        <v>3.8999999999999998E-3</v>
      </c>
      <c r="G57" s="9">
        <v>2.8999999999999998E-3</v>
      </c>
      <c r="H57" s="9">
        <v>1.9E-3</v>
      </c>
      <c r="I57" s="9">
        <v>2.8999999999999998E-3</v>
      </c>
      <c r="J57" s="9">
        <v>2.0000000000000001E-4</v>
      </c>
      <c r="K57" s="9">
        <v>2.7000000000000001E-3</v>
      </c>
      <c r="L57" s="9">
        <v>1.5E-3</v>
      </c>
      <c r="M57" s="9">
        <v>2E-3</v>
      </c>
      <c r="N57" s="9">
        <v>8.9999999999999998E-4</v>
      </c>
      <c r="O57" s="9">
        <v>5.7000000000000002E-3</v>
      </c>
      <c r="P57" s="9">
        <v>3.7000000000000002E-3</v>
      </c>
      <c r="Q57" s="9"/>
      <c r="R57" s="9">
        <v>3.0999999999999999E-3</v>
      </c>
      <c r="S57" s="9">
        <v>1.5E-3</v>
      </c>
      <c r="T57" s="9">
        <v>4.1000000000000003E-3</v>
      </c>
      <c r="U57" s="9">
        <v>2.3999999999999998E-3</v>
      </c>
      <c r="V57" s="9">
        <v>0</v>
      </c>
      <c r="W57" s="9">
        <v>0</v>
      </c>
      <c r="X57" s="9">
        <v>1.4200000000000001E-2</v>
      </c>
      <c r="Y57" s="9">
        <v>1.4E-3</v>
      </c>
      <c r="Z57" s="9">
        <v>3.8E-3</v>
      </c>
      <c r="AA57" s="9">
        <v>1.6999999999999999E-3</v>
      </c>
      <c r="AB57" s="9">
        <v>2.0999999999999999E-3</v>
      </c>
      <c r="AC57" s="9">
        <v>1.1000000000000001E-3</v>
      </c>
      <c r="AD57" s="9">
        <v>4.4000000000000003E-3</v>
      </c>
    </row>
    <row r="58" spans="2:30" x14ac:dyDescent="0.3">
      <c r="B58" s="5">
        <v>202522</v>
      </c>
      <c r="C58" s="5"/>
      <c r="D58" s="9">
        <v>2.7000000000000001E-3</v>
      </c>
      <c r="E58" s="9">
        <v>2.2000000000000001E-3</v>
      </c>
      <c r="F58" s="9">
        <v>2.8E-3</v>
      </c>
      <c r="G58" s="9">
        <v>2.3999999999999998E-3</v>
      </c>
      <c r="H58" s="9">
        <v>2E-3</v>
      </c>
      <c r="I58" s="9">
        <v>3.8999999999999998E-3</v>
      </c>
      <c r="J58" s="9">
        <v>6.9999999999999999E-4</v>
      </c>
      <c r="K58" s="9">
        <v>3.7000000000000002E-3</v>
      </c>
      <c r="L58" s="9">
        <v>2.2000000000000001E-3</v>
      </c>
      <c r="M58" s="9">
        <v>2.5000000000000001E-3</v>
      </c>
      <c r="N58" s="9">
        <v>2.2000000000000001E-3</v>
      </c>
      <c r="O58" s="9">
        <v>8.3999999999999995E-3</v>
      </c>
      <c r="P58" s="9">
        <v>3.3999999999999998E-3</v>
      </c>
      <c r="Q58" s="9"/>
      <c r="R58" s="9">
        <v>3.0000000000000001E-3</v>
      </c>
      <c r="S58" s="9">
        <v>1.6999999999999999E-3</v>
      </c>
      <c r="T58" s="9">
        <v>2.9999999999999997E-4</v>
      </c>
      <c r="U58" s="9">
        <v>3.2000000000000002E-3</v>
      </c>
      <c r="V58" s="9"/>
      <c r="W58" s="9"/>
      <c r="X58" s="9">
        <v>5.7999999999999996E-3</v>
      </c>
      <c r="Y58" s="9">
        <v>1.2999999999999999E-3</v>
      </c>
      <c r="Z58" s="9">
        <v>4.1000000000000003E-3</v>
      </c>
      <c r="AA58" s="9">
        <v>2.5000000000000001E-3</v>
      </c>
      <c r="AB58" s="9">
        <v>1.9E-3</v>
      </c>
      <c r="AC58" s="9">
        <v>1.1999999999999999E-3</v>
      </c>
      <c r="AD58" s="9">
        <v>2.3E-3</v>
      </c>
    </row>
    <row r="59" spans="2:30" x14ac:dyDescent="0.3">
      <c r="B59" s="5">
        <v>202523</v>
      </c>
      <c r="C59" s="5"/>
      <c r="D59" s="9">
        <v>3.0000000000000001E-3</v>
      </c>
      <c r="E59" s="9">
        <v>1.9E-3</v>
      </c>
      <c r="F59" s="9">
        <v>3.0999999999999999E-3</v>
      </c>
      <c r="G59" s="9">
        <v>1.6999999999999999E-3</v>
      </c>
      <c r="H59" s="9">
        <v>1.1000000000000001E-3</v>
      </c>
      <c r="I59" s="9">
        <v>1E-3</v>
      </c>
      <c r="J59" s="9">
        <v>2.2000000000000001E-3</v>
      </c>
      <c r="K59" s="9">
        <v>1.6999999999999999E-3</v>
      </c>
      <c r="L59" s="9">
        <v>4.7999999999999996E-3</v>
      </c>
      <c r="M59" s="9">
        <v>2.5000000000000001E-3</v>
      </c>
      <c r="N59" s="9">
        <v>5.1999999999999998E-3</v>
      </c>
      <c r="O59" s="9">
        <v>9.4999999999999998E-3</v>
      </c>
      <c r="P59" s="9">
        <v>3.5000000000000001E-3</v>
      </c>
      <c r="Q59" s="9"/>
      <c r="R59" s="9">
        <v>3.0000000000000001E-3</v>
      </c>
      <c r="S59" s="9">
        <v>1.9E-3</v>
      </c>
      <c r="T59" s="9"/>
      <c r="U59" s="9">
        <v>2.5999999999999999E-3</v>
      </c>
      <c r="V59" s="9"/>
      <c r="W59" s="9"/>
      <c r="X59" s="9">
        <v>3.8E-3</v>
      </c>
      <c r="Y59" s="9">
        <v>1.6000000000000001E-3</v>
      </c>
      <c r="Z59" s="9">
        <v>6.1999999999999998E-3</v>
      </c>
      <c r="AA59" s="9">
        <v>3.5000000000000001E-3</v>
      </c>
      <c r="AB59" s="9">
        <v>1.9E-3</v>
      </c>
      <c r="AC59" s="9">
        <v>1.4E-3</v>
      </c>
      <c r="AD59" s="9">
        <v>2.3999999999999998E-3</v>
      </c>
    </row>
    <row r="60" spans="2:30" x14ac:dyDescent="0.3">
      <c r="B60" s="5">
        <v>202524</v>
      </c>
      <c r="C60" s="5"/>
      <c r="D60" s="9">
        <v>3.3E-3</v>
      </c>
      <c r="E60" s="9">
        <v>2.5999999999999999E-3</v>
      </c>
      <c r="F60" s="9">
        <v>3.3E-3</v>
      </c>
      <c r="G60" s="9">
        <v>2.3999999999999998E-3</v>
      </c>
      <c r="H60" s="9">
        <v>2.0999999999999999E-3</v>
      </c>
      <c r="I60" s="9">
        <v>5.8999999999999999E-3</v>
      </c>
      <c r="J60" s="9">
        <v>3.0999999999999999E-3</v>
      </c>
      <c r="K60" s="9">
        <v>2.3999999999999998E-3</v>
      </c>
      <c r="L60" s="9">
        <v>3.3E-3</v>
      </c>
      <c r="M60" s="9">
        <v>5.1999999999999998E-3</v>
      </c>
      <c r="N60" s="9">
        <v>5.1000000000000004E-3</v>
      </c>
      <c r="O60" s="9">
        <v>8.9999999999999993E-3</v>
      </c>
      <c r="P60" s="9">
        <v>4.1999999999999997E-3</v>
      </c>
      <c r="Q60" s="9"/>
      <c r="R60" s="9">
        <v>2.8999999999999998E-3</v>
      </c>
      <c r="S60" s="9">
        <v>1.9E-3</v>
      </c>
      <c r="T60" s="9"/>
      <c r="U60" s="9">
        <v>2.5000000000000001E-3</v>
      </c>
      <c r="V60" s="9"/>
      <c r="W60" s="9"/>
      <c r="X60" s="9">
        <v>4.1999999999999997E-3</v>
      </c>
      <c r="Y60" s="9">
        <v>1.6000000000000001E-3</v>
      </c>
      <c r="Z60" s="9">
        <v>6.3E-3</v>
      </c>
      <c r="AA60" s="9">
        <v>3.0000000000000001E-3</v>
      </c>
      <c r="AB60" s="9">
        <v>2.3E-3</v>
      </c>
      <c r="AC60" s="9">
        <v>1.8E-3</v>
      </c>
      <c r="AD60" s="9">
        <v>2.0999999999999999E-3</v>
      </c>
    </row>
    <row r="61" spans="2:30" x14ac:dyDescent="0.3">
      <c r="B61" s="5">
        <v>202525</v>
      </c>
      <c r="C61" s="5"/>
      <c r="D61" s="9">
        <v>3.2000000000000002E-3</v>
      </c>
      <c r="E61" s="9">
        <v>2.8999999999999998E-3</v>
      </c>
      <c r="F61" s="9">
        <v>3.2000000000000002E-3</v>
      </c>
      <c r="G61" s="9">
        <v>2.0999999999999999E-3</v>
      </c>
      <c r="H61" s="9">
        <v>2.0999999999999999E-3</v>
      </c>
      <c r="I61" s="9">
        <v>6.8999999999999999E-3</v>
      </c>
      <c r="J61" s="9">
        <v>4.3E-3</v>
      </c>
      <c r="K61" s="9">
        <v>3.8999999999999998E-3</v>
      </c>
      <c r="L61" s="9">
        <v>4.4000000000000003E-3</v>
      </c>
      <c r="M61" s="9">
        <v>6.4000000000000003E-3</v>
      </c>
      <c r="N61" s="9">
        <v>4.4999999999999997E-3</v>
      </c>
      <c r="O61" s="9">
        <v>9.7000000000000003E-3</v>
      </c>
      <c r="P61" s="9">
        <v>3.3999999999999998E-3</v>
      </c>
      <c r="Q61" s="9"/>
      <c r="R61" s="9">
        <v>3.0000000000000001E-3</v>
      </c>
      <c r="S61" s="9">
        <v>1.9E-3</v>
      </c>
      <c r="T61" s="9"/>
      <c r="U61" s="9">
        <v>3.3999999999999998E-3</v>
      </c>
      <c r="V61" s="9"/>
      <c r="W61" s="9"/>
      <c r="X61" s="9">
        <v>5.0000000000000001E-3</v>
      </c>
      <c r="Y61" s="9">
        <v>1.1999999999999999E-3</v>
      </c>
      <c r="Z61" s="9">
        <v>3.5999999999999999E-3</v>
      </c>
      <c r="AA61" s="9">
        <v>3.0999999999999999E-3</v>
      </c>
      <c r="AB61" s="9">
        <v>2.8E-3</v>
      </c>
      <c r="AC61" s="9">
        <v>1.6999999999999999E-3</v>
      </c>
      <c r="AD61" s="9">
        <v>1.8E-3</v>
      </c>
    </row>
    <row r="62" spans="2:30" x14ac:dyDescent="0.3">
      <c r="B62" s="5">
        <v>202526</v>
      </c>
      <c r="C62" s="5"/>
      <c r="D62" s="9">
        <v>3.5000000000000001E-3</v>
      </c>
      <c r="E62" s="9">
        <v>2.3E-3</v>
      </c>
      <c r="F62" s="9">
        <v>3.5999999999999999E-3</v>
      </c>
      <c r="G62" s="9">
        <v>2E-3</v>
      </c>
      <c r="H62" s="9">
        <v>1.6000000000000001E-3</v>
      </c>
      <c r="I62" s="9">
        <v>7.0000000000000001E-3</v>
      </c>
      <c r="J62" s="9">
        <v>3.3999999999999998E-3</v>
      </c>
      <c r="K62" s="9">
        <v>2.5000000000000001E-3</v>
      </c>
      <c r="L62" s="9">
        <v>3.3E-3</v>
      </c>
      <c r="M62" s="9">
        <v>6.0000000000000001E-3</v>
      </c>
      <c r="N62" s="9">
        <v>2.7000000000000001E-3</v>
      </c>
      <c r="O62" s="9">
        <v>1.9300000000000001E-2</v>
      </c>
      <c r="P62" s="9">
        <v>3.2000000000000002E-3</v>
      </c>
      <c r="Q62" s="9"/>
      <c r="R62" s="9">
        <v>3.3E-3</v>
      </c>
      <c r="S62" s="9">
        <v>1.9E-3</v>
      </c>
      <c r="T62" s="9"/>
      <c r="U62" s="9">
        <v>3.5999999999999999E-3</v>
      </c>
      <c r="V62" s="9"/>
      <c r="W62" s="9"/>
      <c r="X62" s="9">
        <v>5.4999999999999997E-3</v>
      </c>
      <c r="Y62" s="9">
        <v>1.1999999999999999E-3</v>
      </c>
      <c r="Z62" s="9">
        <v>5.4999999999999997E-3</v>
      </c>
      <c r="AA62" s="9">
        <v>3.3E-3</v>
      </c>
      <c r="AB62" s="9">
        <v>3.0999999999999999E-3</v>
      </c>
      <c r="AC62" s="9">
        <v>1.6999999999999999E-3</v>
      </c>
      <c r="AD62" s="9">
        <v>2.2000000000000001E-3</v>
      </c>
    </row>
    <row r="63" spans="2:30" x14ac:dyDescent="0.3">
      <c r="B63" s="5">
        <v>202527</v>
      </c>
      <c r="C63" s="5"/>
      <c r="D63" s="9">
        <v>3.5000000000000001E-3</v>
      </c>
      <c r="E63" s="9">
        <v>2.7000000000000001E-3</v>
      </c>
      <c r="F63" s="9">
        <v>3.5999999999999999E-3</v>
      </c>
      <c r="G63" s="9">
        <v>1.5E-3</v>
      </c>
      <c r="H63" s="9">
        <v>2.2000000000000001E-3</v>
      </c>
      <c r="I63" s="9">
        <v>5.0000000000000001E-3</v>
      </c>
      <c r="J63" s="9">
        <v>4.4000000000000003E-3</v>
      </c>
      <c r="K63" s="9">
        <v>4.4999999999999997E-3</v>
      </c>
      <c r="L63" s="9">
        <v>3.5999999999999999E-3</v>
      </c>
      <c r="M63" s="9">
        <v>4.4000000000000003E-3</v>
      </c>
      <c r="N63" s="9">
        <v>1.4E-3</v>
      </c>
      <c r="O63" s="9">
        <v>2.12E-2</v>
      </c>
      <c r="P63" s="9">
        <v>4.1999999999999997E-3</v>
      </c>
      <c r="Q63" s="9"/>
      <c r="R63" s="9">
        <v>3.2000000000000002E-3</v>
      </c>
      <c r="S63" s="9">
        <v>1.9E-3</v>
      </c>
      <c r="T63" s="9"/>
      <c r="U63" s="9">
        <v>3.3999999999999998E-3</v>
      </c>
      <c r="V63" s="9"/>
      <c r="W63" s="9"/>
      <c r="X63" s="9">
        <v>5.7999999999999996E-3</v>
      </c>
      <c r="Y63" s="9">
        <v>1.1999999999999999E-3</v>
      </c>
      <c r="Z63" s="9">
        <v>6.3E-3</v>
      </c>
      <c r="AA63" s="9">
        <v>3.8999999999999998E-3</v>
      </c>
      <c r="AB63" s="9">
        <v>2.7000000000000001E-3</v>
      </c>
      <c r="AC63" s="9">
        <v>1.1999999999999999E-3</v>
      </c>
      <c r="AD63" s="9">
        <v>1.9E-3</v>
      </c>
    </row>
    <row r="64" spans="2:30" x14ac:dyDescent="0.3">
      <c r="B64" s="5">
        <v>202528</v>
      </c>
      <c r="C64" s="5"/>
      <c r="D64" s="9">
        <v>3.8E-3</v>
      </c>
      <c r="E64" s="9">
        <v>2.0999999999999999E-3</v>
      </c>
      <c r="F64" s="9">
        <v>3.8999999999999998E-3</v>
      </c>
      <c r="G64" s="9">
        <v>1.8E-3</v>
      </c>
      <c r="H64" s="9">
        <v>1.8E-3</v>
      </c>
      <c r="I64" s="9">
        <v>3.0000000000000001E-3</v>
      </c>
      <c r="J64" s="9">
        <v>1.9E-3</v>
      </c>
      <c r="K64" s="9">
        <v>2.5000000000000001E-3</v>
      </c>
      <c r="L64" s="9">
        <v>3.0999999999999999E-3</v>
      </c>
      <c r="M64" s="9">
        <v>5.7999999999999996E-3</v>
      </c>
      <c r="N64" s="9">
        <v>1.5E-3</v>
      </c>
      <c r="O64" s="9">
        <v>1.24E-2</v>
      </c>
      <c r="P64" s="9">
        <v>4.7000000000000002E-3</v>
      </c>
      <c r="Q64" s="9"/>
      <c r="R64" s="9">
        <v>8.6999999999999994E-3</v>
      </c>
      <c r="S64" s="9">
        <v>2.0999999999999999E-3</v>
      </c>
      <c r="T64" s="9">
        <v>1.5E-3</v>
      </c>
      <c r="U64" s="9">
        <v>4.5999999999999999E-3</v>
      </c>
      <c r="V64" s="9">
        <v>8.0000000000000004E-4</v>
      </c>
      <c r="W64" s="9">
        <v>2.2000000000000001E-3</v>
      </c>
      <c r="X64" s="9">
        <v>6.4000000000000003E-3</v>
      </c>
      <c r="Y64" s="9">
        <v>1.8E-3</v>
      </c>
      <c r="Z64" s="9">
        <v>6.4000000000000003E-3</v>
      </c>
      <c r="AA64" s="9">
        <v>3.7000000000000002E-3</v>
      </c>
      <c r="AB64" s="9">
        <v>3.0999999999999999E-3</v>
      </c>
      <c r="AC64" s="9">
        <v>2.0999999999999999E-3</v>
      </c>
      <c r="AD64" s="9">
        <v>2.3999999999999998E-3</v>
      </c>
    </row>
    <row r="65" spans="2:30" x14ac:dyDescent="0.3">
      <c r="B65" s="5">
        <v>202529</v>
      </c>
      <c r="C65" s="5"/>
      <c r="D65" s="9">
        <v>3.3E-3</v>
      </c>
      <c r="E65" s="9">
        <v>2.8E-3</v>
      </c>
      <c r="F65" s="9">
        <v>3.3E-3</v>
      </c>
      <c r="G65" s="9">
        <v>2.8999999999999998E-3</v>
      </c>
      <c r="H65" s="9">
        <v>1.6000000000000001E-3</v>
      </c>
      <c r="I65" s="9">
        <v>6.1000000000000004E-3</v>
      </c>
      <c r="J65" s="9">
        <v>3.3999999999999998E-3</v>
      </c>
      <c r="K65" s="9">
        <v>3.2000000000000002E-3</v>
      </c>
      <c r="L65" s="9">
        <v>4.3E-3</v>
      </c>
      <c r="M65" s="9">
        <v>3.8E-3</v>
      </c>
      <c r="N65" s="9">
        <v>1.4E-3</v>
      </c>
      <c r="O65" s="9">
        <v>1.5800000000000002E-2</v>
      </c>
      <c r="P65" s="9">
        <v>3.3999999999999998E-3</v>
      </c>
      <c r="Q65" s="9"/>
      <c r="R65" s="9">
        <v>3.5000000000000001E-3</v>
      </c>
      <c r="S65" s="9">
        <v>2.0999999999999999E-3</v>
      </c>
      <c r="T65" s="9">
        <v>1.6000000000000001E-3</v>
      </c>
      <c r="U65" s="9">
        <v>4.1999999999999997E-3</v>
      </c>
      <c r="V65" s="9">
        <v>1.1000000000000001E-3</v>
      </c>
      <c r="W65" s="9">
        <v>1.6999999999999999E-3</v>
      </c>
      <c r="X65" s="9">
        <v>5.8999999999999999E-3</v>
      </c>
      <c r="Y65" s="9">
        <v>1.6999999999999999E-3</v>
      </c>
      <c r="Z65" s="9">
        <v>7.3000000000000001E-3</v>
      </c>
      <c r="AA65" s="9">
        <v>3.3999999999999998E-3</v>
      </c>
      <c r="AB65" s="9">
        <v>3.3E-3</v>
      </c>
      <c r="AC65" s="9">
        <v>1.6000000000000001E-3</v>
      </c>
      <c r="AD65" s="9">
        <v>2E-3</v>
      </c>
    </row>
    <row r="66" spans="2:30" x14ac:dyDescent="0.3">
      <c r="B66" s="5">
        <v>202530</v>
      </c>
      <c r="C66" s="5"/>
      <c r="D66" s="9">
        <v>4.0000000000000001E-3</v>
      </c>
      <c r="E66" s="9">
        <v>2.5000000000000001E-3</v>
      </c>
      <c r="F66" s="9">
        <v>4.1000000000000003E-3</v>
      </c>
      <c r="G66" s="9">
        <v>2.0999999999999999E-3</v>
      </c>
      <c r="H66" s="9">
        <v>2E-3</v>
      </c>
      <c r="I66" s="9">
        <v>4.1000000000000003E-3</v>
      </c>
      <c r="J66" s="9">
        <v>2.7000000000000001E-3</v>
      </c>
      <c r="K66" s="9">
        <v>3.0000000000000001E-3</v>
      </c>
      <c r="L66" s="9">
        <v>3.8E-3</v>
      </c>
      <c r="M66" s="9">
        <v>5.7000000000000002E-3</v>
      </c>
      <c r="N66" s="9">
        <v>1.5E-3</v>
      </c>
      <c r="O66" s="9">
        <v>1.2500000000000001E-2</v>
      </c>
      <c r="P66" s="9">
        <v>3.7000000000000002E-3</v>
      </c>
      <c r="Q66" s="9"/>
      <c r="R66" s="9">
        <v>1.0800000000000001E-2</v>
      </c>
      <c r="S66" s="9">
        <v>2E-3</v>
      </c>
      <c r="T66" s="9">
        <v>1.6999999999999999E-3</v>
      </c>
      <c r="U66" s="9">
        <v>4.7000000000000002E-3</v>
      </c>
      <c r="V66" s="9">
        <v>1.1000000000000001E-3</v>
      </c>
      <c r="W66" s="9">
        <v>1.5E-3</v>
      </c>
      <c r="X66" s="9">
        <v>7.7999999999999996E-3</v>
      </c>
      <c r="Y66" s="9">
        <v>2.3999999999999998E-3</v>
      </c>
      <c r="Z66" s="9">
        <v>5.7000000000000002E-3</v>
      </c>
      <c r="AA66" s="9">
        <v>3.0999999999999999E-3</v>
      </c>
      <c r="AB66" s="9">
        <v>3.3E-3</v>
      </c>
      <c r="AC66" s="9">
        <v>1.6000000000000001E-3</v>
      </c>
      <c r="AD66" s="9">
        <v>2.3999999999999998E-3</v>
      </c>
    </row>
    <row r="67" spans="2:30" ht="15" thickBot="1" x14ac:dyDescent="0.35">
      <c r="B67" s="5">
        <v>202531</v>
      </c>
      <c r="C67" s="5"/>
      <c r="D67" s="9">
        <v>4.7999999999999996E-3</v>
      </c>
      <c r="E67" s="9">
        <v>3.5000000000000001E-3</v>
      </c>
      <c r="F67" s="9">
        <v>4.7999999999999996E-3</v>
      </c>
      <c r="G67" s="9">
        <v>3.3E-3</v>
      </c>
      <c r="H67" s="9">
        <v>3.5999999999999999E-3</v>
      </c>
      <c r="I67" s="9">
        <v>7.1000000000000004E-3</v>
      </c>
      <c r="J67" s="9">
        <v>4.8999999999999998E-3</v>
      </c>
      <c r="K67" s="9">
        <v>1.5E-3</v>
      </c>
      <c r="L67" s="9">
        <v>3.3999999999999998E-3</v>
      </c>
      <c r="M67" s="9">
        <v>7.4999999999999997E-3</v>
      </c>
      <c r="N67" s="9">
        <v>5.7999999999999996E-3</v>
      </c>
      <c r="O67" s="9">
        <v>1.3299999999999999E-2</v>
      </c>
      <c r="P67" s="9">
        <v>4.1999999999999997E-3</v>
      </c>
      <c r="Q67" s="9"/>
      <c r="R67" s="9">
        <v>1.0800000000000001E-2</v>
      </c>
      <c r="S67" s="9">
        <v>2.3999999999999998E-3</v>
      </c>
      <c r="T67" s="9">
        <v>1.8E-3</v>
      </c>
      <c r="U67" s="9">
        <v>7.7999999999999996E-3</v>
      </c>
      <c r="V67" s="9">
        <v>1.6000000000000001E-3</v>
      </c>
      <c r="W67" s="9">
        <v>2.3E-3</v>
      </c>
      <c r="X67" s="9">
        <v>7.9000000000000008E-3</v>
      </c>
      <c r="Y67" s="9">
        <v>1.9E-3</v>
      </c>
      <c r="Z67" s="9">
        <v>6.4000000000000003E-3</v>
      </c>
      <c r="AA67" s="9">
        <v>3.5999999999999999E-3</v>
      </c>
      <c r="AB67" s="9">
        <v>4.4000000000000003E-3</v>
      </c>
      <c r="AC67" s="9">
        <v>2.5000000000000001E-3</v>
      </c>
      <c r="AD67" s="9">
        <v>2E-3</v>
      </c>
    </row>
    <row r="68" spans="2:30" ht="15" thickBot="1" x14ac:dyDescent="0.35">
      <c r="B68" s="22" t="s">
        <v>82</v>
      </c>
      <c r="C68" s="22"/>
      <c r="D68" s="24">
        <f t="shared" ref="D68:AD68" si="23">AVERAGE(D37:D67)</f>
        <v>2.9645161290322579E-3</v>
      </c>
      <c r="E68" s="24">
        <f t="shared" si="23"/>
        <v>3.5870967741935484E-3</v>
      </c>
      <c r="F68" s="24">
        <f t="shared" si="23"/>
        <v>2.8935483870967745E-3</v>
      </c>
      <c r="G68" s="24">
        <f t="shared" si="23"/>
        <v>4.6161290322580652E-3</v>
      </c>
      <c r="H68" s="24">
        <f t="shared" si="23"/>
        <v>3.2709677419354845E-3</v>
      </c>
      <c r="I68" s="24">
        <f t="shared" si="23"/>
        <v>4.6935483870967735E-3</v>
      </c>
      <c r="J68" s="24">
        <f t="shared" si="23"/>
        <v>2.8290322580645155E-3</v>
      </c>
      <c r="K68" s="24">
        <f t="shared" si="23"/>
        <v>3.3516129032258057E-3</v>
      </c>
      <c r="L68" s="24">
        <f t="shared" si="23"/>
        <v>2.5709677419354839E-3</v>
      </c>
      <c r="M68" s="24">
        <f t="shared" si="23"/>
        <v>3.3322580645161293E-3</v>
      </c>
      <c r="N68" s="24">
        <f t="shared" si="23"/>
        <v>2.8153846153846154E-3</v>
      </c>
      <c r="O68" s="24">
        <f t="shared" si="23"/>
        <v>8.1258064516129061E-3</v>
      </c>
      <c r="P68" s="24">
        <f t="shared" si="23"/>
        <v>3.1612903225806442E-3</v>
      </c>
      <c r="Q68" s="24">
        <f t="shared" si="23"/>
        <v>-6.7871428571428569E-2</v>
      </c>
      <c r="R68" s="24">
        <f t="shared" si="23"/>
        <v>3.2096774193548388E-3</v>
      </c>
      <c r="S68" s="24">
        <f t="shared" si="23"/>
        <v>1.8230769230769236E-3</v>
      </c>
      <c r="T68" s="24">
        <f t="shared" si="23"/>
        <v>2.7307692307692306E-3</v>
      </c>
      <c r="U68" s="24">
        <f t="shared" si="23"/>
        <v>3.4193548387096767E-3</v>
      </c>
      <c r="V68" s="24">
        <f t="shared" si="23"/>
        <v>3.1600000000000005E-3</v>
      </c>
      <c r="W68" s="24">
        <f t="shared" si="23"/>
        <v>2.6199999999999999E-3</v>
      </c>
      <c r="X68" s="24">
        <f t="shared" si="23"/>
        <v>3.7774193548387098E-3</v>
      </c>
      <c r="Y68" s="24">
        <f t="shared" si="23"/>
        <v>1.4548387096774192E-3</v>
      </c>
      <c r="Z68" s="24">
        <f t="shared" si="23"/>
        <v>4.4161290322580656E-3</v>
      </c>
      <c r="AA68" s="24">
        <f t="shared" si="23"/>
        <v>2.3129032258064519E-3</v>
      </c>
      <c r="AB68" s="24">
        <f t="shared" si="23"/>
        <v>2.0538461538461535E-3</v>
      </c>
      <c r="AC68" s="24">
        <f t="shared" si="23"/>
        <v>1.2884615384615382E-3</v>
      </c>
      <c r="AD68" s="24">
        <f t="shared" si="23"/>
        <v>1.5903225806451614E-3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T69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45872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45878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134</v>
      </c>
      <c r="C6" s="7">
        <v>24</v>
      </c>
      <c r="D6" s="7">
        <v>7</v>
      </c>
      <c r="E6" s="7">
        <v>1197</v>
      </c>
      <c r="F6" s="7">
        <v>972</v>
      </c>
      <c r="G6" s="7">
        <v>8</v>
      </c>
      <c r="H6" s="9">
        <f t="shared" ref="H6:H12" si="0">IFERROR(G6/F6,0)</f>
        <v>8.23045267489712E-3</v>
      </c>
      <c r="I6" s="9">
        <f>IFERROR((1197-F6)/1197,0)</f>
        <v>0.18796992481203006</v>
      </c>
      <c r="J6" s="7">
        <v>3300</v>
      </c>
      <c r="K6" s="11">
        <f t="shared" ref="K6:K12" si="1">IFERROR(J6/D6/F6*100,0)</f>
        <v>48.500881834215171</v>
      </c>
      <c r="L6" s="11">
        <f>K6-48.5423</f>
        <v>-4.1418165784826044E-2</v>
      </c>
      <c r="M6" s="11">
        <v>79</v>
      </c>
      <c r="N6" s="11">
        <f t="shared" ref="N6:N12" si="2">K6-M6</f>
        <v>-30.499118165784829</v>
      </c>
      <c r="O6" s="11">
        <f>IFERROR(182600/1197,0)</f>
        <v>152.54803675856309</v>
      </c>
      <c r="P6" s="11">
        <v>0</v>
      </c>
      <c r="Q6" s="11">
        <f t="shared" ref="Q6:Q11" si="3">IFERROR(O6-P6,0)</f>
        <v>152.54803675856309</v>
      </c>
      <c r="R6" s="7">
        <v>868</v>
      </c>
      <c r="S6" s="11">
        <f t="shared" ref="S6:S11" si="4">IFERROR(R6/D6/F6*1000,0)</f>
        <v>127.57201646090535</v>
      </c>
      <c r="T6" s="13">
        <f t="shared" ref="T6:T12" si="5">IFERROR(J6/R6,0)</f>
        <v>3.8018433179723501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263.03030303030306</v>
      </c>
      <c r="Z6" s="11">
        <f t="shared" ref="Z6:Z12" si="9">IFERROR(Y6*X6/1000,0)</f>
        <v>78.088436363636376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24</v>
      </c>
      <c r="AG6" s="7">
        <f t="shared" ref="AG6:AG11" si="10">IF(M6=0,0,IFERROR(N6/100*7*F6,0))</f>
        <v>-2075.16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94</v>
      </c>
      <c r="C7" s="7">
        <v>24</v>
      </c>
      <c r="D7" s="7">
        <v>7</v>
      </c>
      <c r="E7" s="7">
        <v>14440</v>
      </c>
      <c r="F7" s="7">
        <v>10977</v>
      </c>
      <c r="G7" s="7">
        <v>53</v>
      </c>
      <c r="H7" s="9">
        <f t="shared" si="0"/>
        <v>4.8282773070966569E-3</v>
      </c>
      <c r="I7" s="9">
        <f>IFERROR((14440-F7)/14440,0)</f>
        <v>0.23981994459833794</v>
      </c>
      <c r="J7" s="7">
        <v>55020</v>
      </c>
      <c r="K7" s="11">
        <f t="shared" si="1"/>
        <v>71.604263459961743</v>
      </c>
      <c r="L7" s="11">
        <f>K7-73.8635</f>
        <v>-2.259236540038259</v>
      </c>
      <c r="M7" s="11">
        <v>79</v>
      </c>
      <c r="N7" s="11">
        <f t="shared" si="2"/>
        <v>-7.3957365400382571</v>
      </c>
      <c r="O7" s="11">
        <f>IFERROR(5236390/14440,0)</f>
        <v>362.63088642659278</v>
      </c>
      <c r="P7" s="11">
        <v>0</v>
      </c>
      <c r="Q7" s="11">
        <f t="shared" si="3"/>
        <v>362.63088642659278</v>
      </c>
      <c r="R7" s="7">
        <v>9730</v>
      </c>
      <c r="S7" s="11">
        <f t="shared" si="4"/>
        <v>126.62840484649723</v>
      </c>
      <c r="T7" s="13">
        <f t="shared" si="5"/>
        <v>5.6546762589928061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176.84478371501277</v>
      </c>
      <c r="Z7" s="11">
        <f t="shared" si="9"/>
        <v>65.98963104325702</v>
      </c>
      <c r="AA7" s="7">
        <v>2080</v>
      </c>
      <c r="AB7" s="15">
        <f>IFERROR(AA7/1980,0)</f>
        <v>1.0505050505050506</v>
      </c>
      <c r="AC7" s="11">
        <v>0</v>
      </c>
      <c r="AD7" s="15">
        <f>IFERROR(AC7/65.2,0)</f>
        <v>0</v>
      </c>
      <c r="AE7" s="11">
        <v>0</v>
      </c>
      <c r="AF7" s="11">
        <v>24</v>
      </c>
      <c r="AG7" s="7">
        <f t="shared" si="10"/>
        <v>-5682.8099999999968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94</v>
      </c>
      <c r="C8" s="7">
        <v>24</v>
      </c>
      <c r="D8" s="7">
        <v>7</v>
      </c>
      <c r="E8" s="7">
        <v>16063</v>
      </c>
      <c r="F8" s="7">
        <v>12906</v>
      </c>
      <c r="G8" s="7">
        <v>34</v>
      </c>
      <c r="H8" s="9">
        <f t="shared" si="0"/>
        <v>2.634433596776693E-3</v>
      </c>
      <c r="I8" s="9">
        <f>IFERROR((16063-F8)/16063,0)</f>
        <v>0.19653862914773082</v>
      </c>
      <c r="J8" s="7">
        <v>58500</v>
      </c>
      <c r="K8" s="11">
        <f t="shared" si="1"/>
        <v>64.753935046822079</v>
      </c>
      <c r="L8" s="11">
        <f>K8-65.6767</f>
        <v>-0.92276495317791785</v>
      </c>
      <c r="M8" s="11">
        <v>75</v>
      </c>
      <c r="N8" s="11">
        <f t="shared" si="2"/>
        <v>-10.246064953177921</v>
      </c>
      <c r="O8" s="11">
        <f>IFERROR(5456700/16063,0)</f>
        <v>339.70615700678576</v>
      </c>
      <c r="P8" s="11">
        <v>0</v>
      </c>
      <c r="Q8" s="11">
        <f t="shared" si="3"/>
        <v>339.70615700678576</v>
      </c>
      <c r="R8" s="7">
        <v>10360</v>
      </c>
      <c r="S8" s="11">
        <f t="shared" si="4"/>
        <v>114.67534480086782</v>
      </c>
      <c r="T8" s="13">
        <f t="shared" si="5"/>
        <v>5.6467181467181469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177.09401709401709</v>
      </c>
      <c r="Z8" s="11">
        <f t="shared" si="9"/>
        <v>65.524786324786319</v>
      </c>
      <c r="AA8" s="7">
        <v>1744</v>
      </c>
      <c r="AB8" s="15">
        <f>IFERROR(AA8/1580,0)</f>
        <v>1.1037974683544305</v>
      </c>
      <c r="AC8" s="11">
        <v>0</v>
      </c>
      <c r="AD8" s="15">
        <f>IFERROR(AC8/63.7,0)</f>
        <v>0</v>
      </c>
      <c r="AE8" s="11">
        <v>0</v>
      </c>
      <c r="AF8" s="11">
        <v>24</v>
      </c>
      <c r="AG8" s="7">
        <f t="shared" si="10"/>
        <v>-9256.4999999999964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55</v>
      </c>
      <c r="C9" s="7"/>
      <c r="D9" s="7">
        <v>7</v>
      </c>
      <c r="E9" s="7">
        <v>4686</v>
      </c>
      <c r="F9" s="7">
        <v>4047</v>
      </c>
      <c r="G9" s="7">
        <v>19</v>
      </c>
      <c r="H9" s="9">
        <f t="shared" si="0"/>
        <v>4.6948356807511738E-3</v>
      </c>
      <c r="I9" s="9">
        <f>IFERROR((4686-F9)/4686,0)</f>
        <v>0.13636363636363635</v>
      </c>
      <c r="J9" s="7">
        <v>28590</v>
      </c>
      <c r="K9" s="11">
        <f t="shared" si="1"/>
        <v>100.92131737795191</v>
      </c>
      <c r="L9" s="11">
        <f>K9-100.4497</f>
        <v>0.47161737795190106</v>
      </c>
      <c r="M9" s="11">
        <v>87</v>
      </c>
      <c r="N9" s="11">
        <f t="shared" si="2"/>
        <v>13.921317377951908</v>
      </c>
      <c r="O9" s="11">
        <f>IFERROR(1018440/4686,0)</f>
        <v>217.33674775928296</v>
      </c>
      <c r="P9" s="11">
        <v>228</v>
      </c>
      <c r="Q9" s="11">
        <f t="shared" si="3"/>
        <v>-10.663252240717043</v>
      </c>
      <c r="R9" s="7">
        <v>4453</v>
      </c>
      <c r="S9" s="11">
        <f t="shared" si="4"/>
        <v>157.18874651417275</v>
      </c>
      <c r="T9" s="13">
        <f t="shared" si="5"/>
        <v>6.4203907478104645</v>
      </c>
      <c r="U9" s="7">
        <v>5040</v>
      </c>
      <c r="V9" s="11">
        <f t="shared" si="6"/>
        <v>177.90956263899184</v>
      </c>
      <c r="W9" s="11">
        <f t="shared" si="7"/>
        <v>1.1318212441050977</v>
      </c>
      <c r="X9" s="11">
        <v>362.76</v>
      </c>
      <c r="Y9" s="11">
        <f t="shared" si="8"/>
        <v>155.75376005596365</v>
      </c>
      <c r="Z9" s="11">
        <f t="shared" si="9"/>
        <v>56.501233997901373</v>
      </c>
      <c r="AA9" s="7">
        <v>2005</v>
      </c>
      <c r="AB9" s="15">
        <f>IFERROR(AA9/1960,0)</f>
        <v>1.0229591836734695</v>
      </c>
      <c r="AC9" s="11">
        <v>0</v>
      </c>
      <c r="AD9" s="15">
        <f>IFERROR(AC9/63.5,0)</f>
        <v>0</v>
      </c>
      <c r="AE9" s="11">
        <v>12</v>
      </c>
      <c r="AF9" s="11">
        <v>21</v>
      </c>
      <c r="AG9" s="7">
        <f t="shared" si="10"/>
        <v>3943.7699999999963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94</v>
      </c>
      <c r="C10" s="7">
        <v>25</v>
      </c>
      <c r="D10" s="7">
        <v>7</v>
      </c>
      <c r="E10" s="7">
        <v>5000</v>
      </c>
      <c r="F10" s="7">
        <v>3984</v>
      </c>
      <c r="G10" s="7">
        <v>15</v>
      </c>
      <c r="H10" s="9">
        <f t="shared" si="0"/>
        <v>3.7650602409638554E-3</v>
      </c>
      <c r="I10" s="9">
        <f>IFERROR((5000-F10)/5000,0)</f>
        <v>0.20319999999999999</v>
      </c>
      <c r="J10" s="7">
        <v>23790</v>
      </c>
      <c r="K10" s="11">
        <f t="shared" si="1"/>
        <v>85.305507745266766</v>
      </c>
      <c r="L10" s="11">
        <f>K10-88.2363</f>
        <v>-2.9307922547332339</v>
      </c>
      <c r="M10" s="11">
        <v>79</v>
      </c>
      <c r="N10" s="11">
        <f t="shared" si="2"/>
        <v>6.3055077452667661</v>
      </c>
      <c r="O10" s="11">
        <f>IFERROR(1958520/5000,0)</f>
        <v>391.70400000000001</v>
      </c>
      <c r="P10" s="11">
        <v>0</v>
      </c>
      <c r="Q10" s="11">
        <f t="shared" si="3"/>
        <v>391.70400000000001</v>
      </c>
      <c r="R10" s="7">
        <v>4387</v>
      </c>
      <c r="S10" s="11">
        <f t="shared" si="4"/>
        <v>157.30780263912794</v>
      </c>
      <c r="T10" s="13">
        <f t="shared" si="5"/>
        <v>5.4228402097105084</v>
      </c>
      <c r="U10" s="7">
        <v>5040</v>
      </c>
      <c r="V10" s="11">
        <f t="shared" si="6"/>
        <v>180.72289156626505</v>
      </c>
      <c r="W10" s="11">
        <f t="shared" si="7"/>
        <v>1.1488488716662866</v>
      </c>
      <c r="X10" s="11">
        <v>374.81</v>
      </c>
      <c r="Y10" s="11">
        <f t="shared" si="8"/>
        <v>184.40521227406478</v>
      </c>
      <c r="Z10" s="11">
        <f t="shared" si="9"/>
        <v>69.116917612442222</v>
      </c>
      <c r="AA10" s="7">
        <v>2198</v>
      </c>
      <c r="AB10" s="15">
        <f>IFERROR(AA10/1980,0)</f>
        <v>1.11010101010101</v>
      </c>
      <c r="AC10" s="11">
        <v>0</v>
      </c>
      <c r="AD10" s="15">
        <f>IFERROR(AC10/65.2,0)</f>
        <v>0</v>
      </c>
      <c r="AE10" s="11">
        <v>14</v>
      </c>
      <c r="AF10" s="11">
        <v>21</v>
      </c>
      <c r="AG10" s="7">
        <f t="shared" si="10"/>
        <v>1758.4799999999957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55</v>
      </c>
      <c r="C11" s="7"/>
      <c r="D11" s="7">
        <v>7</v>
      </c>
      <c r="E11" s="7">
        <v>4819</v>
      </c>
      <c r="F11" s="7">
        <v>4397</v>
      </c>
      <c r="G11" s="7">
        <v>14</v>
      </c>
      <c r="H11" s="9">
        <f t="shared" si="0"/>
        <v>3.1839890834659997E-3</v>
      </c>
      <c r="I11" s="9">
        <f>IFERROR((4819-F11)/4819,0)</f>
        <v>8.7570035277028432E-2</v>
      </c>
      <c r="J11" s="7">
        <v>28170</v>
      </c>
      <c r="K11" s="11">
        <f t="shared" si="1"/>
        <v>91.5234413073849</v>
      </c>
      <c r="L11" s="11">
        <f>K11-91.5244</f>
        <v>-9.5869261510017623E-4</v>
      </c>
      <c r="M11" s="11">
        <v>87</v>
      </c>
      <c r="N11" s="11">
        <f t="shared" si="2"/>
        <v>4.5234413073848998</v>
      </c>
      <c r="O11" s="11">
        <f>IFERROR(1062466/4819,0)</f>
        <v>220.47437227640589</v>
      </c>
      <c r="P11" s="11">
        <v>228</v>
      </c>
      <c r="Q11" s="11">
        <f t="shared" si="3"/>
        <v>-7.5256277235941127</v>
      </c>
      <c r="R11" s="7">
        <v>4281</v>
      </c>
      <c r="S11" s="11">
        <f t="shared" si="4"/>
        <v>139.08833945222389</v>
      </c>
      <c r="T11" s="13">
        <f t="shared" si="5"/>
        <v>6.5802382620882973</v>
      </c>
      <c r="U11" s="7">
        <v>5040</v>
      </c>
      <c r="V11" s="11">
        <f t="shared" si="6"/>
        <v>163.74801000682285</v>
      </c>
      <c r="W11" s="11">
        <f t="shared" si="7"/>
        <v>1.17729502452698</v>
      </c>
      <c r="X11" s="11">
        <v>362.76</v>
      </c>
      <c r="Y11" s="11">
        <f t="shared" si="8"/>
        <v>151.97018104366344</v>
      </c>
      <c r="Z11" s="11">
        <f t="shared" si="9"/>
        <v>55.128702875399348</v>
      </c>
      <c r="AA11" s="7">
        <v>2000</v>
      </c>
      <c r="AB11" s="15">
        <f>IFERROR(AA11/1960,0)</f>
        <v>1.0204081632653061</v>
      </c>
      <c r="AC11" s="11">
        <v>0</v>
      </c>
      <c r="AD11" s="15">
        <f>IFERROR(AC11/63.5,0)</f>
        <v>0</v>
      </c>
      <c r="AE11" s="11">
        <v>15</v>
      </c>
      <c r="AF11" s="11">
        <v>27</v>
      </c>
      <c r="AG11" s="7">
        <f t="shared" si="10"/>
        <v>1392.2699999999982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37283</v>
      </c>
      <c r="G12" s="17">
        <f>SUM(G6:G11)</f>
        <v>143</v>
      </c>
      <c r="H12" s="18">
        <f t="shared" si="0"/>
        <v>3.8355282568462838E-3</v>
      </c>
      <c r="I12" s="18"/>
      <c r="J12" s="17">
        <f>SUM(J6:J11)</f>
        <v>197370</v>
      </c>
      <c r="K12" s="19">
        <f t="shared" si="1"/>
        <v>75.626195010364739</v>
      </c>
      <c r="L12" s="19"/>
      <c r="M12" s="19">
        <f>IFERROR(SUMPRODUCT($F6:$F11,M6:M11)/$F12, 0)</f>
        <v>79.427218839685651</v>
      </c>
      <c r="N12" s="19">
        <f t="shared" si="2"/>
        <v>-3.8010238293209113</v>
      </c>
      <c r="O12" s="19">
        <f>IFERROR(SUMPRODUCT($E6:$E11,O6:O11)/$E12, 0)</f>
        <v>322.80307326046966</v>
      </c>
      <c r="P12" s="19">
        <f>IFERROR(SUMPRODUCT($E6:$E11,P6:P11)/$E12, 0)</f>
        <v>46.902716156260148</v>
      </c>
      <c r="Q12" s="19">
        <f>IFERROR(SUMPRODUCT($E6:$E11,Q6:Q11)/$E12, 0)</f>
        <v>275.90035710420949</v>
      </c>
      <c r="R12" s="17">
        <f>SUM(R6:R11)</f>
        <v>34079</v>
      </c>
      <c r="S12" s="19">
        <f>IFERROR(R12/D12/$F12*1000,0)</f>
        <v>130.58038707798653</v>
      </c>
      <c r="T12" s="20">
        <f t="shared" si="5"/>
        <v>5.7915431790838934</v>
      </c>
      <c r="U12" s="17">
        <f>SUM(U6:U11)</f>
        <v>15120</v>
      </c>
      <c r="V12" s="19">
        <f>IFERROR(U12/D12/$F12*1000,0)</f>
        <v>57.935251991524289</v>
      </c>
      <c r="W12" s="19">
        <f t="shared" si="7"/>
        <v>0.44367499046333519</v>
      </c>
      <c r="X12" s="19">
        <f>IFERROR(SUMPRODUCT(R6:R11,X6:X11)/R12,0)</f>
        <v>367.8006587634614</v>
      </c>
      <c r="Y12" s="19">
        <f>IFERROR(($F12*S12)/($F12*K12)*100,0)</f>
        <v>172.66555200891727</v>
      </c>
      <c r="Z12" s="19">
        <f t="shared" si="9"/>
        <v>63.506503774636478</v>
      </c>
      <c r="AA12" s="17"/>
      <c r="AB12" s="21">
        <f>IFERROR(SUMPRODUCT($F6:$F11,AB6:AB11)/$F12,0)</f>
        <v>1.0413941206561361</v>
      </c>
      <c r="AC12" s="19"/>
      <c r="AD12" s="21">
        <f>AVERAGE(AD6:AD11)</f>
        <v>0</v>
      </c>
      <c r="AE12" s="19"/>
      <c r="AF12" s="19"/>
      <c r="AG12" s="17">
        <f>SUM(AG6:AG11)</f>
        <v>-9919.9500000000025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94</v>
      </c>
      <c r="C14" s="6">
        <v>31</v>
      </c>
      <c r="D14" s="6">
        <v>7</v>
      </c>
      <c r="E14" s="6">
        <v>21388</v>
      </c>
      <c r="F14" s="6">
        <v>15688</v>
      </c>
      <c r="G14" s="6">
        <v>100</v>
      </c>
      <c r="H14" s="8">
        <f t="shared" ref="H14:H31" si="12">IFERROR(G14/F14,0)</f>
        <v>6.3742988271290159E-3</v>
      </c>
      <c r="I14" s="8">
        <f>IFERROR((21388-F14)/21388,0)</f>
        <v>0.26650458200860294</v>
      </c>
      <c r="J14" s="6">
        <v>78840</v>
      </c>
      <c r="K14" s="10">
        <f t="shared" ref="K14:K31" si="13">IFERROR(J14/D14/F14*100,0)</f>
        <v>71.792817075835941</v>
      </c>
      <c r="L14" s="10">
        <f>K14-72.062</f>
        <v>-0.2691829241640562</v>
      </c>
      <c r="M14" s="10">
        <v>75</v>
      </c>
      <c r="N14" s="10">
        <f t="shared" ref="N14:N31" si="14">K14-M14</f>
        <v>-3.2071829241640586</v>
      </c>
      <c r="O14" s="10">
        <f>IFERROR(6293660/21388,0)</f>
        <v>294.26126800074809</v>
      </c>
      <c r="P14" s="10">
        <v>0</v>
      </c>
      <c r="Q14" s="10">
        <f t="shared" ref="Q14:Q30" si="15">IFERROR(O14-P14,0)</f>
        <v>294.26126800074809</v>
      </c>
      <c r="R14" s="6">
        <v>11500</v>
      </c>
      <c r="S14" s="10">
        <f t="shared" ref="S14:S30" si="16">IFERROR(R14/D14/F14*1000,0)</f>
        <v>104.72062358854812</v>
      </c>
      <c r="T14" s="12">
        <f t="shared" ref="T14:T31" si="17">IFERROR(J14/R14,0)</f>
        <v>6.8556521739130432</v>
      </c>
      <c r="U14" s="6">
        <v>22440</v>
      </c>
      <c r="V14" s="10">
        <f t="shared" ref="V14:V30" si="18">IFERROR(U14/D14/F14*1000,0)</f>
        <v>204.34180811539301</v>
      </c>
      <c r="W14" s="10">
        <f t="shared" ref="W14:W31" si="19">IFERROR(V14/S14,0)</f>
        <v>1.9513043478260867</v>
      </c>
      <c r="X14" s="10">
        <v>314.32</v>
      </c>
      <c r="Y14" s="10">
        <f t="shared" ref="Y14:Y30" si="20">IFERROR((F14*S14)/(F14*K14)*100,0)</f>
        <v>145.8650431253171</v>
      </c>
      <c r="Z14" s="10">
        <f t="shared" ref="Z14:Z31" si="21">IFERROR(Y14*X14/1000,0)</f>
        <v>45.848300355149675</v>
      </c>
      <c r="AA14" s="6">
        <v>2020</v>
      </c>
      <c r="AB14" s="14">
        <f>IFERROR(AA14/1580,0)</f>
        <v>1.2784810126582278</v>
      </c>
      <c r="AC14" s="10">
        <v>0</v>
      </c>
      <c r="AD14" s="14">
        <f>IFERROR(AC14/63.7,0)</f>
        <v>0</v>
      </c>
      <c r="AE14" s="10">
        <v>18</v>
      </c>
      <c r="AF14" s="10">
        <v>26</v>
      </c>
      <c r="AG14" s="6">
        <f t="shared" ref="AG14:AG30" si="22">IF(M14=0,0,IFERROR(N14/100*7*F14,0))</f>
        <v>-3522.0000000000023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54</v>
      </c>
      <c r="C15" s="7"/>
      <c r="D15" s="7">
        <v>7</v>
      </c>
      <c r="E15" s="7">
        <v>10225</v>
      </c>
      <c r="F15" s="7">
        <v>7698</v>
      </c>
      <c r="G15" s="7">
        <v>98</v>
      </c>
      <c r="H15" s="9">
        <f t="shared" si="12"/>
        <v>1.2730579371265264E-2</v>
      </c>
      <c r="I15" s="9">
        <f>IFERROR((10225-F15)/10225,0)</f>
        <v>0.24713936430317848</v>
      </c>
      <c r="J15" s="7">
        <v>40500</v>
      </c>
      <c r="K15" s="11">
        <f t="shared" si="13"/>
        <v>75.158668299743908</v>
      </c>
      <c r="L15" s="11">
        <f>K15-73.939</f>
        <v>1.2196682997439154</v>
      </c>
      <c r="M15" s="11">
        <v>87.5</v>
      </c>
      <c r="N15" s="11">
        <f t="shared" si="14"/>
        <v>-12.341331700256092</v>
      </c>
      <c r="O15" s="11">
        <f>IFERROR(1852650/10225,0)</f>
        <v>181.18826405867969</v>
      </c>
      <c r="P15" s="11">
        <v>222</v>
      </c>
      <c r="Q15" s="11">
        <f t="shared" si="15"/>
        <v>-40.811735941320308</v>
      </c>
      <c r="R15" s="7">
        <v>7440</v>
      </c>
      <c r="S15" s="11">
        <f t="shared" si="16"/>
        <v>138.06925732101104</v>
      </c>
      <c r="T15" s="13">
        <f t="shared" si="17"/>
        <v>5.443548387096774</v>
      </c>
      <c r="U15" s="7">
        <v>12650</v>
      </c>
      <c r="V15" s="11">
        <f t="shared" si="18"/>
        <v>234.7548528374717</v>
      </c>
      <c r="W15" s="11">
        <f t="shared" si="19"/>
        <v>1.700268817204301</v>
      </c>
      <c r="X15" s="11">
        <v>312.89999999999998</v>
      </c>
      <c r="Y15" s="11">
        <f t="shared" si="20"/>
        <v>183.7037037037037</v>
      </c>
      <c r="Z15" s="11">
        <f t="shared" si="21"/>
        <v>57.480888888888884</v>
      </c>
      <c r="AA15" s="7">
        <v>1950</v>
      </c>
      <c r="AB15" s="15">
        <f>IFERROR(AA15/1950,0)</f>
        <v>1</v>
      </c>
      <c r="AC15" s="11">
        <v>0</v>
      </c>
      <c r="AD15" s="15">
        <f>IFERROR(AC15/63.5,0)</f>
        <v>0</v>
      </c>
      <c r="AE15" s="11">
        <v>14</v>
      </c>
      <c r="AF15" s="11">
        <v>26</v>
      </c>
      <c r="AG15" s="7">
        <f t="shared" si="22"/>
        <v>-6650.2499999999982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83</v>
      </c>
      <c r="C16" s="7"/>
      <c r="D16" s="7">
        <v>7</v>
      </c>
      <c r="E16" s="7">
        <v>56050</v>
      </c>
      <c r="F16" s="7">
        <v>47335</v>
      </c>
      <c r="G16" s="7">
        <v>233</v>
      </c>
      <c r="H16" s="9">
        <f t="shared" si="12"/>
        <v>4.9223618886658918E-3</v>
      </c>
      <c r="I16" s="9">
        <f>IFERROR((56050-F16)/56050,0)</f>
        <v>0.15548617305976806</v>
      </c>
      <c r="J16" s="7">
        <v>289220</v>
      </c>
      <c r="K16" s="11">
        <f t="shared" si="13"/>
        <v>87.286664956465316</v>
      </c>
      <c r="L16" s="11">
        <f>K16-87.2435</f>
        <v>4.3164956465318483E-2</v>
      </c>
      <c r="M16" s="11">
        <v>84.3</v>
      </c>
      <c r="N16" s="11">
        <f t="shared" si="14"/>
        <v>2.9866649564653187</v>
      </c>
      <c r="O16" s="11">
        <f>IFERROR(21347101/56050,0)</f>
        <v>380.85818019625333</v>
      </c>
      <c r="P16" s="11">
        <v>388</v>
      </c>
      <c r="Q16" s="11">
        <f t="shared" si="15"/>
        <v>-7.1418198037466709</v>
      </c>
      <c r="R16" s="7">
        <v>38990</v>
      </c>
      <c r="S16" s="11">
        <f t="shared" si="16"/>
        <v>117.67191296081124</v>
      </c>
      <c r="T16" s="13">
        <f t="shared" si="17"/>
        <v>7.417799435752757</v>
      </c>
      <c r="U16" s="7">
        <v>65700</v>
      </c>
      <c r="V16" s="11">
        <f t="shared" si="18"/>
        <v>198.28275664337778</v>
      </c>
      <c r="W16" s="11">
        <f t="shared" si="19"/>
        <v>1.6850474480636064</v>
      </c>
      <c r="X16" s="11">
        <v>320.5528571429</v>
      </c>
      <c r="Y16" s="11">
        <f t="shared" si="20"/>
        <v>134.81087061752299</v>
      </c>
      <c r="Z16" s="11">
        <f t="shared" si="21"/>
        <v>43.214009750368824</v>
      </c>
      <c r="AA16" s="7">
        <v>1770</v>
      </c>
      <c r="AB16" s="15">
        <f>IFERROR(AA16/1725,0)</f>
        <v>1.0260869565217392</v>
      </c>
      <c r="AC16" s="11">
        <v>0</v>
      </c>
      <c r="AD16" s="15">
        <f>IFERROR(AC16/64.25,0)</f>
        <v>0</v>
      </c>
      <c r="AE16" s="11">
        <v>20</v>
      </c>
      <c r="AF16" s="11">
        <v>26</v>
      </c>
      <c r="AG16" s="7">
        <f t="shared" si="22"/>
        <v>9896.16500000001</v>
      </c>
      <c r="AH16" s="7">
        <v>48</v>
      </c>
      <c r="AI16" s="7">
        <v>10.416666666699999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IFERROR(1540/F16,0)</f>
        <v>3.2534065701911905E-2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76</v>
      </c>
      <c r="C17" s="7">
        <v>3</v>
      </c>
      <c r="D17" s="7">
        <v>7</v>
      </c>
      <c r="E17" s="7">
        <v>51536</v>
      </c>
      <c r="F17" s="7">
        <v>48534</v>
      </c>
      <c r="G17" s="7">
        <v>242</v>
      </c>
      <c r="H17" s="9">
        <f t="shared" si="12"/>
        <v>4.9861952445708164E-3</v>
      </c>
      <c r="I17" s="9">
        <f>IFERROR((51536-F17)/51536,0)</f>
        <v>5.8250543309531201E-2</v>
      </c>
      <c r="J17" s="7">
        <v>0</v>
      </c>
      <c r="K17" s="11">
        <f t="shared" si="13"/>
        <v>0</v>
      </c>
      <c r="L17" s="11">
        <f>K17-0</f>
        <v>0</v>
      </c>
      <c r="M17" s="11">
        <v>0</v>
      </c>
      <c r="N17" s="11">
        <f t="shared" si="14"/>
        <v>0</v>
      </c>
      <c r="O17" s="11">
        <f>IFERROR(16612442/51536,0)</f>
        <v>322.34635982614094</v>
      </c>
      <c r="P17" s="11">
        <v>0</v>
      </c>
      <c r="Q17" s="11">
        <f t="shared" si="15"/>
        <v>322.34635982614094</v>
      </c>
      <c r="R17" s="7">
        <v>26180</v>
      </c>
      <c r="S17" s="11">
        <f t="shared" si="16"/>
        <v>77.059381052458079</v>
      </c>
      <c r="T17" s="13">
        <f t="shared" si="17"/>
        <v>0</v>
      </c>
      <c r="U17" s="7">
        <v>26408</v>
      </c>
      <c r="V17" s="11">
        <f t="shared" si="18"/>
        <v>77.730486433663572</v>
      </c>
      <c r="W17" s="11">
        <f t="shared" si="19"/>
        <v>1.0087089381207026</v>
      </c>
      <c r="X17" s="11">
        <v>292.52</v>
      </c>
      <c r="Y17" s="11">
        <f t="shared" si="20"/>
        <v>0</v>
      </c>
      <c r="Z17" s="11">
        <f t="shared" si="21"/>
        <v>0</v>
      </c>
      <c r="AA17" s="7">
        <v>1370</v>
      </c>
      <c r="AB17" s="15">
        <f>IFERROR(AA17/1710,0)</f>
        <v>0.80116959064327486</v>
      </c>
      <c r="AC17" s="11">
        <v>0</v>
      </c>
      <c r="AD17" s="15">
        <f>IFERROR(AC17/63.95,0)</f>
        <v>0</v>
      </c>
      <c r="AE17" s="11">
        <v>21</v>
      </c>
      <c r="AF17" s="11">
        <v>27</v>
      </c>
      <c r="AG17" s="7">
        <f t="shared" si="22"/>
        <v>0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23</v>
      </c>
      <c r="C18" s="7"/>
      <c r="D18" s="7">
        <v>7</v>
      </c>
      <c r="E18" s="7">
        <v>49067</v>
      </c>
      <c r="F18" s="7">
        <v>48660</v>
      </c>
      <c r="G18" s="7">
        <v>83</v>
      </c>
      <c r="H18" s="9">
        <f t="shared" si="12"/>
        <v>1.7057131113851212E-3</v>
      </c>
      <c r="I18" s="9">
        <f>IFERROR((49067-F18)/49067,0)</f>
        <v>8.2947806061100127E-3</v>
      </c>
      <c r="J18" s="7">
        <v>299580</v>
      </c>
      <c r="K18" s="11">
        <f t="shared" si="13"/>
        <v>87.95138277259116</v>
      </c>
      <c r="L18" s="11">
        <f>K18-84.9294</f>
        <v>3.0219827725911586</v>
      </c>
      <c r="M18" s="11">
        <v>88.8</v>
      </c>
      <c r="N18" s="11">
        <f t="shared" si="14"/>
        <v>-0.84861722740883749</v>
      </c>
      <c r="O18" s="11">
        <f>IFERROR(1036500/49067,0)</f>
        <v>21.124177145535697</v>
      </c>
      <c r="P18" s="11">
        <v>20</v>
      </c>
      <c r="Q18" s="11">
        <f t="shared" si="15"/>
        <v>1.1241771455356968</v>
      </c>
      <c r="R18" s="7">
        <v>36100</v>
      </c>
      <c r="S18" s="11">
        <f t="shared" si="16"/>
        <v>105.98320709294815</v>
      </c>
      <c r="T18" s="13">
        <f t="shared" si="17"/>
        <v>8.2986149584487539</v>
      </c>
      <c r="U18" s="7">
        <v>64130</v>
      </c>
      <c r="V18" s="11">
        <f t="shared" si="18"/>
        <v>188.27432329281896</v>
      </c>
      <c r="W18" s="11">
        <f t="shared" si="19"/>
        <v>1.7764542936288088</v>
      </c>
      <c r="X18" s="11">
        <v>307.16285714290001</v>
      </c>
      <c r="Y18" s="11">
        <f t="shared" si="20"/>
        <v>120.50203618399094</v>
      </c>
      <c r="Z18" s="11">
        <f t="shared" si="21"/>
        <v>37.01374972581177</v>
      </c>
      <c r="AA18" s="7">
        <v>1493</v>
      </c>
      <c r="AB18" s="15">
        <f>IFERROR(AA18/1485,0)</f>
        <v>1.0053872053872055</v>
      </c>
      <c r="AC18" s="11">
        <v>0</v>
      </c>
      <c r="AD18" s="15">
        <f>IFERROR(AC18/51.65,0)</f>
        <v>0</v>
      </c>
      <c r="AE18" s="11">
        <v>20</v>
      </c>
      <c r="AF18" s="11">
        <v>27</v>
      </c>
      <c r="AG18" s="7">
        <f t="shared" si="22"/>
        <v>-2890.5599999999822</v>
      </c>
      <c r="AH18" s="7">
        <v>12</v>
      </c>
      <c r="AI18" s="7">
        <v>18.333333333300001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IFERROR(0/F18,0)</f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55</v>
      </c>
      <c r="C19" s="7"/>
      <c r="D19" s="7">
        <v>7</v>
      </c>
      <c r="E19" s="7">
        <v>52424</v>
      </c>
      <c r="F19" s="7">
        <v>45812</v>
      </c>
      <c r="G19" s="7">
        <v>424</v>
      </c>
      <c r="H19" s="9">
        <f t="shared" si="12"/>
        <v>9.255216973718677E-3</v>
      </c>
      <c r="I19" s="9">
        <f>IFERROR((52424-F19)/52424,0)</f>
        <v>0.12612543873035251</v>
      </c>
      <c r="J19" s="7">
        <v>287040</v>
      </c>
      <c r="K19" s="11">
        <f t="shared" si="13"/>
        <v>89.508675206745565</v>
      </c>
      <c r="L19" s="11">
        <f>K19-89.1266</f>
        <v>0.38207520674556861</v>
      </c>
      <c r="M19" s="11">
        <v>92.7</v>
      </c>
      <c r="N19" s="11">
        <f t="shared" si="14"/>
        <v>-3.191324793254438</v>
      </c>
      <c r="O19" s="11">
        <f>IFERROR(10992760/52424,0)</f>
        <v>209.68945521135359</v>
      </c>
      <c r="P19" s="11">
        <v>226</v>
      </c>
      <c r="Q19" s="11">
        <f t="shared" si="15"/>
        <v>-16.310544788646411</v>
      </c>
      <c r="R19" s="7">
        <v>38560</v>
      </c>
      <c r="S19" s="11">
        <f t="shared" si="16"/>
        <v>120.2429806289057</v>
      </c>
      <c r="T19" s="13">
        <f t="shared" si="17"/>
        <v>7.4439834024896268</v>
      </c>
      <c r="U19" s="7">
        <v>57130</v>
      </c>
      <c r="V19" s="11">
        <f t="shared" si="18"/>
        <v>178.15045340584501</v>
      </c>
      <c r="W19" s="11">
        <f t="shared" si="19"/>
        <v>1.4815871369294609</v>
      </c>
      <c r="X19" s="11">
        <v>295.03428571429998</v>
      </c>
      <c r="Y19" s="11">
        <f t="shared" si="20"/>
        <v>134.3366778149387</v>
      </c>
      <c r="Z19" s="11">
        <f t="shared" si="21"/>
        <v>39.633925784362489</v>
      </c>
      <c r="AA19" s="7">
        <v>1722</v>
      </c>
      <c r="AB19" s="15">
        <f>IFERROR(AA19/1725,0)</f>
        <v>0.99826086956521742</v>
      </c>
      <c r="AC19" s="11">
        <v>61.23</v>
      </c>
      <c r="AD19" s="15">
        <f>IFERROR(AC19/62.95,0)</f>
        <v>0.97267672756155665</v>
      </c>
      <c r="AE19" s="11">
        <v>20</v>
      </c>
      <c r="AF19" s="11">
        <v>26</v>
      </c>
      <c r="AG19" s="7">
        <f t="shared" si="22"/>
        <v>-10234.068000000063</v>
      </c>
      <c r="AH19" s="7">
        <v>36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IFERROR(1200/F19,0)</f>
        <v>2.6194010302977386E-2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45</v>
      </c>
      <c r="C20" s="7"/>
      <c r="D20" s="7">
        <v>7</v>
      </c>
      <c r="E20" s="7">
        <v>50525</v>
      </c>
      <c r="F20" s="7">
        <v>47468</v>
      </c>
      <c r="G20" s="7">
        <v>349</v>
      </c>
      <c r="H20" s="9">
        <f t="shared" si="12"/>
        <v>7.352321564001011E-3</v>
      </c>
      <c r="I20" s="9">
        <f>IFERROR((50525-F20)/50525,0)</f>
        <v>6.0504700643245916E-2</v>
      </c>
      <c r="J20" s="7">
        <v>292480</v>
      </c>
      <c r="K20" s="11">
        <f t="shared" si="13"/>
        <v>88.023209620917555</v>
      </c>
      <c r="L20" s="11">
        <f>K20-91.408</f>
        <v>-3.3847903790824461</v>
      </c>
      <c r="M20" s="11">
        <v>92</v>
      </c>
      <c r="N20" s="11">
        <f t="shared" si="14"/>
        <v>-3.9767903790824448</v>
      </c>
      <c r="O20" s="11">
        <f>IFERROR(7682210/50525,0)</f>
        <v>152.04769915883227</v>
      </c>
      <c r="P20" s="11">
        <v>165</v>
      </c>
      <c r="Q20" s="11">
        <f t="shared" si="15"/>
        <v>-12.952300841167727</v>
      </c>
      <c r="R20" s="7">
        <v>39363</v>
      </c>
      <c r="S20" s="11">
        <f t="shared" si="16"/>
        <v>118.46477025123693</v>
      </c>
      <c r="T20" s="13">
        <f t="shared" si="17"/>
        <v>7.4303279729695397</v>
      </c>
      <c r="U20" s="7">
        <v>70733</v>
      </c>
      <c r="V20" s="11">
        <f t="shared" si="18"/>
        <v>212.87423708001782</v>
      </c>
      <c r="W20" s="11">
        <f t="shared" si="19"/>
        <v>1.7969412900439499</v>
      </c>
      <c r="X20" s="11">
        <v>300.77142857140001</v>
      </c>
      <c r="Y20" s="11">
        <f t="shared" si="20"/>
        <v>134.5835612691466</v>
      </c>
      <c r="Z20" s="11">
        <f t="shared" si="21"/>
        <v>40.478889985147759</v>
      </c>
      <c r="AA20" s="7">
        <v>1711</v>
      </c>
      <c r="AB20" s="15">
        <f>IFERROR(AA20/1580,0)</f>
        <v>1.0829113924050633</v>
      </c>
      <c r="AC20" s="11">
        <v>60.83</v>
      </c>
      <c r="AD20" s="15">
        <f>IFERROR(AC20/61.8,0)</f>
        <v>0.98430420711974109</v>
      </c>
      <c r="AE20" s="11">
        <v>20</v>
      </c>
      <c r="AF20" s="11">
        <v>26</v>
      </c>
      <c r="AG20" s="7">
        <f t="shared" si="22"/>
        <v>-13213.919999999984</v>
      </c>
      <c r="AH20" s="7">
        <v>35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IFERROR(980/F20,0)</f>
        <v>2.0645487486306565E-2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64</v>
      </c>
      <c r="C21" s="7"/>
      <c r="D21" s="7">
        <v>7</v>
      </c>
      <c r="E21" s="7">
        <v>50845</v>
      </c>
      <c r="F21" s="7">
        <v>47504</v>
      </c>
      <c r="G21" s="7">
        <v>126</v>
      </c>
      <c r="H21" s="9">
        <f t="shared" si="12"/>
        <v>2.6524082182553047E-3</v>
      </c>
      <c r="I21" s="9">
        <f>IFERROR((50845-F21)/50845,0)</f>
        <v>6.5709509292949164E-2</v>
      </c>
      <c r="J21" s="7">
        <v>296080</v>
      </c>
      <c r="K21" s="11">
        <f t="shared" si="13"/>
        <v>89.039118510320932</v>
      </c>
      <c r="L21" s="11">
        <f>K21-90.5072</f>
        <v>-1.468081489679065</v>
      </c>
      <c r="M21" s="11">
        <v>90.2</v>
      </c>
      <c r="N21" s="11">
        <f t="shared" si="14"/>
        <v>-1.1608814896790705</v>
      </c>
      <c r="O21" s="11">
        <f>IFERROR(14032270/50845,0)</f>
        <v>275.98131576359526</v>
      </c>
      <c r="P21" s="11">
        <v>280</v>
      </c>
      <c r="Q21" s="11">
        <f t="shared" si="15"/>
        <v>-4.0186842364047379</v>
      </c>
      <c r="R21" s="7">
        <v>39180</v>
      </c>
      <c r="S21" s="11">
        <f t="shared" si="16"/>
        <v>117.82466438916421</v>
      </c>
      <c r="T21" s="13">
        <f t="shared" si="17"/>
        <v>7.5569167942827971</v>
      </c>
      <c r="U21" s="7">
        <v>66500</v>
      </c>
      <c r="V21" s="11">
        <f t="shared" si="18"/>
        <v>199.98315931289997</v>
      </c>
      <c r="W21" s="11">
        <f t="shared" si="19"/>
        <v>1.6972945380296072</v>
      </c>
      <c r="X21" s="11">
        <v>300.63285714289998</v>
      </c>
      <c r="Y21" s="11">
        <f t="shared" si="20"/>
        <v>132.32910024317749</v>
      </c>
      <c r="Z21" s="11">
        <f t="shared" si="21"/>
        <v>39.782475489255667</v>
      </c>
      <c r="AA21" s="7">
        <v>1704</v>
      </c>
      <c r="AB21" s="15">
        <f>IFERROR(AA21/1725,0)</f>
        <v>0.98782608695652174</v>
      </c>
      <c r="AC21" s="11">
        <v>61.52</v>
      </c>
      <c r="AD21" s="15">
        <f>IFERROR(AC21/63.4,0)</f>
        <v>0.97034700315457423</v>
      </c>
      <c r="AE21" s="11">
        <v>19</v>
      </c>
      <c r="AF21" s="11">
        <v>26</v>
      </c>
      <c r="AG21" s="7">
        <f t="shared" si="22"/>
        <v>-3860.2560000000194</v>
      </c>
      <c r="AH21" s="7">
        <v>35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IFERROR(1400/F21,0)</f>
        <v>2.9471202425058941E-2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31</v>
      </c>
      <c r="C22" s="7"/>
      <c r="D22" s="7">
        <v>7</v>
      </c>
      <c r="E22" s="7">
        <v>21024</v>
      </c>
      <c r="F22" s="7">
        <v>20257</v>
      </c>
      <c r="G22" s="7">
        <v>90</v>
      </c>
      <c r="H22" s="9">
        <f t="shared" si="12"/>
        <v>4.4429086241792957E-3</v>
      </c>
      <c r="I22" s="9">
        <f>IFERROR((21024-F22)/21024,0)</f>
        <v>3.648211567732116E-2</v>
      </c>
      <c r="J22" s="7">
        <v>106050</v>
      </c>
      <c r="K22" s="11">
        <f t="shared" si="13"/>
        <v>74.78896184035149</v>
      </c>
      <c r="L22" s="11">
        <f>K22-69.1713</f>
        <v>5.617661840351488</v>
      </c>
      <c r="M22" s="11">
        <v>95</v>
      </c>
      <c r="N22" s="11">
        <f t="shared" si="14"/>
        <v>-20.21103815964851</v>
      </c>
      <c r="O22" s="11">
        <f>IFERROR(941040/21024,0)</f>
        <v>44.760273972602739</v>
      </c>
      <c r="P22" s="11">
        <v>78</v>
      </c>
      <c r="Q22" s="11">
        <f t="shared" si="15"/>
        <v>-33.239726027397261</v>
      </c>
      <c r="R22" s="7">
        <v>18290</v>
      </c>
      <c r="S22" s="11">
        <f t="shared" si="16"/>
        <v>128.98539481942751</v>
      </c>
      <c r="T22" s="13">
        <f t="shared" si="17"/>
        <v>5.7982504100601417</v>
      </c>
      <c r="U22" s="7">
        <v>22580</v>
      </c>
      <c r="V22" s="11">
        <f t="shared" si="18"/>
        <v>159.23948687931508</v>
      </c>
      <c r="W22" s="11">
        <f t="shared" si="19"/>
        <v>1.2345544013121923</v>
      </c>
      <c r="X22" s="11">
        <v>314.41428571429998</v>
      </c>
      <c r="Y22" s="11">
        <f t="shared" si="20"/>
        <v>172.46581801037246</v>
      </c>
      <c r="Z22" s="11">
        <f t="shared" si="21"/>
        <v>54.225716979863712</v>
      </c>
      <c r="AA22" s="7">
        <v>1810</v>
      </c>
      <c r="AB22" s="15">
        <f>IFERROR(AA22/1900,0)</f>
        <v>0.95263157894736838</v>
      </c>
      <c r="AC22" s="11">
        <v>0</v>
      </c>
      <c r="AD22" s="15">
        <f>IFERROR(AC22/61.1,0)</f>
        <v>0</v>
      </c>
      <c r="AE22" s="11">
        <v>18</v>
      </c>
      <c r="AF22" s="11">
        <v>26</v>
      </c>
      <c r="AG22" s="7">
        <f t="shared" si="22"/>
        <v>-28659.049999999988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55</v>
      </c>
      <c r="C23" s="7"/>
      <c r="D23" s="7">
        <v>7</v>
      </c>
      <c r="E23" s="7">
        <v>21875</v>
      </c>
      <c r="F23" s="7">
        <v>20665</v>
      </c>
      <c r="G23" s="7">
        <v>41</v>
      </c>
      <c r="H23" s="9">
        <f t="shared" si="12"/>
        <v>1.9840309702395353E-3</v>
      </c>
      <c r="I23" s="9">
        <f>IFERROR((21875-F23)/21875,0)</f>
        <v>5.5314285714285712E-2</v>
      </c>
      <c r="J23" s="7">
        <v>129960</v>
      </c>
      <c r="K23" s="11">
        <f t="shared" si="13"/>
        <v>89.841346652379812</v>
      </c>
      <c r="L23" s="11">
        <f>K23-91.5263</f>
        <v>-1.6849533476201941</v>
      </c>
      <c r="M23" s="11">
        <v>87</v>
      </c>
      <c r="N23" s="11">
        <f t="shared" si="14"/>
        <v>2.8413466523798121</v>
      </c>
      <c r="O23" s="11">
        <f>IFERROR(4969950/21875,0)</f>
        <v>227.19771428571428</v>
      </c>
      <c r="P23" s="11">
        <v>228</v>
      </c>
      <c r="Q23" s="11">
        <f t="shared" si="15"/>
        <v>-0.80228571428571627</v>
      </c>
      <c r="R23" s="7">
        <v>18730</v>
      </c>
      <c r="S23" s="11">
        <f t="shared" si="16"/>
        <v>129.48048805779268</v>
      </c>
      <c r="T23" s="13">
        <f t="shared" si="17"/>
        <v>6.9386011745862257</v>
      </c>
      <c r="U23" s="7">
        <v>28564</v>
      </c>
      <c r="V23" s="11">
        <f t="shared" si="18"/>
        <v>197.46292903805607</v>
      </c>
      <c r="W23" s="11">
        <f t="shared" si="19"/>
        <v>1.5250400427122264</v>
      </c>
      <c r="X23" s="11">
        <v>294.98428571429997</v>
      </c>
      <c r="Y23" s="11">
        <f t="shared" si="20"/>
        <v>144.12126808248692</v>
      </c>
      <c r="Z23" s="11">
        <f t="shared" si="21"/>
        <v>42.513509321551545</v>
      </c>
      <c r="AA23" s="7">
        <v>2002</v>
      </c>
      <c r="AB23" s="15">
        <f>IFERROR(AA23/1960,0)</f>
        <v>1.0214285714285714</v>
      </c>
      <c r="AC23" s="11">
        <v>65.069999999999993</v>
      </c>
      <c r="AD23" s="15">
        <f>IFERROR(AC23/63.5,0)</f>
        <v>1.0247244094488188</v>
      </c>
      <c r="AE23" s="11">
        <v>20</v>
      </c>
      <c r="AF23" s="11">
        <v>26</v>
      </c>
      <c r="AG23" s="7">
        <f t="shared" si="22"/>
        <v>4110.1500000000178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IFERROR(510/F23,0)</f>
        <v>2.4679409629808857E-2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104</v>
      </c>
      <c r="C24" s="7">
        <v>47</v>
      </c>
      <c r="D24" s="7">
        <v>7</v>
      </c>
      <c r="E24" s="7">
        <v>51833</v>
      </c>
      <c r="F24" s="7">
        <v>27847</v>
      </c>
      <c r="G24" s="7">
        <v>152</v>
      </c>
      <c r="H24" s="9">
        <f t="shared" si="12"/>
        <v>5.4583976729988869E-3</v>
      </c>
      <c r="I24" s="9">
        <f>IFERROR((51833-F24)/51833,0)</f>
        <v>0.46275538749445333</v>
      </c>
      <c r="J24" s="7">
        <v>87280</v>
      </c>
      <c r="K24" s="11">
        <f t="shared" si="13"/>
        <v>44.77527715219388</v>
      </c>
      <c r="L24" s="11">
        <f>K24-49.8793</f>
        <v>-5.1040228478061209</v>
      </c>
      <c r="M24" s="11">
        <v>66</v>
      </c>
      <c r="N24" s="11">
        <f t="shared" si="14"/>
        <v>-21.22472284780612</v>
      </c>
      <c r="O24" s="11">
        <f>IFERROR(22305728/51833,0)</f>
        <v>430.33835587367122</v>
      </c>
      <c r="P24" s="11">
        <v>0</v>
      </c>
      <c r="Q24" s="11">
        <f t="shared" si="15"/>
        <v>430.33835587367122</v>
      </c>
      <c r="R24" s="7">
        <v>21694</v>
      </c>
      <c r="S24" s="11">
        <f t="shared" si="16"/>
        <v>111.29180368236641</v>
      </c>
      <c r="T24" s="13">
        <f t="shared" si="17"/>
        <v>4.0232322301097074</v>
      </c>
      <c r="U24" s="7">
        <v>40175</v>
      </c>
      <c r="V24" s="11">
        <f t="shared" si="18"/>
        <v>206.10068281271643</v>
      </c>
      <c r="W24" s="11">
        <f t="shared" si="19"/>
        <v>1.8518945330506129</v>
      </c>
      <c r="X24" s="11">
        <v>286.02999999999997</v>
      </c>
      <c r="Y24" s="11">
        <f t="shared" si="20"/>
        <v>248.55637030247476</v>
      </c>
      <c r="Z24" s="11">
        <f t="shared" si="21"/>
        <v>71.094578597616859</v>
      </c>
      <c r="AA24" s="7">
        <v>0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18</v>
      </c>
      <c r="AF24" s="11">
        <v>26</v>
      </c>
      <c r="AG24" s="7">
        <f t="shared" si="22"/>
        <v>-41373.139999999992</v>
      </c>
      <c r="AH24" s="7">
        <v>35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IFERROR(1400/F24,0)</f>
        <v>5.0274715409200275E-2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112</v>
      </c>
      <c r="C25" s="7">
        <v>46</v>
      </c>
      <c r="D25" s="7">
        <v>7</v>
      </c>
      <c r="E25" s="7">
        <v>21623</v>
      </c>
      <c r="F25" s="7">
        <v>17231</v>
      </c>
      <c r="G25" s="7">
        <v>73</v>
      </c>
      <c r="H25" s="9">
        <f t="shared" si="12"/>
        <v>4.2365504033428127E-3</v>
      </c>
      <c r="I25" s="9">
        <f>IFERROR((21623-F25)/21623,0)</f>
        <v>0.20311705128798038</v>
      </c>
      <c r="J25" s="7">
        <v>70020</v>
      </c>
      <c r="K25" s="11">
        <f t="shared" si="13"/>
        <v>58.051518442673924</v>
      </c>
      <c r="L25" s="11">
        <f>K25-59.7385</f>
        <v>-1.686981557326078</v>
      </c>
      <c r="M25" s="11">
        <v>65</v>
      </c>
      <c r="N25" s="11">
        <f t="shared" si="14"/>
        <v>-6.9484815573260761</v>
      </c>
      <c r="O25" s="11">
        <f>IFERROR(9651935/21623,0)</f>
        <v>446.37353743698839</v>
      </c>
      <c r="P25" s="11">
        <v>0</v>
      </c>
      <c r="Q25" s="11">
        <f t="shared" si="15"/>
        <v>446.37353743698839</v>
      </c>
      <c r="R25" s="7">
        <v>15670</v>
      </c>
      <c r="S25" s="11">
        <f t="shared" si="16"/>
        <v>129.91535189898605</v>
      </c>
      <c r="T25" s="13">
        <f t="shared" si="17"/>
        <v>4.4684109763880029</v>
      </c>
      <c r="U25" s="7">
        <v>20132</v>
      </c>
      <c r="V25" s="11">
        <f t="shared" si="18"/>
        <v>166.90847890430038</v>
      </c>
      <c r="W25" s="11">
        <f t="shared" si="19"/>
        <v>1.2847479259731971</v>
      </c>
      <c r="X25" s="11">
        <v>278.70142857140002</v>
      </c>
      <c r="Y25" s="11">
        <f t="shared" si="20"/>
        <v>223.79320194230218</v>
      </c>
      <c r="Z25" s="11">
        <f t="shared" si="21"/>
        <v>62.371485085887429</v>
      </c>
      <c r="AA25" s="7">
        <v>2130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18</v>
      </c>
      <c r="AF25" s="11">
        <v>26</v>
      </c>
      <c r="AG25" s="7">
        <f t="shared" si="22"/>
        <v>-8381.0499999999938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IFERROR(400/F25,0)</f>
        <v>2.3213974812837327E-2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68</v>
      </c>
      <c r="B26" s="5">
        <v>45</v>
      </c>
      <c r="C26" s="7"/>
      <c r="D26" s="7">
        <v>7</v>
      </c>
      <c r="E26" s="7">
        <v>21339</v>
      </c>
      <c r="F26" s="7">
        <v>20520</v>
      </c>
      <c r="G26" s="7">
        <v>44</v>
      </c>
      <c r="H26" s="9">
        <f t="shared" si="12"/>
        <v>2.1442495126705653E-3</v>
      </c>
      <c r="I26" s="9">
        <f>IFERROR((21339-F26)/21339,0)</f>
        <v>3.8380430198228593E-2</v>
      </c>
      <c r="J26" s="7">
        <v>128700</v>
      </c>
      <c r="K26" s="11">
        <f t="shared" si="13"/>
        <v>89.598997493734331</v>
      </c>
      <c r="L26" s="11">
        <f>K26-88.1568</f>
        <v>1.4421974937343265</v>
      </c>
      <c r="M26" s="11">
        <v>90</v>
      </c>
      <c r="N26" s="11">
        <f t="shared" si="14"/>
        <v>-0.40100250626566947</v>
      </c>
      <c r="O26" s="11">
        <f>IFERROR(3387110/21339,0)</f>
        <v>158.72861896058859</v>
      </c>
      <c r="P26" s="11">
        <v>168</v>
      </c>
      <c r="Q26" s="11">
        <f t="shared" si="15"/>
        <v>-9.2713810394114091</v>
      </c>
      <c r="R26" s="7">
        <v>18430</v>
      </c>
      <c r="S26" s="11">
        <f t="shared" si="16"/>
        <v>128.30687830687827</v>
      </c>
      <c r="T26" s="13">
        <f t="shared" si="17"/>
        <v>6.9831795984807377</v>
      </c>
      <c r="U26" s="7">
        <v>35366</v>
      </c>
      <c r="V26" s="11">
        <f t="shared" si="18"/>
        <v>246.21275410749098</v>
      </c>
      <c r="W26" s="11">
        <f t="shared" si="19"/>
        <v>1.9189365165491055</v>
      </c>
      <c r="X26" s="11">
        <v>283.21142857140001</v>
      </c>
      <c r="Y26" s="11">
        <f t="shared" si="20"/>
        <v>143.20124320124319</v>
      </c>
      <c r="Z26" s="11">
        <f t="shared" si="21"/>
        <v>40.556228660224569</v>
      </c>
      <c r="AA26" s="7">
        <v>1958</v>
      </c>
      <c r="AB26" s="15">
        <f>IFERROR(AA26/1950,0)</f>
        <v>1.004102564102564</v>
      </c>
      <c r="AC26" s="11">
        <v>64.36</v>
      </c>
      <c r="AD26" s="15">
        <f>IFERROR(AC26/62.9,0)</f>
        <v>1.0232114467408586</v>
      </c>
      <c r="AE26" s="11">
        <v>20</v>
      </c>
      <c r="AF26" s="11">
        <v>26</v>
      </c>
      <c r="AG26" s="7">
        <f t="shared" si="22"/>
        <v>-576.00000000000762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IFERROR(490/F26,0)</f>
        <v>2.387914230019493E-2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69</v>
      </c>
      <c r="B27" s="5">
        <v>32</v>
      </c>
      <c r="C27" s="7"/>
      <c r="D27" s="7">
        <v>7</v>
      </c>
      <c r="E27" s="7">
        <v>64976</v>
      </c>
      <c r="F27" s="7">
        <v>63350</v>
      </c>
      <c r="G27" s="7">
        <v>104</v>
      </c>
      <c r="H27" s="9">
        <f t="shared" si="12"/>
        <v>1.6416732438831886E-3</v>
      </c>
      <c r="I27" s="9">
        <f>IFERROR((64976-F27)/64976,0)</f>
        <v>2.502462447672987E-2</v>
      </c>
      <c r="J27" s="7">
        <v>418160</v>
      </c>
      <c r="K27" s="11">
        <f t="shared" si="13"/>
        <v>94.296989514037648</v>
      </c>
      <c r="L27" s="11">
        <f>K27-95.84</f>
        <v>-1.5430104859623555</v>
      </c>
      <c r="M27" s="11">
        <v>95.5</v>
      </c>
      <c r="N27" s="11">
        <f t="shared" si="14"/>
        <v>-1.203010485962352</v>
      </c>
      <c r="O27" s="11">
        <f>IFERROR(5261860/64976,0)</f>
        <v>80.981593203644422</v>
      </c>
      <c r="P27" s="11">
        <v>80</v>
      </c>
      <c r="Q27" s="11">
        <f t="shared" si="15"/>
        <v>0.98159320364442237</v>
      </c>
      <c r="R27" s="7">
        <v>52570</v>
      </c>
      <c r="S27" s="11">
        <f t="shared" si="16"/>
        <v>118.54775059194948</v>
      </c>
      <c r="T27" s="13">
        <f t="shared" si="17"/>
        <v>7.954346585505041</v>
      </c>
      <c r="U27" s="7">
        <v>97640</v>
      </c>
      <c r="V27" s="11">
        <f t="shared" si="18"/>
        <v>220.18265869883865</v>
      </c>
      <c r="W27" s="11">
        <f t="shared" si="19"/>
        <v>1.857333079703253</v>
      </c>
      <c r="X27" s="11">
        <v>295.83857142860001</v>
      </c>
      <c r="Y27" s="11">
        <f t="shared" si="20"/>
        <v>125.7174287354123</v>
      </c>
      <c r="Z27" s="11">
        <f t="shared" si="21"/>
        <v>37.192064520761207</v>
      </c>
      <c r="AA27" s="7">
        <v>1570</v>
      </c>
      <c r="AB27" s="15">
        <f>IFERROR(AA27/1540,0)</f>
        <v>1.0194805194805194</v>
      </c>
      <c r="AC27" s="11">
        <v>0</v>
      </c>
      <c r="AD27" s="15">
        <f>IFERROR(AC27/58.5,0)</f>
        <v>0</v>
      </c>
      <c r="AE27" s="11">
        <v>20</v>
      </c>
      <c r="AF27" s="11">
        <v>26</v>
      </c>
      <c r="AG27" s="7">
        <f t="shared" si="22"/>
        <v>-5334.7500000000491</v>
      </c>
      <c r="AH27" s="7">
        <v>17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103</v>
      </c>
      <c r="C28" s="7">
        <v>31</v>
      </c>
      <c r="D28" s="7">
        <v>7</v>
      </c>
      <c r="E28" s="7">
        <v>47224</v>
      </c>
      <c r="F28" s="7">
        <v>40888</v>
      </c>
      <c r="G28" s="7">
        <v>222</v>
      </c>
      <c r="H28" s="9">
        <f t="shared" si="12"/>
        <v>5.4294658579534336E-3</v>
      </c>
      <c r="I28" s="9">
        <f>IFERROR((47224-F28)/47224,0)</f>
        <v>0.13416906657631714</v>
      </c>
      <c r="J28" s="7">
        <v>160800</v>
      </c>
      <c r="K28" s="11">
        <f t="shared" si="13"/>
        <v>56.181345557201553</v>
      </c>
      <c r="L28" s="11">
        <f>K28-57.8379</f>
        <v>-1.6565544427984449</v>
      </c>
      <c r="M28" s="11">
        <v>72</v>
      </c>
      <c r="N28" s="11">
        <f t="shared" si="14"/>
        <v>-15.818654442798447</v>
      </c>
      <c r="O28" s="11">
        <f>IFERROR(18277100/47224,0)</f>
        <v>387.0299000508216</v>
      </c>
      <c r="P28" s="11">
        <v>0</v>
      </c>
      <c r="Q28" s="11">
        <f t="shared" si="15"/>
        <v>387.0299000508216</v>
      </c>
      <c r="R28" s="7">
        <v>35160</v>
      </c>
      <c r="S28" s="11">
        <f t="shared" si="16"/>
        <v>122.84428543477655</v>
      </c>
      <c r="T28" s="13">
        <f t="shared" si="17"/>
        <v>4.5733788395904433</v>
      </c>
      <c r="U28" s="7">
        <v>56000</v>
      </c>
      <c r="V28" s="11">
        <f t="shared" si="18"/>
        <v>195.65642731363724</v>
      </c>
      <c r="W28" s="11">
        <f t="shared" si="19"/>
        <v>1.5927189988623431</v>
      </c>
      <c r="X28" s="11">
        <v>285.34285714290002</v>
      </c>
      <c r="Y28" s="11">
        <f t="shared" si="20"/>
        <v>218.65671641791047</v>
      </c>
      <c r="Z28" s="11">
        <f t="shared" si="21"/>
        <v>62.392132196171424</v>
      </c>
      <c r="AA28" s="7">
        <v>1568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15</v>
      </c>
      <c r="AF28" s="11">
        <v>26</v>
      </c>
      <c r="AG28" s="7">
        <f t="shared" si="22"/>
        <v>-45275.520000000004</v>
      </c>
      <c r="AH28" s="7">
        <v>42</v>
      </c>
      <c r="AI28" s="7">
        <v>20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23</v>
      </c>
      <c r="C29" s="7"/>
      <c r="D29" s="7">
        <v>7</v>
      </c>
      <c r="E29" s="7">
        <v>24546</v>
      </c>
      <c r="F29" s="7">
        <v>24355</v>
      </c>
      <c r="G29" s="7">
        <v>79</v>
      </c>
      <c r="H29" s="9">
        <f t="shared" si="12"/>
        <v>3.2436871278998152E-3</v>
      </c>
      <c r="I29" s="9">
        <f>IFERROR((24546-F29)/24546,0)</f>
        <v>7.7813085635134033E-3</v>
      </c>
      <c r="J29" s="7">
        <v>146280</v>
      </c>
      <c r="K29" s="11">
        <f t="shared" si="13"/>
        <v>85.802269994427675</v>
      </c>
      <c r="L29" s="11">
        <f>K29-79.6314</f>
        <v>6.1708699944276759</v>
      </c>
      <c r="M29" s="11">
        <v>90</v>
      </c>
      <c r="N29" s="11">
        <f t="shared" si="14"/>
        <v>-4.1977300055723248</v>
      </c>
      <c r="O29" s="11">
        <f>IFERROR(478700/24546,0)</f>
        <v>19.502159211276787</v>
      </c>
      <c r="P29" s="11">
        <v>21</v>
      </c>
      <c r="Q29" s="11">
        <f t="shared" si="15"/>
        <v>-1.497840788723213</v>
      </c>
      <c r="R29" s="7">
        <v>19480</v>
      </c>
      <c r="S29" s="11">
        <f t="shared" si="16"/>
        <v>114.26225181100976</v>
      </c>
      <c r="T29" s="13">
        <f t="shared" si="17"/>
        <v>7.5092402464065708</v>
      </c>
      <c r="U29" s="7">
        <v>29900</v>
      </c>
      <c r="V29" s="11">
        <f t="shared" si="18"/>
        <v>175.38199841628295</v>
      </c>
      <c r="W29" s="11">
        <f t="shared" si="19"/>
        <v>1.5349075975359343</v>
      </c>
      <c r="X29" s="11">
        <v>300.72714285709998</v>
      </c>
      <c r="Y29" s="11">
        <f t="shared" si="20"/>
        <v>133.16926442439157</v>
      </c>
      <c r="Z29" s="11">
        <f t="shared" si="21"/>
        <v>40.047612406728931</v>
      </c>
      <c r="AA29" s="7">
        <v>1350</v>
      </c>
      <c r="AB29" s="15">
        <f>IFERROR(AA29/1465,0)</f>
        <v>0.92150170648464169</v>
      </c>
      <c r="AC29" s="11">
        <v>0</v>
      </c>
      <c r="AD29" s="15">
        <f>IFERROR(AC29/51.3,0)</f>
        <v>0</v>
      </c>
      <c r="AE29" s="11">
        <v>14</v>
      </c>
      <c r="AF29" s="11">
        <v>26</v>
      </c>
      <c r="AG29" s="7">
        <f t="shared" si="22"/>
        <v>-7156.4999999999773</v>
      </c>
      <c r="AH29" s="7">
        <v>36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IFERROR(0/F29,0)</f>
        <v>0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23</v>
      </c>
      <c r="C30" s="7"/>
      <c r="D30" s="7">
        <v>7</v>
      </c>
      <c r="E30" s="7">
        <v>12056</v>
      </c>
      <c r="F30" s="7">
        <v>11935</v>
      </c>
      <c r="G30" s="7">
        <v>28</v>
      </c>
      <c r="H30" s="9">
        <f t="shared" si="12"/>
        <v>2.3460410557184751E-3</v>
      </c>
      <c r="I30" s="9">
        <f>IFERROR((12056-F30)/12056,0)</f>
        <v>1.0036496350364963E-2</v>
      </c>
      <c r="J30" s="7">
        <v>75060</v>
      </c>
      <c r="K30" s="11">
        <f t="shared" si="13"/>
        <v>89.843796756239158</v>
      </c>
      <c r="L30" s="11">
        <f>K30-86.8869</f>
        <v>2.9568967562391606</v>
      </c>
      <c r="M30" s="11">
        <v>93</v>
      </c>
      <c r="N30" s="11">
        <f t="shared" si="14"/>
        <v>-3.1562032437608423</v>
      </c>
      <c r="O30" s="11">
        <f>IFERROR(324290/12056,0)</f>
        <v>26.898639681486397</v>
      </c>
      <c r="P30" s="11">
        <v>25</v>
      </c>
      <c r="Q30" s="11">
        <f t="shared" si="15"/>
        <v>1.8986396814863973</v>
      </c>
      <c r="R30" s="7">
        <v>10150</v>
      </c>
      <c r="S30" s="11">
        <f t="shared" si="16"/>
        <v>121.49141181399247</v>
      </c>
      <c r="T30" s="13">
        <f t="shared" si="17"/>
        <v>7.395073891625616</v>
      </c>
      <c r="U30" s="7">
        <v>14700</v>
      </c>
      <c r="V30" s="11">
        <f t="shared" si="18"/>
        <v>175.95307917888564</v>
      </c>
      <c r="W30" s="11">
        <f t="shared" si="19"/>
        <v>1.4482758620689655</v>
      </c>
      <c r="X30" s="11">
        <v>292.0171428571</v>
      </c>
      <c r="Y30" s="11">
        <f t="shared" si="20"/>
        <v>135.22515321076474</v>
      </c>
      <c r="Z30" s="11">
        <f t="shared" si="21"/>
        <v>39.488062883021122</v>
      </c>
      <c r="AA30" s="7">
        <v>1648</v>
      </c>
      <c r="AB30" s="15">
        <f>IFERROR(AA30/1800,0)</f>
        <v>0.91555555555555557</v>
      </c>
      <c r="AC30" s="11">
        <v>0</v>
      </c>
      <c r="AD30" s="15">
        <f>IFERROR(AC30/55.5,0)</f>
        <v>0</v>
      </c>
      <c r="AE30" s="11">
        <v>14</v>
      </c>
      <c r="AF30" s="11">
        <v>26</v>
      </c>
      <c r="AG30" s="7">
        <f t="shared" si="22"/>
        <v>-2636.8499999999963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IFERROR(0/F30,0)</f>
        <v>0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628556</v>
      </c>
      <c r="F31" s="17">
        <f>SUM(F14:F30)</f>
        <v>555747</v>
      </c>
      <c r="G31" s="17">
        <f>SUM(G14:G30)</f>
        <v>2488</v>
      </c>
      <c r="H31" s="18">
        <f t="shared" si="12"/>
        <v>4.4768572749830406E-3</v>
      </c>
      <c r="I31" s="18"/>
      <c r="J31" s="17">
        <f>SUM(J14:J30)</f>
        <v>2906050</v>
      </c>
      <c r="K31" s="19">
        <f t="shared" si="13"/>
        <v>74.701257946511632</v>
      </c>
      <c r="L31" s="19"/>
      <c r="M31" s="19">
        <f>IFERROR(SUMPRODUCT($F14:$F30,M14:M30)/$F31, 0)</f>
        <v>78.962127910721975</v>
      </c>
      <c r="N31" s="19">
        <f t="shared" si="14"/>
        <v>-4.2608699642103431</v>
      </c>
      <c r="O31" s="19">
        <f>IFERROR(SUMPRODUCT($E14:$E30,O14:O30)/$E31, 0)</f>
        <v>231.39912116024666</v>
      </c>
      <c r="P31" s="19">
        <f>IFERROR(SUMPRODUCT($E14:$E30,P14:P30)/$E31, 0)</f>
        <v>120.35046837513285</v>
      </c>
      <c r="Q31" s="19">
        <f>IFERROR(SUMPRODUCT($E14:$E30,Q14:Q30)/$E31, 0)</f>
        <v>111.04865278511382</v>
      </c>
      <c r="R31" s="17">
        <f>SUM(R14:R30)</f>
        <v>447487</v>
      </c>
      <c r="S31" s="19">
        <f>IFERROR(R31/D31/$F31*1000,0)</f>
        <v>115.02844691148</v>
      </c>
      <c r="T31" s="20">
        <f t="shared" si="17"/>
        <v>6.4941551374676809</v>
      </c>
      <c r="U31" s="17">
        <f>SUM(U14:U30)</f>
        <v>730748</v>
      </c>
      <c r="V31" s="19">
        <f>IFERROR(U31/D31/$F31*1000,0)</f>
        <v>187.84189825329051</v>
      </c>
      <c r="W31" s="19">
        <f t="shared" si="19"/>
        <v>1.6330038637993958</v>
      </c>
      <c r="X31" s="19">
        <f>IFERROR(SUMPRODUCT(R14:R30,X14:X30)/R31,0)</f>
        <v>298.68362852361849</v>
      </c>
      <c r="Y31" s="19">
        <f>IFERROR(($F31*S31)/($F31*K31)*100,0)</f>
        <v>153.98461829631285</v>
      </c>
      <c r="Z31" s="19">
        <f t="shared" si="21"/>
        <v>45.992684529567093</v>
      </c>
      <c r="AA31" s="17"/>
      <c r="AB31" s="21">
        <f>IFERROR(SUMPRODUCT($F14:$F30,AB14:AB30)/$F31,0)</f>
        <v>0.84059164038802114</v>
      </c>
      <c r="AC31" s="19"/>
      <c r="AD31" s="21">
        <f>AVERAGE(AD14:AD30)</f>
        <v>0.29266257611914998</v>
      </c>
      <c r="AE31" s="19"/>
      <c r="AF31" s="19"/>
      <c r="AG31" s="17">
        <f>SUM(AG14:AG30)</f>
        <v>-165757.59900000005</v>
      </c>
      <c r="AH31" s="17">
        <f>SUM(AH14:AH30)</f>
        <v>296</v>
      </c>
      <c r="AI31" s="17">
        <f>IFERROR(SUMPRODUCT(AH14:AH30,AI14:AI30)/AH31, 0)</f>
        <v>18.378378378382433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7.0000000000000009</v>
      </c>
      <c r="E33" s="23">
        <f>E12+E31</f>
        <v>674761</v>
      </c>
      <c r="F33" s="23">
        <f>F12+F31</f>
        <v>593030</v>
      </c>
      <c r="G33" s="23">
        <f>G12+G31</f>
        <v>2631</v>
      </c>
      <c r="H33" s="24">
        <f>IFERROR(G33/F33,0)</f>
        <v>4.4365377805507308E-3</v>
      </c>
      <c r="I33" s="23"/>
      <c r="J33" s="23">
        <f>J12+J31</f>
        <v>3103420</v>
      </c>
      <c r="K33" s="25">
        <f>IFERROR(J33/D33/F33*100,0)</f>
        <v>74.75940749805477</v>
      </c>
      <c r="L33" s="23"/>
      <c r="M33" s="25">
        <f>IFERROR($F$12/$F33*M$12,0)+IFERROR($F$31/$F33*M$31,0)</f>
        <v>78.991367553074895</v>
      </c>
      <c r="N33" s="25">
        <f>K33-M33</f>
        <v>-4.2319600550201244</v>
      </c>
      <c r="O33" s="23">
        <f>IFERROR($E$12/$E33*O$12,0)+IFERROR($E$31/$E33*O$31,0)</f>
        <v>237.65810709273359</v>
      </c>
      <c r="P33" s="23">
        <f>IFERROR($E$12/$E33*P$12,0)+IFERROR($E$31/$E33*P$31,0)</f>
        <v>115.32105293578023</v>
      </c>
      <c r="Q33" s="23">
        <f>IFERROR($E$12/$E33*Q$12,0)+IFERROR($E$31/$E33*Q$31,0)</f>
        <v>122.33705415695336</v>
      </c>
      <c r="R33" s="23">
        <f>R12+R31</f>
        <v>481566</v>
      </c>
      <c r="S33" s="25">
        <f>IFERROR(R33/D33/$F33*1000,0)</f>
        <v>116.00617651239035</v>
      </c>
      <c r="T33" s="26">
        <f>IFERROR(J33/R33,0)</f>
        <v>6.4444333694654521</v>
      </c>
      <c r="U33" s="23">
        <f>U12+U31</f>
        <v>745868</v>
      </c>
      <c r="V33" s="25">
        <f>IFERROR(U33/D33/$F33*1000,0)</f>
        <v>179.67484179311575</v>
      </c>
      <c r="W33" s="25">
        <f>IFERROR(V33/S33,0)</f>
        <v>1.5488385807968172</v>
      </c>
      <c r="X33" s="25">
        <f>IFERROR($F$12/$F33*X$12,0)+IFERROR($F$31/$F33*X$31,0)</f>
        <v>303.0289234301697</v>
      </c>
      <c r="Y33" s="25">
        <f>IFERROR(($F33*S33)/($F33*K33)*100,0)</f>
        <v>155.17268046219979</v>
      </c>
      <c r="Z33" s="25">
        <f>IFERROR(Y33*X33/1000,0)</f>
        <v>47.02181030623413</v>
      </c>
      <c r="AA33" s="23"/>
      <c r="AB33" s="27"/>
      <c r="AC33" s="23"/>
      <c r="AD33" s="27"/>
      <c r="AE33" s="23"/>
      <c r="AF33" s="23"/>
      <c r="AG33" s="23">
        <f>AG12+AG31</f>
        <v>-175677.54900000006</v>
      </c>
      <c r="AH33" s="23">
        <f>AH12+AH31</f>
        <v>296</v>
      </c>
      <c r="AI33" s="23">
        <f>IFERROR(AH$12/AH33*AI$12,0)+IFERROR(AH$31/AH33*AI$31,0)</f>
        <v>18.378378378382433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69</v>
      </c>
      <c r="T36" s="32" t="s">
        <v>61</v>
      </c>
      <c r="U36" s="32" t="s">
        <v>70</v>
      </c>
      <c r="V36" s="32" t="s">
        <v>71</v>
      </c>
      <c r="W36" s="32" t="s">
        <v>72</v>
      </c>
      <c r="X36" s="32" t="s">
        <v>62</v>
      </c>
      <c r="Y36" s="32" t="s">
        <v>66</v>
      </c>
      <c r="Z36" s="32" t="s">
        <v>67</v>
      </c>
      <c r="AA36" s="32" t="s">
        <v>81</v>
      </c>
      <c r="AB36" s="32" t="s">
        <v>63</v>
      </c>
      <c r="AC36" s="32" t="s">
        <v>68</v>
      </c>
      <c r="AD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/>
      <c r="T37" s="8">
        <v>2.5000000000000001E-3</v>
      </c>
      <c r="U37" s="8">
        <v>5.3E-3</v>
      </c>
      <c r="V37" s="8">
        <v>6.3E-3</v>
      </c>
      <c r="W37" s="8">
        <v>2.7000000000000001E-3</v>
      </c>
      <c r="X37" s="8">
        <v>1.5E-3</v>
      </c>
      <c r="Y37" s="8">
        <v>1.4E-3</v>
      </c>
      <c r="Z37" s="8">
        <v>2.8E-3</v>
      </c>
      <c r="AA37" s="8">
        <v>1.6999999999999999E-3</v>
      </c>
      <c r="AB37" s="8"/>
      <c r="AC37" s="8"/>
      <c r="AD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/>
      <c r="T38" s="9">
        <v>2.5000000000000001E-3</v>
      </c>
      <c r="U38" s="9">
        <v>5.7999999999999996E-3</v>
      </c>
      <c r="V38" s="9">
        <v>3.5999999999999999E-3</v>
      </c>
      <c r="W38" s="9">
        <v>2.3E-3</v>
      </c>
      <c r="X38" s="9">
        <v>1.5E-3</v>
      </c>
      <c r="Y38" s="9">
        <v>1E-3</v>
      </c>
      <c r="Z38" s="9">
        <v>3.0000000000000001E-3</v>
      </c>
      <c r="AA38" s="9">
        <v>1.8E-3</v>
      </c>
      <c r="AB38" s="9"/>
      <c r="AC38" s="9"/>
      <c r="AD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/>
      <c r="T39" s="9">
        <v>2.5000000000000001E-3</v>
      </c>
      <c r="U39" s="9">
        <v>5.4999999999999997E-3</v>
      </c>
      <c r="V39" s="9">
        <v>3.5000000000000001E-3</v>
      </c>
      <c r="W39" s="9">
        <v>2.5000000000000001E-3</v>
      </c>
      <c r="X39" s="9">
        <v>1.6999999999999999E-3</v>
      </c>
      <c r="Y39" s="9">
        <v>6.9999999999999999E-4</v>
      </c>
      <c r="Z39" s="9">
        <v>2.8E-3</v>
      </c>
      <c r="AA39" s="9">
        <v>1.4E-3</v>
      </c>
      <c r="AB39" s="9"/>
      <c r="AC39" s="9"/>
      <c r="AD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/>
      <c r="T40" s="9">
        <v>2.5999999999999999E-3</v>
      </c>
      <c r="U40" s="9">
        <v>3.2000000000000002E-3</v>
      </c>
      <c r="V40" s="9">
        <v>3.7000000000000002E-3</v>
      </c>
      <c r="W40" s="9">
        <v>2.5000000000000001E-3</v>
      </c>
      <c r="X40" s="9">
        <v>1.6000000000000001E-3</v>
      </c>
      <c r="Y40" s="9">
        <v>8.9999999999999998E-4</v>
      </c>
      <c r="Z40" s="9">
        <v>3.5000000000000001E-3</v>
      </c>
      <c r="AA40" s="9">
        <v>1.6000000000000001E-3</v>
      </c>
      <c r="AB40" s="9"/>
      <c r="AC40" s="9"/>
      <c r="AD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/>
      <c r="T41" s="9">
        <v>2.3E-3</v>
      </c>
      <c r="U41" s="9">
        <v>2.2000000000000001E-3</v>
      </c>
      <c r="V41" s="9">
        <v>4.4000000000000003E-3</v>
      </c>
      <c r="W41" s="9">
        <v>2.3E-3</v>
      </c>
      <c r="X41" s="9">
        <v>1.6000000000000001E-3</v>
      </c>
      <c r="Y41" s="9">
        <v>8.9999999999999998E-4</v>
      </c>
      <c r="Z41" s="9">
        <v>3.0999999999999999E-3</v>
      </c>
      <c r="AA41" s="9">
        <v>1.5E-3</v>
      </c>
      <c r="AB41" s="9"/>
      <c r="AC41" s="9"/>
      <c r="AD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/>
      <c r="T42" s="9">
        <v>1.6999999999999999E-3</v>
      </c>
      <c r="U42" s="9">
        <v>3.0000000000000001E-3</v>
      </c>
      <c r="V42" s="9">
        <v>3.5999999999999999E-3</v>
      </c>
      <c r="W42" s="9">
        <v>1.8E-3</v>
      </c>
      <c r="X42" s="9">
        <v>8.9999999999999998E-4</v>
      </c>
      <c r="Y42" s="9">
        <v>5.9999999999999995E-4</v>
      </c>
      <c r="Z42" s="9">
        <v>1.6999999999999999E-3</v>
      </c>
      <c r="AA42" s="9">
        <v>1E-3</v>
      </c>
      <c r="AB42" s="9">
        <v>0</v>
      </c>
      <c r="AC42" s="9">
        <v>0</v>
      </c>
      <c r="AD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/>
      <c r="T43" s="9">
        <v>1.9E-3</v>
      </c>
      <c r="U43" s="9">
        <v>4.3E-3</v>
      </c>
      <c r="V43" s="9">
        <v>4.1999999999999997E-3</v>
      </c>
      <c r="W43" s="9">
        <v>4.4000000000000003E-3</v>
      </c>
      <c r="X43" s="9">
        <v>1.1000000000000001E-3</v>
      </c>
      <c r="Y43" s="9">
        <v>5.0000000000000001E-4</v>
      </c>
      <c r="Z43" s="9">
        <v>2.0999999999999999E-3</v>
      </c>
      <c r="AA43" s="9">
        <v>1.1999999999999999E-3</v>
      </c>
      <c r="AB43" s="9">
        <v>8.9999999999999998E-4</v>
      </c>
      <c r="AC43" s="9">
        <v>8.0000000000000004E-4</v>
      </c>
      <c r="AD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/>
      <c r="T44" s="9">
        <v>1.9E-3</v>
      </c>
      <c r="U44" s="9">
        <v>3.0999999999999999E-3</v>
      </c>
      <c r="V44" s="9">
        <v>3.2000000000000002E-3</v>
      </c>
      <c r="W44" s="9">
        <v>2.3E-3</v>
      </c>
      <c r="X44" s="9">
        <v>1.1000000000000001E-3</v>
      </c>
      <c r="Y44" s="9">
        <v>5.0000000000000001E-4</v>
      </c>
      <c r="Z44" s="9">
        <v>2.8E-3</v>
      </c>
      <c r="AA44" s="9">
        <v>1.2999999999999999E-3</v>
      </c>
      <c r="AB44" s="9">
        <v>1.1999999999999999E-3</v>
      </c>
      <c r="AC44" s="9">
        <v>6.9999999999999999E-4</v>
      </c>
      <c r="AD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/>
      <c r="T45" s="9">
        <v>2.5000000000000001E-3</v>
      </c>
      <c r="U45" s="9">
        <v>3.0999999999999999E-3</v>
      </c>
      <c r="V45" s="9">
        <v>4.5999999999999999E-3</v>
      </c>
      <c r="W45" s="9">
        <v>2.8E-3</v>
      </c>
      <c r="X45" s="9">
        <v>1.6999999999999999E-3</v>
      </c>
      <c r="Y45" s="9">
        <v>1E-3</v>
      </c>
      <c r="Z45" s="9">
        <v>3.5999999999999999E-3</v>
      </c>
      <c r="AA45" s="9">
        <v>1.6000000000000001E-3</v>
      </c>
      <c r="AB45" s="9">
        <v>2.3E-3</v>
      </c>
      <c r="AC45" s="9">
        <v>1.1999999999999999E-3</v>
      </c>
      <c r="AD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/>
      <c r="T46" s="9">
        <v>2.5000000000000001E-3</v>
      </c>
      <c r="U46" s="9">
        <v>2.5999999999999999E-3</v>
      </c>
      <c r="V46" s="9">
        <v>3.3999999999999998E-3</v>
      </c>
      <c r="W46" s="9">
        <v>2.5000000000000001E-3</v>
      </c>
      <c r="X46" s="9">
        <v>2E-3</v>
      </c>
      <c r="Y46" s="9">
        <v>1E-3</v>
      </c>
      <c r="Z46" s="9">
        <v>3.5000000000000001E-3</v>
      </c>
      <c r="AA46" s="9">
        <v>1.6999999999999999E-3</v>
      </c>
      <c r="AB46" s="9">
        <v>1.6999999999999999E-3</v>
      </c>
      <c r="AC46" s="9">
        <v>1.6000000000000001E-3</v>
      </c>
      <c r="AD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/>
      <c r="T47" s="9">
        <v>3.0000000000000001E-3</v>
      </c>
      <c r="U47" s="9">
        <v>2.3E-3</v>
      </c>
      <c r="V47" s="9">
        <v>3.0999999999999999E-3</v>
      </c>
      <c r="W47" s="9">
        <v>2.8E-3</v>
      </c>
      <c r="X47" s="9">
        <v>1.9E-3</v>
      </c>
      <c r="Y47" s="9">
        <v>8.9999999999999998E-4</v>
      </c>
      <c r="Z47" s="9">
        <v>3.5000000000000001E-3</v>
      </c>
      <c r="AA47" s="9">
        <v>1.5E-3</v>
      </c>
      <c r="AB47" s="9">
        <v>1.1000000000000001E-3</v>
      </c>
      <c r="AC47" s="9">
        <v>1.1999999999999999E-3</v>
      </c>
      <c r="AD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/>
      <c r="T48" s="9">
        <v>3.3999999999999998E-3</v>
      </c>
      <c r="U48" s="9">
        <v>2.5000000000000001E-3</v>
      </c>
      <c r="V48" s="9">
        <v>3.0999999999999999E-3</v>
      </c>
      <c r="W48" s="9">
        <v>3.2000000000000002E-3</v>
      </c>
      <c r="X48" s="9">
        <v>1.5E-3</v>
      </c>
      <c r="Y48" s="9">
        <v>8.0000000000000004E-4</v>
      </c>
      <c r="Z48" s="9">
        <v>3.8999999999999998E-3</v>
      </c>
      <c r="AA48" s="9">
        <v>3.5999999999999999E-3</v>
      </c>
      <c r="AB48" s="9">
        <v>1.1000000000000001E-3</v>
      </c>
      <c r="AC48" s="9">
        <v>1E-3</v>
      </c>
      <c r="AD48" s="9">
        <v>8.9999999999999998E-4</v>
      </c>
    </row>
    <row r="49" spans="2:30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>
        <v>5.3E-3</v>
      </c>
      <c r="P49" s="9">
        <v>2.5000000000000001E-3</v>
      </c>
      <c r="Q49" s="9">
        <v>3.8E-3</v>
      </c>
      <c r="R49" s="9">
        <v>3.0000000000000001E-3</v>
      </c>
      <c r="S49" s="9"/>
      <c r="T49" s="9">
        <v>3.5999999999999999E-3</v>
      </c>
      <c r="U49" s="9">
        <v>2.5000000000000001E-3</v>
      </c>
      <c r="V49" s="9">
        <v>3.5000000000000001E-3</v>
      </c>
      <c r="W49" s="9">
        <v>3.0999999999999999E-3</v>
      </c>
      <c r="X49" s="9">
        <v>2E-3</v>
      </c>
      <c r="Y49" s="9">
        <v>1.1000000000000001E-3</v>
      </c>
      <c r="Z49" s="9">
        <v>3.7000000000000002E-3</v>
      </c>
      <c r="AA49" s="9">
        <v>1.8E-3</v>
      </c>
      <c r="AB49" s="9">
        <v>1.6999999999999999E-3</v>
      </c>
      <c r="AC49" s="9">
        <v>8.9999999999999998E-4</v>
      </c>
      <c r="AD49" s="9">
        <v>1E-3</v>
      </c>
    </row>
    <row r="50" spans="2:30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>
        <v>3.8999999999999998E-3</v>
      </c>
      <c r="P50" s="9">
        <v>2.5000000000000001E-3</v>
      </c>
      <c r="Q50" s="9">
        <v>-1</v>
      </c>
      <c r="R50" s="9">
        <v>2.8E-3</v>
      </c>
      <c r="S50" s="9"/>
      <c r="T50" s="9">
        <v>3.5999999999999999E-3</v>
      </c>
      <c r="U50" s="9">
        <v>2.0999999999999999E-3</v>
      </c>
      <c r="V50" s="9">
        <v>3.2000000000000002E-3</v>
      </c>
      <c r="W50" s="9">
        <v>3.2000000000000002E-3</v>
      </c>
      <c r="X50" s="9">
        <v>2.3999999999999998E-3</v>
      </c>
      <c r="Y50" s="9">
        <v>1.1999999999999999E-3</v>
      </c>
      <c r="Z50" s="9">
        <v>4.7999999999999996E-3</v>
      </c>
      <c r="AA50" s="9">
        <v>1.6999999999999999E-3</v>
      </c>
      <c r="AB50" s="9">
        <v>1.6999999999999999E-3</v>
      </c>
      <c r="AC50" s="9">
        <v>1.1000000000000001E-3</v>
      </c>
      <c r="AD50" s="9">
        <v>1.1000000000000001E-3</v>
      </c>
    </row>
    <row r="51" spans="2:30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>
        <v>5.3E-3</v>
      </c>
      <c r="P51" s="9">
        <v>2.5000000000000001E-3</v>
      </c>
      <c r="Q51" s="9"/>
      <c r="R51" s="9">
        <v>2.5000000000000001E-3</v>
      </c>
      <c r="S51" s="9"/>
      <c r="T51" s="9">
        <v>3.7000000000000002E-3</v>
      </c>
      <c r="U51" s="9">
        <v>2.5999999999999999E-3</v>
      </c>
      <c r="V51" s="9">
        <v>2.8999999999999998E-3</v>
      </c>
      <c r="W51" s="9">
        <v>3.5999999999999999E-3</v>
      </c>
      <c r="X51" s="9">
        <v>2.5999999999999999E-3</v>
      </c>
      <c r="Y51" s="9">
        <v>8.0000000000000004E-4</v>
      </c>
      <c r="Z51" s="9">
        <v>3.7000000000000002E-3</v>
      </c>
      <c r="AA51" s="9">
        <v>1.9E-3</v>
      </c>
      <c r="AB51" s="9">
        <v>1.4E-3</v>
      </c>
      <c r="AC51" s="9">
        <v>8.9999999999999998E-4</v>
      </c>
      <c r="AD51" s="9">
        <v>1.4E-3</v>
      </c>
    </row>
    <row r="52" spans="2:30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>
        <v>5.0000000000000001E-3</v>
      </c>
      <c r="P52" s="9">
        <v>2.5000000000000001E-3</v>
      </c>
      <c r="Q52" s="9"/>
      <c r="R52" s="9">
        <v>2.8E-3</v>
      </c>
      <c r="S52" s="9"/>
      <c r="T52" s="9">
        <v>4.0000000000000001E-3</v>
      </c>
      <c r="U52" s="9">
        <v>2.3E-3</v>
      </c>
      <c r="V52" s="9">
        <v>3.0999999999999999E-3</v>
      </c>
      <c r="W52" s="9">
        <v>3.5999999999999999E-3</v>
      </c>
      <c r="X52" s="9">
        <v>3.3999999999999998E-3</v>
      </c>
      <c r="Y52" s="9">
        <v>1.1999999999999999E-3</v>
      </c>
      <c r="Z52" s="9">
        <v>4.3E-3</v>
      </c>
      <c r="AA52" s="9">
        <v>2.2000000000000001E-3</v>
      </c>
      <c r="AB52" s="9">
        <v>1.6000000000000001E-3</v>
      </c>
      <c r="AC52" s="9">
        <v>1.2999999999999999E-3</v>
      </c>
      <c r="AD52" s="9">
        <v>1.2999999999999999E-3</v>
      </c>
    </row>
    <row r="53" spans="2:30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>
        <v>8.2000000000000007E-3</v>
      </c>
      <c r="P53" s="9">
        <v>3.0999999999999999E-3</v>
      </c>
      <c r="Q53" s="9"/>
      <c r="R53" s="9">
        <v>2.8E-3</v>
      </c>
      <c r="S53" s="9"/>
      <c r="T53" s="9">
        <v>3.8999999999999998E-3</v>
      </c>
      <c r="U53" s="9">
        <v>2.8999999999999998E-3</v>
      </c>
      <c r="V53" s="9">
        <v>3.5999999999999999E-3</v>
      </c>
      <c r="W53" s="9">
        <v>2.7000000000000001E-3</v>
      </c>
      <c r="X53" s="9">
        <v>3.3E-3</v>
      </c>
      <c r="Y53" s="9">
        <v>8.9999999999999998E-4</v>
      </c>
      <c r="Z53" s="9">
        <v>4.1999999999999997E-3</v>
      </c>
      <c r="AA53" s="9">
        <v>2E-3</v>
      </c>
      <c r="AB53" s="9">
        <v>2.2000000000000001E-3</v>
      </c>
      <c r="AC53" s="9">
        <v>8.9999999999999998E-4</v>
      </c>
      <c r="AD53" s="9">
        <v>1.2999999999999999E-3</v>
      </c>
    </row>
    <row r="54" spans="2:30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>
        <v>4.8999999999999998E-3</v>
      </c>
      <c r="P54" s="9">
        <v>4.1999999999999997E-3</v>
      </c>
      <c r="Q54" s="9"/>
      <c r="R54" s="9">
        <v>3.0000000000000001E-3</v>
      </c>
      <c r="S54" s="9"/>
      <c r="T54" s="9">
        <v>4.1999999999999997E-3</v>
      </c>
      <c r="U54" s="9">
        <v>2.0999999999999999E-3</v>
      </c>
      <c r="V54" s="9">
        <v>3.3E-3</v>
      </c>
      <c r="W54" s="9">
        <v>3.7000000000000002E-3</v>
      </c>
      <c r="X54" s="9">
        <v>4.1999999999999997E-3</v>
      </c>
      <c r="Y54" s="9">
        <v>9.1999999999999998E-3</v>
      </c>
      <c r="Z54" s="9">
        <v>9.4000000000000004E-3</v>
      </c>
      <c r="AA54" s="9">
        <v>1.9E-3</v>
      </c>
      <c r="AB54" s="9">
        <v>1.8E-3</v>
      </c>
      <c r="AC54" s="9">
        <v>1.6000000000000001E-3</v>
      </c>
      <c r="AD54" s="9">
        <v>1.8E-3</v>
      </c>
    </row>
    <row r="55" spans="2:30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>
        <v>5.1999999999999998E-3</v>
      </c>
      <c r="P55" s="9">
        <v>3.2000000000000002E-3</v>
      </c>
      <c r="Q55" s="9"/>
      <c r="R55" s="9">
        <v>2.5999999999999999E-3</v>
      </c>
      <c r="S55" s="9">
        <v>1.1999999999999999E-3</v>
      </c>
      <c r="T55" s="9">
        <v>3.8999999999999998E-3</v>
      </c>
      <c r="U55" s="9">
        <v>3.3999999999999998E-3</v>
      </c>
      <c r="V55" s="9">
        <v>4.1000000000000003E-3</v>
      </c>
      <c r="W55" s="9">
        <v>3.5000000000000001E-3</v>
      </c>
      <c r="X55" s="9">
        <v>4.4999999999999997E-3</v>
      </c>
      <c r="Y55" s="9">
        <v>2E-3</v>
      </c>
      <c r="Z55" s="9">
        <v>4.8999999999999998E-3</v>
      </c>
      <c r="AA55" s="9">
        <v>3.0000000000000001E-3</v>
      </c>
      <c r="AB55" s="9">
        <v>1.9E-3</v>
      </c>
      <c r="AC55" s="9">
        <v>1E-3</v>
      </c>
      <c r="AD55" s="9">
        <v>2E-3</v>
      </c>
    </row>
    <row r="56" spans="2:30" x14ac:dyDescent="0.3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>
        <v>4.4000000000000003E-3</v>
      </c>
      <c r="P56" s="9">
        <v>3.5999999999999999E-3</v>
      </c>
      <c r="Q56" s="9"/>
      <c r="R56" s="9">
        <v>2.7000000000000001E-3</v>
      </c>
      <c r="S56" s="9">
        <v>1.1999999999999999E-3</v>
      </c>
      <c r="T56" s="9">
        <v>3.8E-3</v>
      </c>
      <c r="U56" s="9">
        <v>2.8E-3</v>
      </c>
      <c r="V56" s="9">
        <v>4.0000000000000001E-3</v>
      </c>
      <c r="W56" s="9">
        <v>2.3E-3</v>
      </c>
      <c r="X56" s="9">
        <v>4.3E-3</v>
      </c>
      <c r="Y56" s="9">
        <v>1.1999999999999999E-3</v>
      </c>
      <c r="Z56" s="9">
        <v>4.0000000000000001E-3</v>
      </c>
      <c r="AA56" s="9">
        <v>2.5000000000000001E-3</v>
      </c>
      <c r="AB56" s="9">
        <v>1.9E-3</v>
      </c>
      <c r="AC56" s="9">
        <v>1.4E-3</v>
      </c>
      <c r="AD56" s="9">
        <v>1.8E-3</v>
      </c>
    </row>
    <row r="57" spans="2:30" x14ac:dyDescent="0.3">
      <c r="B57" s="5">
        <v>202521</v>
      </c>
      <c r="C57" s="5"/>
      <c r="D57" s="9">
        <v>3.8E-3</v>
      </c>
      <c r="E57" s="9">
        <v>2.0999999999999999E-3</v>
      </c>
      <c r="F57" s="9">
        <v>3.8999999999999998E-3</v>
      </c>
      <c r="G57" s="9">
        <v>2.8999999999999998E-3</v>
      </c>
      <c r="H57" s="9">
        <v>1.9E-3</v>
      </c>
      <c r="I57" s="9">
        <v>2.8999999999999998E-3</v>
      </c>
      <c r="J57" s="9">
        <v>2.0000000000000001E-4</v>
      </c>
      <c r="K57" s="9">
        <v>2.7000000000000001E-3</v>
      </c>
      <c r="L57" s="9">
        <v>1.5E-3</v>
      </c>
      <c r="M57" s="9">
        <v>2E-3</v>
      </c>
      <c r="N57" s="9">
        <v>8.9999999999999998E-4</v>
      </c>
      <c r="O57" s="9">
        <v>5.7000000000000002E-3</v>
      </c>
      <c r="P57" s="9">
        <v>3.7000000000000002E-3</v>
      </c>
      <c r="Q57" s="9"/>
      <c r="R57" s="9">
        <v>3.0999999999999999E-3</v>
      </c>
      <c r="S57" s="9">
        <v>1.5E-3</v>
      </c>
      <c r="T57" s="9">
        <v>4.1000000000000003E-3</v>
      </c>
      <c r="U57" s="9">
        <v>2.3999999999999998E-3</v>
      </c>
      <c r="V57" s="9">
        <v>0</v>
      </c>
      <c r="W57" s="9">
        <v>0</v>
      </c>
      <c r="X57" s="9">
        <v>1.4200000000000001E-2</v>
      </c>
      <c r="Y57" s="9">
        <v>1.4E-3</v>
      </c>
      <c r="Z57" s="9">
        <v>3.8E-3</v>
      </c>
      <c r="AA57" s="9">
        <v>1.6999999999999999E-3</v>
      </c>
      <c r="AB57" s="9">
        <v>2.0999999999999999E-3</v>
      </c>
      <c r="AC57" s="9">
        <v>1.1000000000000001E-3</v>
      </c>
      <c r="AD57" s="9">
        <v>4.4000000000000003E-3</v>
      </c>
    </row>
    <row r="58" spans="2:30" x14ac:dyDescent="0.3">
      <c r="B58" s="5">
        <v>202522</v>
      </c>
      <c r="C58" s="5"/>
      <c r="D58" s="9">
        <v>2.7000000000000001E-3</v>
      </c>
      <c r="E58" s="9">
        <v>2.2000000000000001E-3</v>
      </c>
      <c r="F58" s="9">
        <v>2.8E-3</v>
      </c>
      <c r="G58" s="9">
        <v>2.3999999999999998E-3</v>
      </c>
      <c r="H58" s="9">
        <v>2E-3</v>
      </c>
      <c r="I58" s="9">
        <v>3.8999999999999998E-3</v>
      </c>
      <c r="J58" s="9">
        <v>6.9999999999999999E-4</v>
      </c>
      <c r="K58" s="9">
        <v>3.7000000000000002E-3</v>
      </c>
      <c r="L58" s="9">
        <v>2.2000000000000001E-3</v>
      </c>
      <c r="M58" s="9">
        <v>2.5000000000000001E-3</v>
      </c>
      <c r="N58" s="9">
        <v>2.2000000000000001E-3</v>
      </c>
      <c r="O58" s="9">
        <v>8.3999999999999995E-3</v>
      </c>
      <c r="P58" s="9">
        <v>3.3999999999999998E-3</v>
      </c>
      <c r="Q58" s="9"/>
      <c r="R58" s="9">
        <v>3.0000000000000001E-3</v>
      </c>
      <c r="S58" s="9">
        <v>1.6999999999999999E-3</v>
      </c>
      <c r="T58" s="9">
        <v>2.9999999999999997E-4</v>
      </c>
      <c r="U58" s="9">
        <v>3.2000000000000002E-3</v>
      </c>
      <c r="V58" s="9"/>
      <c r="W58" s="9"/>
      <c r="X58" s="9">
        <v>5.7999999999999996E-3</v>
      </c>
      <c r="Y58" s="9">
        <v>1.2999999999999999E-3</v>
      </c>
      <c r="Z58" s="9">
        <v>4.1000000000000003E-3</v>
      </c>
      <c r="AA58" s="9">
        <v>2.5000000000000001E-3</v>
      </c>
      <c r="AB58" s="9">
        <v>1.9E-3</v>
      </c>
      <c r="AC58" s="9">
        <v>1.1999999999999999E-3</v>
      </c>
      <c r="AD58" s="9">
        <v>2.3E-3</v>
      </c>
    </row>
    <row r="59" spans="2:30" x14ac:dyDescent="0.3">
      <c r="B59" s="5">
        <v>202523</v>
      </c>
      <c r="C59" s="5"/>
      <c r="D59" s="9">
        <v>3.0000000000000001E-3</v>
      </c>
      <c r="E59" s="9">
        <v>1.9E-3</v>
      </c>
      <c r="F59" s="9">
        <v>3.0999999999999999E-3</v>
      </c>
      <c r="G59" s="9">
        <v>1.6999999999999999E-3</v>
      </c>
      <c r="H59" s="9">
        <v>1.1000000000000001E-3</v>
      </c>
      <c r="I59" s="9">
        <v>1E-3</v>
      </c>
      <c r="J59" s="9">
        <v>2.2000000000000001E-3</v>
      </c>
      <c r="K59" s="9">
        <v>1.6999999999999999E-3</v>
      </c>
      <c r="L59" s="9">
        <v>4.7999999999999996E-3</v>
      </c>
      <c r="M59" s="9">
        <v>2.5000000000000001E-3</v>
      </c>
      <c r="N59" s="9">
        <v>5.1999999999999998E-3</v>
      </c>
      <c r="O59" s="9">
        <v>9.4999999999999998E-3</v>
      </c>
      <c r="P59" s="9">
        <v>3.5000000000000001E-3</v>
      </c>
      <c r="Q59" s="9"/>
      <c r="R59" s="9">
        <v>3.0000000000000001E-3</v>
      </c>
      <c r="S59" s="9">
        <v>1.9E-3</v>
      </c>
      <c r="T59" s="9"/>
      <c r="U59" s="9">
        <v>2.5999999999999999E-3</v>
      </c>
      <c r="V59" s="9"/>
      <c r="W59" s="9"/>
      <c r="X59" s="9">
        <v>3.8E-3</v>
      </c>
      <c r="Y59" s="9">
        <v>1.6000000000000001E-3</v>
      </c>
      <c r="Z59" s="9">
        <v>6.1999999999999998E-3</v>
      </c>
      <c r="AA59" s="9">
        <v>3.5000000000000001E-3</v>
      </c>
      <c r="AB59" s="9">
        <v>1.9E-3</v>
      </c>
      <c r="AC59" s="9">
        <v>1.4E-3</v>
      </c>
      <c r="AD59" s="9">
        <v>2.3999999999999998E-3</v>
      </c>
    </row>
    <row r="60" spans="2:30" x14ac:dyDescent="0.3">
      <c r="B60" s="5">
        <v>202524</v>
      </c>
      <c r="C60" s="5"/>
      <c r="D60" s="9">
        <v>3.3E-3</v>
      </c>
      <c r="E60" s="9">
        <v>2.5999999999999999E-3</v>
      </c>
      <c r="F60" s="9">
        <v>3.3E-3</v>
      </c>
      <c r="G60" s="9">
        <v>2.3999999999999998E-3</v>
      </c>
      <c r="H60" s="9">
        <v>2.0999999999999999E-3</v>
      </c>
      <c r="I60" s="9">
        <v>5.8999999999999999E-3</v>
      </c>
      <c r="J60" s="9">
        <v>3.0999999999999999E-3</v>
      </c>
      <c r="K60" s="9">
        <v>2.3999999999999998E-3</v>
      </c>
      <c r="L60" s="9">
        <v>3.3E-3</v>
      </c>
      <c r="M60" s="9">
        <v>5.1999999999999998E-3</v>
      </c>
      <c r="N60" s="9">
        <v>5.1000000000000004E-3</v>
      </c>
      <c r="O60" s="9">
        <v>8.9999999999999993E-3</v>
      </c>
      <c r="P60" s="9">
        <v>4.1999999999999997E-3</v>
      </c>
      <c r="Q60" s="9"/>
      <c r="R60" s="9">
        <v>2.8999999999999998E-3</v>
      </c>
      <c r="S60" s="9">
        <v>1.9E-3</v>
      </c>
      <c r="T60" s="9"/>
      <c r="U60" s="9">
        <v>2.5000000000000001E-3</v>
      </c>
      <c r="V60" s="9"/>
      <c r="W60" s="9"/>
      <c r="X60" s="9">
        <v>4.1999999999999997E-3</v>
      </c>
      <c r="Y60" s="9">
        <v>1.6000000000000001E-3</v>
      </c>
      <c r="Z60" s="9">
        <v>6.3E-3</v>
      </c>
      <c r="AA60" s="9">
        <v>3.0000000000000001E-3</v>
      </c>
      <c r="AB60" s="9">
        <v>2.3E-3</v>
      </c>
      <c r="AC60" s="9">
        <v>1.8E-3</v>
      </c>
      <c r="AD60" s="9">
        <v>2.0999999999999999E-3</v>
      </c>
    </row>
    <row r="61" spans="2:30" x14ac:dyDescent="0.3">
      <c r="B61" s="5">
        <v>202525</v>
      </c>
      <c r="C61" s="5"/>
      <c r="D61" s="9">
        <v>3.2000000000000002E-3</v>
      </c>
      <c r="E61" s="9">
        <v>2.8999999999999998E-3</v>
      </c>
      <c r="F61" s="9">
        <v>3.2000000000000002E-3</v>
      </c>
      <c r="G61" s="9">
        <v>2.0999999999999999E-3</v>
      </c>
      <c r="H61" s="9">
        <v>2.0999999999999999E-3</v>
      </c>
      <c r="I61" s="9">
        <v>6.8999999999999999E-3</v>
      </c>
      <c r="J61" s="9">
        <v>4.3E-3</v>
      </c>
      <c r="K61" s="9">
        <v>3.8999999999999998E-3</v>
      </c>
      <c r="L61" s="9">
        <v>4.4000000000000003E-3</v>
      </c>
      <c r="M61" s="9">
        <v>6.4000000000000003E-3</v>
      </c>
      <c r="N61" s="9">
        <v>4.4999999999999997E-3</v>
      </c>
      <c r="O61" s="9">
        <v>9.7000000000000003E-3</v>
      </c>
      <c r="P61" s="9">
        <v>3.3999999999999998E-3</v>
      </c>
      <c r="Q61" s="9"/>
      <c r="R61" s="9">
        <v>3.0000000000000001E-3</v>
      </c>
      <c r="S61" s="9">
        <v>1.9E-3</v>
      </c>
      <c r="T61" s="9"/>
      <c r="U61" s="9">
        <v>3.3999999999999998E-3</v>
      </c>
      <c r="V61" s="9"/>
      <c r="W61" s="9"/>
      <c r="X61" s="9">
        <v>5.0000000000000001E-3</v>
      </c>
      <c r="Y61" s="9">
        <v>1.1999999999999999E-3</v>
      </c>
      <c r="Z61" s="9">
        <v>3.5999999999999999E-3</v>
      </c>
      <c r="AA61" s="9">
        <v>3.0999999999999999E-3</v>
      </c>
      <c r="AB61" s="9">
        <v>2.8E-3</v>
      </c>
      <c r="AC61" s="9">
        <v>1.6999999999999999E-3</v>
      </c>
      <c r="AD61" s="9">
        <v>1.8E-3</v>
      </c>
    </row>
    <row r="62" spans="2:30" x14ac:dyDescent="0.3">
      <c r="B62" s="5">
        <v>202526</v>
      </c>
      <c r="C62" s="5"/>
      <c r="D62" s="9">
        <v>3.5000000000000001E-3</v>
      </c>
      <c r="E62" s="9">
        <v>2.3E-3</v>
      </c>
      <c r="F62" s="9">
        <v>3.5999999999999999E-3</v>
      </c>
      <c r="G62" s="9">
        <v>2E-3</v>
      </c>
      <c r="H62" s="9">
        <v>1.6000000000000001E-3</v>
      </c>
      <c r="I62" s="9">
        <v>7.0000000000000001E-3</v>
      </c>
      <c r="J62" s="9">
        <v>3.3999999999999998E-3</v>
      </c>
      <c r="K62" s="9">
        <v>2.5000000000000001E-3</v>
      </c>
      <c r="L62" s="9">
        <v>3.3E-3</v>
      </c>
      <c r="M62" s="9">
        <v>6.0000000000000001E-3</v>
      </c>
      <c r="N62" s="9">
        <v>2.7000000000000001E-3</v>
      </c>
      <c r="O62" s="9">
        <v>1.9300000000000001E-2</v>
      </c>
      <c r="P62" s="9">
        <v>3.2000000000000002E-3</v>
      </c>
      <c r="Q62" s="9"/>
      <c r="R62" s="9">
        <v>3.3E-3</v>
      </c>
      <c r="S62" s="9">
        <v>1.9E-3</v>
      </c>
      <c r="T62" s="9"/>
      <c r="U62" s="9">
        <v>3.5999999999999999E-3</v>
      </c>
      <c r="V62" s="9"/>
      <c r="W62" s="9"/>
      <c r="X62" s="9">
        <v>5.4999999999999997E-3</v>
      </c>
      <c r="Y62" s="9">
        <v>1.1999999999999999E-3</v>
      </c>
      <c r="Z62" s="9">
        <v>5.4999999999999997E-3</v>
      </c>
      <c r="AA62" s="9">
        <v>3.3E-3</v>
      </c>
      <c r="AB62" s="9">
        <v>3.0999999999999999E-3</v>
      </c>
      <c r="AC62" s="9">
        <v>1.6999999999999999E-3</v>
      </c>
      <c r="AD62" s="9">
        <v>2.2000000000000001E-3</v>
      </c>
    </row>
    <row r="63" spans="2:30" x14ac:dyDescent="0.3">
      <c r="B63" s="5">
        <v>202527</v>
      </c>
      <c r="C63" s="5"/>
      <c r="D63" s="9">
        <v>3.5000000000000001E-3</v>
      </c>
      <c r="E63" s="9">
        <v>2.7000000000000001E-3</v>
      </c>
      <c r="F63" s="9">
        <v>3.5999999999999999E-3</v>
      </c>
      <c r="G63" s="9">
        <v>1.5E-3</v>
      </c>
      <c r="H63" s="9">
        <v>2.2000000000000001E-3</v>
      </c>
      <c r="I63" s="9">
        <v>5.0000000000000001E-3</v>
      </c>
      <c r="J63" s="9">
        <v>4.4000000000000003E-3</v>
      </c>
      <c r="K63" s="9">
        <v>4.4999999999999997E-3</v>
      </c>
      <c r="L63" s="9">
        <v>3.5999999999999999E-3</v>
      </c>
      <c r="M63" s="9">
        <v>4.4000000000000003E-3</v>
      </c>
      <c r="N63" s="9">
        <v>1.4E-3</v>
      </c>
      <c r="O63" s="9">
        <v>2.12E-2</v>
      </c>
      <c r="P63" s="9">
        <v>4.1999999999999997E-3</v>
      </c>
      <c r="Q63" s="9"/>
      <c r="R63" s="9">
        <v>3.2000000000000002E-3</v>
      </c>
      <c r="S63" s="9">
        <v>1.9E-3</v>
      </c>
      <c r="T63" s="9"/>
      <c r="U63" s="9">
        <v>3.3999999999999998E-3</v>
      </c>
      <c r="V63" s="9"/>
      <c r="W63" s="9"/>
      <c r="X63" s="9">
        <v>5.7999999999999996E-3</v>
      </c>
      <c r="Y63" s="9">
        <v>1.1999999999999999E-3</v>
      </c>
      <c r="Z63" s="9">
        <v>6.3E-3</v>
      </c>
      <c r="AA63" s="9">
        <v>3.8999999999999998E-3</v>
      </c>
      <c r="AB63" s="9">
        <v>2.7000000000000001E-3</v>
      </c>
      <c r="AC63" s="9">
        <v>1.1999999999999999E-3</v>
      </c>
      <c r="AD63" s="9">
        <v>1.9E-3</v>
      </c>
    </row>
    <row r="64" spans="2:30" x14ac:dyDescent="0.3">
      <c r="B64" s="5">
        <v>202528</v>
      </c>
      <c r="C64" s="5"/>
      <c r="D64" s="9">
        <v>3.8E-3</v>
      </c>
      <c r="E64" s="9">
        <v>2.0999999999999999E-3</v>
      </c>
      <c r="F64" s="9">
        <v>3.8999999999999998E-3</v>
      </c>
      <c r="G64" s="9">
        <v>1.8E-3</v>
      </c>
      <c r="H64" s="9">
        <v>1.8E-3</v>
      </c>
      <c r="I64" s="9">
        <v>3.0000000000000001E-3</v>
      </c>
      <c r="J64" s="9">
        <v>1.9E-3</v>
      </c>
      <c r="K64" s="9">
        <v>2.5000000000000001E-3</v>
      </c>
      <c r="L64" s="9">
        <v>3.0999999999999999E-3</v>
      </c>
      <c r="M64" s="9">
        <v>5.7999999999999996E-3</v>
      </c>
      <c r="N64" s="9">
        <v>1.5E-3</v>
      </c>
      <c r="O64" s="9">
        <v>1.24E-2</v>
      </c>
      <c r="P64" s="9">
        <v>4.7000000000000002E-3</v>
      </c>
      <c r="Q64" s="9"/>
      <c r="R64" s="9">
        <v>8.6999999999999994E-3</v>
      </c>
      <c r="S64" s="9">
        <v>2.0999999999999999E-3</v>
      </c>
      <c r="T64" s="9">
        <v>1.5E-3</v>
      </c>
      <c r="U64" s="9">
        <v>4.5999999999999999E-3</v>
      </c>
      <c r="V64" s="9">
        <v>8.0000000000000004E-4</v>
      </c>
      <c r="W64" s="9">
        <v>2.2000000000000001E-3</v>
      </c>
      <c r="X64" s="9">
        <v>6.4000000000000003E-3</v>
      </c>
      <c r="Y64" s="9">
        <v>1.8E-3</v>
      </c>
      <c r="Z64" s="9">
        <v>6.4000000000000003E-3</v>
      </c>
      <c r="AA64" s="9">
        <v>3.7000000000000002E-3</v>
      </c>
      <c r="AB64" s="9">
        <v>3.0999999999999999E-3</v>
      </c>
      <c r="AC64" s="9">
        <v>2.0999999999999999E-3</v>
      </c>
      <c r="AD64" s="9">
        <v>2.3999999999999998E-3</v>
      </c>
    </row>
    <row r="65" spans="2:30" x14ac:dyDescent="0.3">
      <c r="B65" s="5">
        <v>202529</v>
      </c>
      <c r="C65" s="5"/>
      <c r="D65" s="9">
        <v>3.3E-3</v>
      </c>
      <c r="E65" s="9">
        <v>2.8E-3</v>
      </c>
      <c r="F65" s="9">
        <v>3.3E-3</v>
      </c>
      <c r="G65" s="9">
        <v>2.8999999999999998E-3</v>
      </c>
      <c r="H65" s="9">
        <v>1.6000000000000001E-3</v>
      </c>
      <c r="I65" s="9">
        <v>6.1000000000000004E-3</v>
      </c>
      <c r="J65" s="9">
        <v>3.3999999999999998E-3</v>
      </c>
      <c r="K65" s="9">
        <v>3.2000000000000002E-3</v>
      </c>
      <c r="L65" s="9">
        <v>4.3E-3</v>
      </c>
      <c r="M65" s="9">
        <v>3.8E-3</v>
      </c>
      <c r="N65" s="9">
        <v>1.4E-3</v>
      </c>
      <c r="O65" s="9">
        <v>1.5800000000000002E-2</v>
      </c>
      <c r="P65" s="9">
        <v>3.3999999999999998E-3</v>
      </c>
      <c r="Q65" s="9"/>
      <c r="R65" s="9">
        <v>3.5000000000000001E-3</v>
      </c>
      <c r="S65" s="9">
        <v>2.0999999999999999E-3</v>
      </c>
      <c r="T65" s="9">
        <v>1.6000000000000001E-3</v>
      </c>
      <c r="U65" s="9">
        <v>4.1999999999999997E-3</v>
      </c>
      <c r="V65" s="9">
        <v>1.1000000000000001E-3</v>
      </c>
      <c r="W65" s="9">
        <v>1.6999999999999999E-3</v>
      </c>
      <c r="X65" s="9">
        <v>5.8999999999999999E-3</v>
      </c>
      <c r="Y65" s="9">
        <v>1.6999999999999999E-3</v>
      </c>
      <c r="Z65" s="9">
        <v>7.3000000000000001E-3</v>
      </c>
      <c r="AA65" s="9">
        <v>3.3999999999999998E-3</v>
      </c>
      <c r="AB65" s="9">
        <v>3.3E-3</v>
      </c>
      <c r="AC65" s="9">
        <v>1.6000000000000001E-3</v>
      </c>
      <c r="AD65" s="9">
        <v>2E-3</v>
      </c>
    </row>
    <row r="66" spans="2:30" x14ac:dyDescent="0.3">
      <c r="B66" s="5">
        <v>202530</v>
      </c>
      <c r="C66" s="5"/>
      <c r="D66" s="9">
        <v>4.0000000000000001E-3</v>
      </c>
      <c r="E66" s="9">
        <v>2.5000000000000001E-3</v>
      </c>
      <c r="F66" s="9">
        <v>4.1000000000000003E-3</v>
      </c>
      <c r="G66" s="9">
        <v>2.0999999999999999E-3</v>
      </c>
      <c r="H66" s="9">
        <v>2E-3</v>
      </c>
      <c r="I66" s="9">
        <v>4.1000000000000003E-3</v>
      </c>
      <c r="J66" s="9">
        <v>2.7000000000000001E-3</v>
      </c>
      <c r="K66" s="9">
        <v>3.0000000000000001E-3</v>
      </c>
      <c r="L66" s="9">
        <v>3.8E-3</v>
      </c>
      <c r="M66" s="9">
        <v>5.7000000000000002E-3</v>
      </c>
      <c r="N66" s="9">
        <v>1.5E-3</v>
      </c>
      <c r="O66" s="9">
        <v>1.2500000000000001E-2</v>
      </c>
      <c r="P66" s="9">
        <v>3.7000000000000002E-3</v>
      </c>
      <c r="Q66" s="9"/>
      <c r="R66" s="9">
        <v>1.0800000000000001E-2</v>
      </c>
      <c r="S66" s="9">
        <v>2E-3</v>
      </c>
      <c r="T66" s="9">
        <v>1.6999999999999999E-3</v>
      </c>
      <c r="U66" s="9">
        <v>4.7000000000000002E-3</v>
      </c>
      <c r="V66" s="9">
        <v>1.1000000000000001E-3</v>
      </c>
      <c r="W66" s="9">
        <v>1.5E-3</v>
      </c>
      <c r="X66" s="9">
        <v>7.7999999999999996E-3</v>
      </c>
      <c r="Y66" s="9">
        <v>2.3999999999999998E-3</v>
      </c>
      <c r="Z66" s="9">
        <v>5.7000000000000002E-3</v>
      </c>
      <c r="AA66" s="9">
        <v>3.0999999999999999E-3</v>
      </c>
      <c r="AB66" s="9">
        <v>3.3E-3</v>
      </c>
      <c r="AC66" s="9">
        <v>1.6000000000000001E-3</v>
      </c>
      <c r="AD66" s="9">
        <v>2.3999999999999998E-3</v>
      </c>
    </row>
    <row r="67" spans="2:30" x14ac:dyDescent="0.3">
      <c r="B67" s="5">
        <v>202531</v>
      </c>
      <c r="C67" s="5"/>
      <c r="D67" s="9">
        <v>4.7999999999999996E-3</v>
      </c>
      <c r="E67" s="9">
        <v>3.5000000000000001E-3</v>
      </c>
      <c r="F67" s="9">
        <v>4.7999999999999996E-3</v>
      </c>
      <c r="G67" s="9">
        <v>3.3E-3</v>
      </c>
      <c r="H67" s="9">
        <v>3.5999999999999999E-3</v>
      </c>
      <c r="I67" s="9">
        <v>7.1000000000000004E-3</v>
      </c>
      <c r="J67" s="9">
        <v>4.8999999999999998E-3</v>
      </c>
      <c r="K67" s="9">
        <v>1.5E-3</v>
      </c>
      <c r="L67" s="9">
        <v>3.3999999999999998E-3</v>
      </c>
      <c r="M67" s="9">
        <v>7.4999999999999997E-3</v>
      </c>
      <c r="N67" s="9">
        <v>5.7999999999999996E-3</v>
      </c>
      <c r="O67" s="9">
        <v>1.3299999999999999E-2</v>
      </c>
      <c r="P67" s="9">
        <v>4.1999999999999997E-3</v>
      </c>
      <c r="Q67" s="9"/>
      <c r="R67" s="9">
        <v>1.0800000000000001E-2</v>
      </c>
      <c r="S67" s="9">
        <v>2.3999999999999998E-3</v>
      </c>
      <c r="T67" s="9">
        <v>1.8E-3</v>
      </c>
      <c r="U67" s="9">
        <v>7.7999999999999996E-3</v>
      </c>
      <c r="V67" s="9">
        <v>1.6000000000000001E-3</v>
      </c>
      <c r="W67" s="9">
        <v>2.3E-3</v>
      </c>
      <c r="X67" s="9">
        <v>7.9000000000000008E-3</v>
      </c>
      <c r="Y67" s="9">
        <v>1.9E-3</v>
      </c>
      <c r="Z67" s="9">
        <v>6.4000000000000003E-3</v>
      </c>
      <c r="AA67" s="9">
        <v>3.5999999999999999E-3</v>
      </c>
      <c r="AB67" s="9">
        <v>4.4000000000000003E-3</v>
      </c>
      <c r="AC67" s="9">
        <v>2.5000000000000001E-3</v>
      </c>
      <c r="AD67" s="9">
        <v>2E-3</v>
      </c>
    </row>
    <row r="68" spans="2:30" ht="15" thickBot="1" x14ac:dyDescent="0.35">
      <c r="B68" s="5">
        <v>202532</v>
      </c>
      <c r="C68" s="5"/>
      <c r="D68" s="9">
        <v>4.4000000000000003E-3</v>
      </c>
      <c r="E68" s="9">
        <v>3.8E-3</v>
      </c>
      <c r="F68" s="9">
        <v>4.4999999999999997E-3</v>
      </c>
      <c r="G68" s="9">
        <v>4.7999999999999996E-3</v>
      </c>
      <c r="H68" s="9">
        <v>2.5999999999999999E-3</v>
      </c>
      <c r="I68" s="9">
        <v>8.2000000000000007E-3</v>
      </c>
      <c r="J68" s="9">
        <v>4.7000000000000002E-3</v>
      </c>
      <c r="K68" s="9">
        <v>3.8E-3</v>
      </c>
      <c r="L68" s="9">
        <v>3.2000000000000002E-3</v>
      </c>
      <c r="M68" s="9">
        <v>6.4000000000000003E-3</v>
      </c>
      <c r="N68" s="9">
        <v>4.4000000000000003E-3</v>
      </c>
      <c r="O68" s="9">
        <v>1.2699999999999999E-2</v>
      </c>
      <c r="P68" s="9">
        <v>4.8999999999999998E-3</v>
      </c>
      <c r="Q68" s="9"/>
      <c r="R68" s="9">
        <v>5.0000000000000001E-3</v>
      </c>
      <c r="S68" s="9">
        <v>1.6000000000000001E-3</v>
      </c>
      <c r="T68" s="9">
        <v>1.6999999999999999E-3</v>
      </c>
      <c r="U68" s="9">
        <v>5.4000000000000003E-3</v>
      </c>
      <c r="V68" s="9">
        <v>3.2000000000000002E-3</v>
      </c>
      <c r="W68" s="9">
        <v>2.3E-3</v>
      </c>
      <c r="X68" s="9">
        <v>9.2999999999999992E-3</v>
      </c>
      <c r="Y68" s="9">
        <v>2E-3</v>
      </c>
      <c r="Z68" s="9">
        <v>5.4999999999999997E-3</v>
      </c>
      <c r="AA68" s="9">
        <v>4.1999999999999997E-3</v>
      </c>
      <c r="AB68" s="9">
        <v>7.4000000000000003E-3</v>
      </c>
      <c r="AC68" s="9">
        <v>2.0999999999999999E-3</v>
      </c>
      <c r="AD68" s="9">
        <v>2.7000000000000001E-3</v>
      </c>
    </row>
    <row r="69" spans="2:30" ht="15" thickBot="1" x14ac:dyDescent="0.35">
      <c r="B69" s="22" t="s">
        <v>82</v>
      </c>
      <c r="C69" s="22"/>
      <c r="D69" s="24">
        <f t="shared" ref="D69:AD69" si="23">AVERAGE(D37:D68)</f>
        <v>3.0093749999999999E-3</v>
      </c>
      <c r="E69" s="24">
        <f t="shared" si="23"/>
        <v>3.5937499999999997E-3</v>
      </c>
      <c r="F69" s="24">
        <f t="shared" si="23"/>
        <v>2.9437500000000002E-3</v>
      </c>
      <c r="G69" s="24">
        <f t="shared" si="23"/>
        <v>4.621875000000001E-3</v>
      </c>
      <c r="H69" s="24">
        <f t="shared" si="23"/>
        <v>3.2500000000000007E-3</v>
      </c>
      <c r="I69" s="24">
        <f t="shared" si="23"/>
        <v>4.8031250000000001E-3</v>
      </c>
      <c r="J69" s="24">
        <f t="shared" si="23"/>
        <v>2.8874999999999994E-3</v>
      </c>
      <c r="K69" s="24">
        <f t="shared" si="23"/>
        <v>3.3656249999999993E-3</v>
      </c>
      <c r="L69" s="24">
        <f t="shared" si="23"/>
        <v>2.590625E-3</v>
      </c>
      <c r="M69" s="24">
        <f t="shared" si="23"/>
        <v>3.4281250000000002E-3</v>
      </c>
      <c r="N69" s="24">
        <f t="shared" si="23"/>
        <v>2.874074074074074E-3</v>
      </c>
      <c r="O69" s="24">
        <f t="shared" si="23"/>
        <v>8.2687500000000018E-3</v>
      </c>
      <c r="P69" s="24">
        <f t="shared" si="23"/>
        <v>3.2156249999999993E-3</v>
      </c>
      <c r="Q69" s="24">
        <f t="shared" si="23"/>
        <v>-6.7871428571428569E-2</v>
      </c>
      <c r="R69" s="24">
        <f t="shared" si="23"/>
        <v>3.2656250000000003E-3</v>
      </c>
      <c r="S69" s="24">
        <f t="shared" si="23"/>
        <v>1.8071428571428576E-3</v>
      </c>
      <c r="T69" s="24">
        <f t="shared" si="23"/>
        <v>2.6925925925925919E-3</v>
      </c>
      <c r="U69" s="24">
        <f t="shared" si="23"/>
        <v>3.4812499999999995E-3</v>
      </c>
      <c r="V69" s="24">
        <f t="shared" si="23"/>
        <v>3.1615384615384617E-3</v>
      </c>
      <c r="W69" s="24">
        <f t="shared" si="23"/>
        <v>2.6076923076923078E-3</v>
      </c>
      <c r="X69" s="24">
        <f t="shared" si="23"/>
        <v>3.9500000000000004E-3</v>
      </c>
      <c r="Y69" s="24">
        <f t="shared" si="23"/>
        <v>1.4718749999999999E-3</v>
      </c>
      <c r="Z69" s="24">
        <f t="shared" si="23"/>
        <v>4.4500000000000008E-3</v>
      </c>
      <c r="AA69" s="24">
        <f t="shared" si="23"/>
        <v>2.3718750000000003E-3</v>
      </c>
      <c r="AB69" s="24">
        <f t="shared" si="23"/>
        <v>2.2518518518518517E-3</v>
      </c>
      <c r="AC69" s="24">
        <f t="shared" si="23"/>
        <v>1.3185185185185183E-3</v>
      </c>
      <c r="AD69" s="24">
        <f t="shared" si="23"/>
        <v>1.6250000000000001E-3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T70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45885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135</v>
      </c>
      <c r="C6" s="7">
        <v>25</v>
      </c>
      <c r="D6" s="7">
        <v>7</v>
      </c>
      <c r="E6" s="7">
        <v>1197</v>
      </c>
      <c r="F6" s="7">
        <v>966</v>
      </c>
      <c r="G6" s="7">
        <v>6</v>
      </c>
      <c r="H6" s="9">
        <f t="shared" ref="H6:H12" si="0">IFERROR(G6/F6,0)</f>
        <v>6.2111801242236021E-3</v>
      </c>
      <c r="I6" s="9">
        <f>IFERROR((1197-F6)/1197,0)</f>
        <v>0.19298245614035087</v>
      </c>
      <c r="J6" s="7">
        <v>3240</v>
      </c>
      <c r="K6" s="11">
        <f t="shared" ref="K6:K12" si="1">IFERROR(J6/D6/F6*100,0)</f>
        <v>47.9148181011535</v>
      </c>
      <c r="L6" s="11">
        <f>K6-48.5009</f>
        <v>-0.5860818988465013</v>
      </c>
      <c r="M6" s="11">
        <v>79</v>
      </c>
      <c r="N6" s="11">
        <f t="shared" ref="N6:N12" si="2">K6-M6</f>
        <v>-31.0851818988465</v>
      </c>
      <c r="O6" s="11">
        <f>IFERROR(185840/1197,0)</f>
        <v>155.25480367585629</v>
      </c>
      <c r="P6" s="11">
        <v>0</v>
      </c>
      <c r="Q6" s="11">
        <f t="shared" ref="Q6:Q11" si="3">IFERROR(O6-P6,0)</f>
        <v>155.25480367585629</v>
      </c>
      <c r="R6" s="7">
        <v>868</v>
      </c>
      <c r="S6" s="11">
        <f t="shared" ref="S6:S11" si="4">IFERROR(R6/D6/F6*1000,0)</f>
        <v>128.36438923395445</v>
      </c>
      <c r="T6" s="13">
        <f t="shared" ref="T6:T12" si="5">IFERROR(J6/R6,0)</f>
        <v>3.7327188940092166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267.90123456790127</v>
      </c>
      <c r="Z6" s="11">
        <f t="shared" ref="Z6:Z12" si="9">IFERROR(Y6*X6/1000,0)</f>
        <v>79.534518518518524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24</v>
      </c>
      <c r="AG6" s="7">
        <f t="shared" ref="AG6:AG11" si="10">IF(M6=0,0,IFERROR(N6/100*7*F6,0))</f>
        <v>-2101.98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95</v>
      </c>
      <c r="C7" s="7">
        <v>25</v>
      </c>
      <c r="D7" s="7">
        <v>7</v>
      </c>
      <c r="E7" s="7">
        <v>14440</v>
      </c>
      <c r="F7" s="7">
        <v>10925</v>
      </c>
      <c r="G7" s="7">
        <v>52</v>
      </c>
      <c r="H7" s="9">
        <f t="shared" si="0"/>
        <v>4.7597254004576655E-3</v>
      </c>
      <c r="I7" s="9">
        <f>IFERROR((14440-F7)/14440,0)</f>
        <v>0.24342105263157895</v>
      </c>
      <c r="J7" s="7">
        <v>53340</v>
      </c>
      <c r="K7" s="11">
        <f t="shared" si="1"/>
        <v>69.748283752860402</v>
      </c>
      <c r="L7" s="11">
        <f>K7-71.6043</f>
        <v>-1.8560162471395927</v>
      </c>
      <c r="M7" s="11">
        <v>79</v>
      </c>
      <c r="N7" s="11">
        <f t="shared" si="2"/>
        <v>-9.2517162471395977</v>
      </c>
      <c r="O7" s="11">
        <f>IFERROR(5289730/14440,0)</f>
        <v>366.32479224376732</v>
      </c>
      <c r="P7" s="11">
        <v>0</v>
      </c>
      <c r="Q7" s="11">
        <f t="shared" si="3"/>
        <v>366.32479224376732</v>
      </c>
      <c r="R7" s="7">
        <v>9730</v>
      </c>
      <c r="S7" s="11">
        <f t="shared" si="4"/>
        <v>127.23112128146452</v>
      </c>
      <c r="T7" s="13">
        <f t="shared" si="5"/>
        <v>5.4820143884892083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182.41469816272968</v>
      </c>
      <c r="Z7" s="11">
        <f t="shared" si="9"/>
        <v>68.068044619422579</v>
      </c>
      <c r="AA7" s="7">
        <v>2080</v>
      </c>
      <c r="AB7" s="15">
        <f>IFERROR(AA7/1980,0)</f>
        <v>1.0505050505050506</v>
      </c>
      <c r="AC7" s="11">
        <v>0</v>
      </c>
      <c r="AD7" s="15">
        <f>IFERROR(AC7/65.2,0)</f>
        <v>0</v>
      </c>
      <c r="AE7" s="11">
        <v>0</v>
      </c>
      <c r="AF7" s="11">
        <v>29</v>
      </c>
      <c r="AG7" s="7">
        <f t="shared" si="10"/>
        <v>-7075.2500000000073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95</v>
      </c>
      <c r="C8" s="7">
        <v>25</v>
      </c>
      <c r="D8" s="7">
        <v>7</v>
      </c>
      <c r="E8" s="7">
        <v>16063</v>
      </c>
      <c r="F8" s="7">
        <v>12867</v>
      </c>
      <c r="G8" s="7">
        <v>39</v>
      </c>
      <c r="H8" s="9">
        <f t="shared" si="0"/>
        <v>3.0310095593378411E-3</v>
      </c>
      <c r="I8" s="9">
        <f>IFERROR((16063-F8)/16063,0)</f>
        <v>0.19896656913403474</v>
      </c>
      <c r="J8" s="7">
        <v>57510</v>
      </c>
      <c r="K8" s="11">
        <f t="shared" si="1"/>
        <v>63.851047530226836</v>
      </c>
      <c r="L8" s="11">
        <f>K8-64.7539</f>
        <v>-0.90285246977316547</v>
      </c>
      <c r="M8" s="11">
        <v>75</v>
      </c>
      <c r="N8" s="11">
        <f t="shared" si="2"/>
        <v>-11.148952469773164</v>
      </c>
      <c r="O8" s="11">
        <f>IFERROR(5514210/16063,0)</f>
        <v>343.28643466351241</v>
      </c>
      <c r="P8" s="11">
        <v>0</v>
      </c>
      <c r="Q8" s="11">
        <f t="shared" si="3"/>
        <v>343.28643466351241</v>
      </c>
      <c r="R8" s="7">
        <v>10360</v>
      </c>
      <c r="S8" s="11">
        <f t="shared" si="4"/>
        <v>115.02292686717961</v>
      </c>
      <c r="T8" s="13">
        <f t="shared" si="5"/>
        <v>5.551158301158301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180.14258389845241</v>
      </c>
      <c r="Z8" s="11">
        <f t="shared" si="9"/>
        <v>66.652756042427399</v>
      </c>
      <c r="AA8" s="7">
        <v>0</v>
      </c>
      <c r="AB8" s="15">
        <f>IFERROR(AA8/1580,0)</f>
        <v>0</v>
      </c>
      <c r="AC8" s="11">
        <v>0</v>
      </c>
      <c r="AD8" s="15">
        <f>IFERROR(AC8/63.7,0)</f>
        <v>0</v>
      </c>
      <c r="AE8" s="11">
        <v>0</v>
      </c>
      <c r="AF8" s="11">
        <v>24</v>
      </c>
      <c r="AG8" s="7">
        <f t="shared" si="10"/>
        <v>-10041.749999999991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56</v>
      </c>
      <c r="C9" s="7"/>
      <c r="D9" s="7">
        <v>7</v>
      </c>
      <c r="E9" s="7">
        <v>4686</v>
      </c>
      <c r="F9" s="7">
        <v>4030</v>
      </c>
      <c r="G9" s="7">
        <v>17</v>
      </c>
      <c r="H9" s="9">
        <f t="shared" si="0"/>
        <v>4.2183622828784123E-3</v>
      </c>
      <c r="I9" s="9">
        <f>IFERROR((4686-F9)/4686,0)</f>
        <v>0.1399914639351259</v>
      </c>
      <c r="J9" s="7">
        <v>28650</v>
      </c>
      <c r="K9" s="11">
        <f t="shared" si="1"/>
        <v>101.55973059198867</v>
      </c>
      <c r="L9" s="11">
        <f>K9-100.9213</f>
        <v>0.6384305919886657</v>
      </c>
      <c r="M9" s="11">
        <v>86.5</v>
      </c>
      <c r="N9" s="11">
        <f t="shared" si="2"/>
        <v>15.059730591988668</v>
      </c>
      <c r="O9" s="11">
        <f>IFERROR(1047090/4686,0)</f>
        <v>223.45070422535213</v>
      </c>
      <c r="P9" s="11">
        <v>234</v>
      </c>
      <c r="Q9" s="11">
        <f t="shared" si="3"/>
        <v>-10.549295774647874</v>
      </c>
      <c r="R9" s="7">
        <v>4555</v>
      </c>
      <c r="S9" s="11">
        <f t="shared" si="4"/>
        <v>161.46756469337114</v>
      </c>
      <c r="T9" s="13">
        <f t="shared" si="5"/>
        <v>6.2897914379802415</v>
      </c>
      <c r="U9" s="7">
        <v>5040</v>
      </c>
      <c r="V9" s="11">
        <f t="shared" si="6"/>
        <v>178.66004962779155</v>
      </c>
      <c r="W9" s="11">
        <f t="shared" si="7"/>
        <v>1.1064763995609219</v>
      </c>
      <c r="X9" s="11">
        <v>362.76</v>
      </c>
      <c r="Y9" s="11">
        <f t="shared" si="8"/>
        <v>158.9877835951134</v>
      </c>
      <c r="Z9" s="11">
        <f t="shared" si="9"/>
        <v>57.674408376963335</v>
      </c>
      <c r="AA9" s="7">
        <v>0</v>
      </c>
      <c r="AB9" s="15">
        <f>IFERROR(AA9/1960,0)</f>
        <v>0</v>
      </c>
      <c r="AC9" s="11">
        <v>0</v>
      </c>
      <c r="AD9" s="15">
        <f>IFERROR(AC9/63.6,0)</f>
        <v>0</v>
      </c>
      <c r="AE9" s="11">
        <v>14</v>
      </c>
      <c r="AF9" s="11">
        <v>25</v>
      </c>
      <c r="AG9" s="7">
        <f t="shared" si="10"/>
        <v>4248.3500000000031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95</v>
      </c>
      <c r="C10" s="7">
        <v>26</v>
      </c>
      <c r="D10" s="7">
        <v>7</v>
      </c>
      <c r="E10" s="7">
        <v>5000</v>
      </c>
      <c r="F10" s="7">
        <v>3976</v>
      </c>
      <c r="G10" s="7">
        <v>8</v>
      </c>
      <c r="H10" s="9">
        <f t="shared" si="0"/>
        <v>2.012072434607646E-3</v>
      </c>
      <c r="I10" s="9">
        <f>IFERROR((5000-F10)/5000,0)</f>
        <v>0.20480000000000001</v>
      </c>
      <c r="J10" s="7">
        <v>23340</v>
      </c>
      <c r="K10" s="11">
        <f t="shared" si="1"/>
        <v>83.860304685254377</v>
      </c>
      <c r="L10" s="11">
        <f>K10-85.3055</f>
        <v>-1.445195314745618</v>
      </c>
      <c r="M10" s="11">
        <v>78</v>
      </c>
      <c r="N10" s="11">
        <f t="shared" si="2"/>
        <v>5.860304685254377</v>
      </c>
      <c r="O10" s="11">
        <f>IFERROR(1981860/5000,0)</f>
        <v>396.37200000000001</v>
      </c>
      <c r="P10" s="11">
        <v>0</v>
      </c>
      <c r="Q10" s="11">
        <f t="shared" si="3"/>
        <v>396.37200000000001</v>
      </c>
      <c r="R10" s="7">
        <v>4509</v>
      </c>
      <c r="S10" s="11">
        <f t="shared" si="4"/>
        <v>162.00776085081918</v>
      </c>
      <c r="T10" s="13">
        <f t="shared" si="5"/>
        <v>5.1763140385894877</v>
      </c>
      <c r="U10" s="7">
        <v>5040</v>
      </c>
      <c r="V10" s="11">
        <f t="shared" si="6"/>
        <v>181.08651911468812</v>
      </c>
      <c r="W10" s="11">
        <f t="shared" si="7"/>
        <v>1.1177644710578842</v>
      </c>
      <c r="X10" s="11">
        <v>374.81</v>
      </c>
      <c r="Y10" s="11">
        <f t="shared" si="8"/>
        <v>193.18766066838043</v>
      </c>
      <c r="Z10" s="11">
        <f t="shared" si="9"/>
        <v>72.408667095115675</v>
      </c>
      <c r="AA10" s="7">
        <v>2195</v>
      </c>
      <c r="AB10" s="15">
        <f>IFERROR(AA10/1980,0)</f>
        <v>1.1085858585858586</v>
      </c>
      <c r="AC10" s="11">
        <v>0</v>
      </c>
      <c r="AD10" s="15">
        <f>IFERROR(AC10/65.2,0)</f>
        <v>0</v>
      </c>
      <c r="AE10" s="11">
        <v>15</v>
      </c>
      <c r="AF10" s="11">
        <v>24</v>
      </c>
      <c r="AG10" s="7">
        <f t="shared" si="10"/>
        <v>1631.0399999999984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56</v>
      </c>
      <c r="C11" s="7"/>
      <c r="D11" s="7">
        <v>7</v>
      </c>
      <c r="E11" s="7">
        <v>4819</v>
      </c>
      <c r="F11" s="7">
        <v>4386</v>
      </c>
      <c r="G11" s="7">
        <v>11</v>
      </c>
      <c r="H11" s="9">
        <f t="shared" si="0"/>
        <v>2.5079799361605107E-3</v>
      </c>
      <c r="I11" s="9">
        <f>IFERROR((4819-F11)/4819,0)</f>
        <v>8.9852666528325381E-2</v>
      </c>
      <c r="J11" s="7">
        <v>27930</v>
      </c>
      <c r="K11" s="11">
        <f t="shared" si="1"/>
        <v>90.971272229822162</v>
      </c>
      <c r="L11" s="11">
        <f>K11-91.5234</f>
        <v>-0.5521277701778331</v>
      </c>
      <c r="M11" s="11">
        <v>86.5</v>
      </c>
      <c r="N11" s="11">
        <f t="shared" si="2"/>
        <v>4.4712722298221621</v>
      </c>
      <c r="O11" s="11">
        <f>IFERROR(1090396/4819,0)</f>
        <v>226.27018053538077</v>
      </c>
      <c r="P11" s="11">
        <v>234</v>
      </c>
      <c r="Q11" s="11">
        <f t="shared" si="3"/>
        <v>-7.7298194646192258</v>
      </c>
      <c r="R11" s="7">
        <v>4130</v>
      </c>
      <c r="S11" s="11">
        <f t="shared" si="4"/>
        <v>134.51892384860923</v>
      </c>
      <c r="T11" s="13">
        <f t="shared" si="5"/>
        <v>6.7627118644067794</v>
      </c>
      <c r="U11" s="7">
        <v>5040</v>
      </c>
      <c r="V11" s="11">
        <f t="shared" si="6"/>
        <v>164.15868673050616</v>
      </c>
      <c r="W11" s="11">
        <f t="shared" si="7"/>
        <v>1.2203389830508473</v>
      </c>
      <c r="X11" s="11">
        <v>362.76</v>
      </c>
      <c r="Y11" s="11">
        <f t="shared" si="8"/>
        <v>147.86967418546368</v>
      </c>
      <c r="Z11" s="11">
        <f t="shared" si="9"/>
        <v>53.641203007518804</v>
      </c>
      <c r="AA11" s="7">
        <v>2010</v>
      </c>
      <c r="AB11" s="15">
        <f>IFERROR(AA11/1960,0)</f>
        <v>1.0255102040816326</v>
      </c>
      <c r="AC11" s="11">
        <v>0</v>
      </c>
      <c r="AD11" s="15">
        <f>IFERROR(AC11/63.6,0)</f>
        <v>0</v>
      </c>
      <c r="AE11" s="11">
        <v>14</v>
      </c>
      <c r="AF11" s="11">
        <v>27</v>
      </c>
      <c r="AG11" s="7">
        <f t="shared" si="10"/>
        <v>1372.7700000000002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46205</v>
      </c>
      <c r="F12" s="17">
        <f>SUM(F6:F11)</f>
        <v>37150</v>
      </c>
      <c r="G12" s="17">
        <f>SUM(G6:G11)</f>
        <v>133</v>
      </c>
      <c r="H12" s="18">
        <f t="shared" si="0"/>
        <v>3.5800807537012115E-3</v>
      </c>
      <c r="I12" s="18"/>
      <c r="J12" s="17">
        <f>SUM(J6:J11)</f>
        <v>194010</v>
      </c>
      <c r="K12" s="19">
        <f t="shared" si="1"/>
        <v>74.604883676216119</v>
      </c>
      <c r="L12" s="19"/>
      <c r="M12" s="19">
        <f>IFERROR(SUMPRODUCT($F6:$F11,M6:M11)/$F12, 0)</f>
        <v>79.206621803499331</v>
      </c>
      <c r="N12" s="19">
        <f t="shared" si="2"/>
        <v>-4.6017381272832125</v>
      </c>
      <c r="O12" s="19">
        <f>IFERROR(SUMPRODUCT($E6:$E11,O6:O11)/$E12, 0)</f>
        <v>327.00196948382211</v>
      </c>
      <c r="P12" s="19">
        <f>IFERROR(SUMPRODUCT($E6:$E11,P6:P11)/$E12, 0)</f>
        <v>48.136998160372251</v>
      </c>
      <c r="Q12" s="19">
        <f>IFERROR(SUMPRODUCT($E6:$E11,Q6:Q11)/$E12, 0)</f>
        <v>278.86497132344982</v>
      </c>
      <c r="R12" s="17">
        <f>SUM(R6:R11)</f>
        <v>34152</v>
      </c>
      <c r="S12" s="19">
        <f>IFERROR(R12/D12/$F12*1000,0)</f>
        <v>131.32859065564315</v>
      </c>
      <c r="T12" s="20">
        <f t="shared" si="5"/>
        <v>5.6807800421644412</v>
      </c>
      <c r="U12" s="17">
        <f>SUM(U6:U11)</f>
        <v>15120</v>
      </c>
      <c r="V12" s="19">
        <f>IFERROR(U12/D12/$F12*1000,0)</f>
        <v>58.142664872139974</v>
      </c>
      <c r="W12" s="19">
        <f t="shared" si="7"/>
        <v>0.44272663387210115</v>
      </c>
      <c r="X12" s="19">
        <f>IFERROR(SUMPRODUCT(R6:R11,X6:X11)/R12,0)</f>
        <v>367.83293013586319</v>
      </c>
      <c r="Y12" s="19">
        <f>IFERROR(($F12*S12)/($F12*K12)*100,0)</f>
        <v>176.03216329055203</v>
      </c>
      <c r="Z12" s="19">
        <f t="shared" si="9"/>
        <v>64.750426421318494</v>
      </c>
      <c r="AA12" s="17"/>
      <c r="AB12" s="21">
        <f>IFERROR(SUMPRODUCT($F6:$F11,AB6:AB11)/$F12,0)</f>
        <v>0.5486512195318195</v>
      </c>
      <c r="AC12" s="19"/>
      <c r="AD12" s="21">
        <f>AVERAGE(AD6:AD11)</f>
        <v>0</v>
      </c>
      <c r="AE12" s="19"/>
      <c r="AF12" s="19"/>
      <c r="AG12" s="17">
        <f>SUM(AG6:AG11)</f>
        <v>-11966.819999999994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95</v>
      </c>
      <c r="C14" s="6">
        <v>32</v>
      </c>
      <c r="D14" s="6">
        <v>7</v>
      </c>
      <c r="E14" s="6">
        <v>21388</v>
      </c>
      <c r="F14" s="6">
        <v>15605</v>
      </c>
      <c r="G14" s="6">
        <v>83</v>
      </c>
      <c r="H14" s="8">
        <f t="shared" ref="H14:H31" si="12">IFERROR(G14/F14,0)</f>
        <v>5.3188080743351487E-3</v>
      </c>
      <c r="I14" s="8">
        <f>IFERROR((21388-F14)/21388,0)</f>
        <v>0.2703852627641668</v>
      </c>
      <c r="J14" s="6">
        <v>75190</v>
      </c>
      <c r="K14" s="10">
        <f t="shared" ref="K14:K31" si="13">IFERROR(J14/D14/F14*100,0)</f>
        <v>68.83324941639583</v>
      </c>
      <c r="L14" s="10">
        <f>K14-71.7928</f>
        <v>-2.9595505836041696</v>
      </c>
      <c r="M14" s="10">
        <v>74</v>
      </c>
      <c r="N14" s="10">
        <f t="shared" ref="N14:N31" si="14">K14-M14</f>
        <v>-5.1667505836041698</v>
      </c>
      <c r="O14" s="10">
        <f>IFERROR(6368850/21388,0)</f>
        <v>297.77679072377032</v>
      </c>
      <c r="P14" s="10">
        <v>0</v>
      </c>
      <c r="Q14" s="10">
        <f t="shared" ref="Q14:Q30" si="15">IFERROR(O14-P14,0)</f>
        <v>297.77679072377032</v>
      </c>
      <c r="R14" s="6">
        <v>11580</v>
      </c>
      <c r="S14" s="10">
        <f t="shared" ref="S14:S30" si="16">IFERROR(R14/D14/F14*1000,0)</f>
        <v>106.00997848674875</v>
      </c>
      <c r="T14" s="12">
        <f t="shared" ref="T14:T31" si="17">IFERROR(J14/R14,0)</f>
        <v>6.4930915371329876</v>
      </c>
      <c r="U14" s="6">
        <v>22660</v>
      </c>
      <c r="V14" s="10">
        <f t="shared" ref="V14:V30" si="18">IFERROR(U14/D14/F14*1000,0)</f>
        <v>207.44266947406967</v>
      </c>
      <c r="W14" s="10">
        <f t="shared" ref="W14:W31" si="19">IFERROR(V14/S14,0)</f>
        <v>1.9568221070811747</v>
      </c>
      <c r="X14" s="10">
        <v>317.82</v>
      </c>
      <c r="Y14" s="10">
        <f t="shared" ref="Y14:Y30" si="20">IFERROR((F14*S14)/(F14*K14)*100,0)</f>
        <v>154.00984173427318</v>
      </c>
      <c r="Z14" s="10">
        <f t="shared" ref="Z14:Z31" si="21">IFERROR(Y14*X14/1000,0)</f>
        <v>48.9474078999867</v>
      </c>
      <c r="AA14" s="6">
        <v>2030</v>
      </c>
      <c r="AB14" s="14">
        <f>IFERROR(AA14/1580,0)</f>
        <v>1.2848101265822784</v>
      </c>
      <c r="AC14" s="10">
        <v>0</v>
      </c>
      <c r="AD14" s="14">
        <f>IFERROR(AC14/63.7,0)</f>
        <v>0</v>
      </c>
      <c r="AE14" s="10">
        <v>19</v>
      </c>
      <c r="AF14" s="10">
        <v>26</v>
      </c>
      <c r="AG14" s="6">
        <f t="shared" ref="AG14:AG30" si="22">IF(M14=0,0,IFERROR(N14/100*7*F14,0))</f>
        <v>-5643.9000000000151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55</v>
      </c>
      <c r="C15" s="7"/>
      <c r="D15" s="7">
        <v>7</v>
      </c>
      <c r="E15" s="7">
        <v>10225</v>
      </c>
      <c r="F15" s="7">
        <v>7572</v>
      </c>
      <c r="G15" s="7">
        <v>126</v>
      </c>
      <c r="H15" s="9">
        <f t="shared" si="12"/>
        <v>1.664025356576862E-2</v>
      </c>
      <c r="I15" s="9">
        <f>IFERROR((10225-F15)/10225,0)</f>
        <v>0.25946210268948655</v>
      </c>
      <c r="J15" s="7">
        <v>38280</v>
      </c>
      <c r="K15" s="11">
        <f t="shared" si="13"/>
        <v>72.220964455512799</v>
      </c>
      <c r="L15" s="11">
        <f>K15-75.1587</f>
        <v>-2.9377355444871966</v>
      </c>
      <c r="M15" s="11">
        <v>87</v>
      </c>
      <c r="N15" s="11">
        <f t="shared" si="14"/>
        <v>-14.779035544487201</v>
      </c>
      <c r="O15" s="11">
        <f>IFERROR(1890930/10225,0)</f>
        <v>184.9320293398533</v>
      </c>
      <c r="P15" s="11">
        <v>228</v>
      </c>
      <c r="Q15" s="11">
        <f t="shared" si="15"/>
        <v>-43.067970660146699</v>
      </c>
      <c r="R15" s="7">
        <v>7430</v>
      </c>
      <c r="S15" s="11">
        <f t="shared" si="16"/>
        <v>140.1780997660554</v>
      </c>
      <c r="T15" s="13">
        <f t="shared" si="17"/>
        <v>5.1520861372812918</v>
      </c>
      <c r="U15" s="7">
        <v>12700</v>
      </c>
      <c r="V15" s="11">
        <f t="shared" si="18"/>
        <v>239.60455814655495</v>
      </c>
      <c r="W15" s="11">
        <f t="shared" si="19"/>
        <v>1.7092866756392999</v>
      </c>
      <c r="X15" s="11">
        <v>318.11857142859998</v>
      </c>
      <c r="Y15" s="11">
        <f t="shared" si="20"/>
        <v>194.09613375130613</v>
      </c>
      <c r="Z15" s="11">
        <f t="shared" si="21"/>
        <v>61.745584788779972</v>
      </c>
      <c r="AA15" s="7">
        <v>1970</v>
      </c>
      <c r="AB15" s="15">
        <f>IFERROR(AA15/1960,0)</f>
        <v>1.0051020408163265</v>
      </c>
      <c r="AC15" s="11">
        <v>0</v>
      </c>
      <c r="AD15" s="15">
        <f>IFERROR(AC15/63.5,0)</f>
        <v>0</v>
      </c>
      <c r="AE15" s="11">
        <v>13</v>
      </c>
      <c r="AF15" s="11">
        <v>26</v>
      </c>
      <c r="AG15" s="7">
        <f t="shared" si="22"/>
        <v>-7833.4799999999959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84</v>
      </c>
      <c r="C16" s="7"/>
      <c r="D16" s="7">
        <v>7</v>
      </c>
      <c r="E16" s="7">
        <v>56050</v>
      </c>
      <c r="F16" s="7">
        <v>54849</v>
      </c>
      <c r="G16" s="7">
        <v>468</v>
      </c>
      <c r="H16" s="9">
        <f t="shared" si="12"/>
        <v>8.532516545424711E-3</v>
      </c>
      <c r="I16" s="9">
        <f>IFERROR((56050-F16)/56050,0)</f>
        <v>2.1427297056199821E-2</v>
      </c>
      <c r="J16" s="7">
        <v>310880</v>
      </c>
      <c r="K16" s="11">
        <f t="shared" si="13"/>
        <v>80.970352370013259</v>
      </c>
      <c r="L16" s="11">
        <f>K16-87.2867</f>
        <v>-6.3163476299867369</v>
      </c>
      <c r="M16" s="11">
        <v>83.9</v>
      </c>
      <c r="N16" s="11">
        <f t="shared" si="14"/>
        <v>-2.9296476299867464</v>
      </c>
      <c r="O16" s="11">
        <f>IFERROR(21657981/56050,0)</f>
        <v>386.40465655664588</v>
      </c>
      <c r="P16" s="11">
        <v>393</v>
      </c>
      <c r="Q16" s="11">
        <f t="shared" si="15"/>
        <v>-6.5953434433541247</v>
      </c>
      <c r="R16" s="7">
        <v>45770</v>
      </c>
      <c r="S16" s="11">
        <f t="shared" si="16"/>
        <v>119.21040362762182</v>
      </c>
      <c r="T16" s="13">
        <f t="shared" si="17"/>
        <v>6.7922219794625303</v>
      </c>
      <c r="U16" s="7">
        <v>75700</v>
      </c>
      <c r="V16" s="11">
        <f t="shared" si="18"/>
        <v>197.16468329934389</v>
      </c>
      <c r="W16" s="11">
        <f t="shared" si="19"/>
        <v>1.6539217828271791</v>
      </c>
      <c r="X16" s="11">
        <v>327.71714285709999</v>
      </c>
      <c r="Y16" s="11">
        <f t="shared" si="20"/>
        <v>147.22722593926918</v>
      </c>
      <c r="Z16" s="11">
        <f t="shared" si="21"/>
        <v>48.24888583559401</v>
      </c>
      <c r="AA16" s="7">
        <v>1764</v>
      </c>
      <c r="AB16" s="15">
        <f>IFERROR(AA16/1725,0)</f>
        <v>1.0226086956521738</v>
      </c>
      <c r="AC16" s="11">
        <v>0</v>
      </c>
      <c r="AD16" s="15">
        <f>IFERROR(AC16/64.35,0)</f>
        <v>0</v>
      </c>
      <c r="AE16" s="11">
        <v>20</v>
      </c>
      <c r="AF16" s="11">
        <v>26</v>
      </c>
      <c r="AG16" s="7">
        <f t="shared" si="22"/>
        <v>-11248.177000000014</v>
      </c>
      <c r="AH16" s="7">
        <v>42</v>
      </c>
      <c r="AI16" s="7">
        <v>7.6190476189999998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IFERROR(1820/F16,0)</f>
        <v>3.3182008787762764E-2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77</v>
      </c>
      <c r="C17" s="7">
        <v>4</v>
      </c>
      <c r="D17" s="7">
        <v>7</v>
      </c>
      <c r="E17" s="7">
        <v>51536</v>
      </c>
      <c r="F17" s="7">
        <v>48417</v>
      </c>
      <c r="G17" s="7">
        <v>117</v>
      </c>
      <c r="H17" s="9">
        <f t="shared" si="12"/>
        <v>2.4165065989218662E-3</v>
      </c>
      <c r="I17" s="9">
        <f>IFERROR((51536-F17)/51536,0)</f>
        <v>6.0520800993480284E-2</v>
      </c>
      <c r="J17" s="7">
        <v>0</v>
      </c>
      <c r="K17" s="11">
        <f t="shared" si="13"/>
        <v>0</v>
      </c>
      <c r="L17" s="11">
        <f>K17-0</f>
        <v>0</v>
      </c>
      <c r="M17" s="11">
        <v>0</v>
      </c>
      <c r="N17" s="11">
        <f t="shared" si="14"/>
        <v>0</v>
      </c>
      <c r="O17" s="11">
        <f>IFERROR(16612442/51536,0)</f>
        <v>322.34635982614094</v>
      </c>
      <c r="P17" s="11">
        <v>0</v>
      </c>
      <c r="Q17" s="11">
        <f t="shared" si="15"/>
        <v>322.34635982614094</v>
      </c>
      <c r="R17" s="7">
        <v>37020</v>
      </c>
      <c r="S17" s="11">
        <f t="shared" si="16"/>
        <v>109.22963894027777</v>
      </c>
      <c r="T17" s="13">
        <f t="shared" si="17"/>
        <v>0</v>
      </c>
      <c r="U17" s="7">
        <v>60467</v>
      </c>
      <c r="V17" s="11">
        <f t="shared" si="18"/>
        <v>178.41136082662817</v>
      </c>
      <c r="W17" s="11">
        <f t="shared" si="19"/>
        <v>1.6333603457590489</v>
      </c>
      <c r="X17" s="11">
        <v>291.70285714289997</v>
      </c>
      <c r="Y17" s="11">
        <f t="shared" si="20"/>
        <v>0</v>
      </c>
      <c r="Z17" s="11">
        <f t="shared" si="21"/>
        <v>0</v>
      </c>
      <c r="AA17" s="7">
        <v>1565</v>
      </c>
      <c r="AB17" s="15">
        <f>IFERROR(AA17/1725,0)</f>
        <v>0.90724637681159426</v>
      </c>
      <c r="AC17" s="11">
        <v>0</v>
      </c>
      <c r="AD17" s="15">
        <f>IFERROR(AC17/64,0)</f>
        <v>0</v>
      </c>
      <c r="AE17" s="11">
        <v>22</v>
      </c>
      <c r="AF17" s="11">
        <v>26</v>
      </c>
      <c r="AG17" s="7">
        <f t="shared" si="22"/>
        <v>0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24</v>
      </c>
      <c r="C18" s="7"/>
      <c r="D18" s="7">
        <v>7</v>
      </c>
      <c r="E18" s="7">
        <v>49067</v>
      </c>
      <c r="F18" s="7">
        <v>48574</v>
      </c>
      <c r="G18" s="7">
        <v>86</v>
      </c>
      <c r="H18" s="9">
        <f t="shared" si="12"/>
        <v>1.7704945032321819E-3</v>
      </c>
      <c r="I18" s="9">
        <f>IFERROR((49067-F18)/49067,0)</f>
        <v>1.0047486090447755E-2</v>
      </c>
      <c r="J18" s="7">
        <v>305210</v>
      </c>
      <c r="K18" s="11">
        <f t="shared" si="13"/>
        <v>89.762894905563826</v>
      </c>
      <c r="L18" s="11">
        <f>K18-87.9514</f>
        <v>1.8114949055638192</v>
      </c>
      <c r="M18" s="11">
        <v>91.55</v>
      </c>
      <c r="N18" s="11">
        <f t="shared" si="14"/>
        <v>-1.7871050944361713</v>
      </c>
      <c r="O18" s="11">
        <f>IFERROR(1341710/49067,0)</f>
        <v>27.344447388265024</v>
      </c>
      <c r="P18" s="11">
        <v>27</v>
      </c>
      <c r="Q18" s="11">
        <f t="shared" si="15"/>
        <v>0.3444473882650243</v>
      </c>
      <c r="R18" s="7">
        <v>36701</v>
      </c>
      <c r="S18" s="11">
        <f t="shared" si="16"/>
        <v>107.93840326100383</v>
      </c>
      <c r="T18" s="13">
        <f t="shared" si="17"/>
        <v>8.3161221765074522</v>
      </c>
      <c r="U18" s="7">
        <v>61880</v>
      </c>
      <c r="V18" s="11">
        <f t="shared" si="18"/>
        <v>181.99036521595914</v>
      </c>
      <c r="W18" s="11">
        <f t="shared" si="19"/>
        <v>1.6860576006103376</v>
      </c>
      <c r="X18" s="11">
        <v>304.56571428569998</v>
      </c>
      <c r="Y18" s="11">
        <f t="shared" si="20"/>
        <v>120.24835359260837</v>
      </c>
      <c r="Z18" s="11">
        <f t="shared" si="21"/>
        <v>36.623525703612181</v>
      </c>
      <c r="AA18" s="7">
        <v>1503</v>
      </c>
      <c r="AB18" s="15">
        <f>IFERROR(AA18/1510,0)</f>
        <v>0.99536423841059607</v>
      </c>
      <c r="AC18" s="11">
        <v>0</v>
      </c>
      <c r="AD18" s="15">
        <f>IFERROR(AC18/53.1,0)</f>
        <v>0</v>
      </c>
      <c r="AE18" s="11">
        <v>23</v>
      </c>
      <c r="AF18" s="11">
        <v>26</v>
      </c>
      <c r="AG18" s="7">
        <f t="shared" si="22"/>
        <v>-6076.4789999999821</v>
      </c>
      <c r="AH18" s="7">
        <v>17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IFERROR(0/F18,0)</f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56</v>
      </c>
      <c r="C19" s="7"/>
      <c r="D19" s="7">
        <v>7</v>
      </c>
      <c r="E19" s="7">
        <v>52424</v>
      </c>
      <c r="F19" s="7">
        <v>45340</v>
      </c>
      <c r="G19" s="7">
        <v>472</v>
      </c>
      <c r="H19" s="9">
        <f t="shared" si="12"/>
        <v>1.0410233789148654E-2</v>
      </c>
      <c r="I19" s="9">
        <f>IFERROR((52424-F19)/52424,0)</f>
        <v>0.13512894857317259</v>
      </c>
      <c r="J19" s="7">
        <v>277420</v>
      </c>
      <c r="K19" s="11">
        <f t="shared" si="13"/>
        <v>87.409414581889223</v>
      </c>
      <c r="L19" s="11">
        <f>K19-89.5087</f>
        <v>-2.0992854181107816</v>
      </c>
      <c r="M19" s="11">
        <v>92.5</v>
      </c>
      <c r="N19" s="11">
        <f t="shared" si="14"/>
        <v>-5.090585418110777</v>
      </c>
      <c r="O19" s="11">
        <f>IFERROR(11270180/52424,0)</f>
        <v>214.98130627193652</v>
      </c>
      <c r="P19" s="11">
        <v>232</v>
      </c>
      <c r="Q19" s="11">
        <f t="shared" si="15"/>
        <v>-17.018693728063482</v>
      </c>
      <c r="R19" s="7">
        <v>36323</v>
      </c>
      <c r="S19" s="11">
        <f t="shared" si="16"/>
        <v>114.44640494044992</v>
      </c>
      <c r="T19" s="13">
        <f t="shared" si="17"/>
        <v>7.6375850012388842</v>
      </c>
      <c r="U19" s="7">
        <v>54797</v>
      </c>
      <c r="V19" s="11">
        <f t="shared" si="18"/>
        <v>172.65423152057468</v>
      </c>
      <c r="W19" s="11">
        <f t="shared" si="19"/>
        <v>1.50860336425956</v>
      </c>
      <c r="X19" s="11">
        <v>297.39142857140001</v>
      </c>
      <c r="Y19" s="11">
        <f t="shared" si="20"/>
        <v>130.93143969432626</v>
      </c>
      <c r="Z19" s="11">
        <f t="shared" si="21"/>
        <v>38.937887895605797</v>
      </c>
      <c r="AA19" s="7">
        <v>1654</v>
      </c>
      <c r="AB19" s="15">
        <f>IFERROR(AA19/1725,0)</f>
        <v>0.95884057971014491</v>
      </c>
      <c r="AC19" s="11">
        <v>61.32</v>
      </c>
      <c r="AD19" s="15">
        <f>IFERROR(AC19/63,0)</f>
        <v>0.97333333333333338</v>
      </c>
      <c r="AE19" s="11">
        <v>21</v>
      </c>
      <c r="AF19" s="11">
        <v>25</v>
      </c>
      <c r="AG19" s="7">
        <f t="shared" si="22"/>
        <v>-16156.499999999984</v>
      </c>
      <c r="AH19" s="7">
        <v>35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IFERROR(1400/F19,0)</f>
        <v>3.0877812086457873E-2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46</v>
      </c>
      <c r="C20" s="7"/>
      <c r="D20" s="7">
        <v>7</v>
      </c>
      <c r="E20" s="7">
        <v>50525</v>
      </c>
      <c r="F20" s="7">
        <v>47055</v>
      </c>
      <c r="G20" s="7">
        <v>413</v>
      </c>
      <c r="H20" s="9">
        <f t="shared" si="12"/>
        <v>8.7769631282541699E-3</v>
      </c>
      <c r="I20" s="9">
        <f>IFERROR((50525-F20)/50525,0)</f>
        <v>6.8678871845620978E-2</v>
      </c>
      <c r="J20" s="7">
        <v>288580</v>
      </c>
      <c r="K20" s="11">
        <f t="shared" si="13"/>
        <v>87.611761312749508</v>
      </c>
      <c r="L20" s="11">
        <f>K20-88.0232</f>
        <v>-0.41143868725049515</v>
      </c>
      <c r="M20" s="11">
        <v>91</v>
      </c>
      <c r="N20" s="11">
        <f t="shared" si="14"/>
        <v>-3.3882386872504924</v>
      </c>
      <c r="O20" s="11">
        <f>IFERROR(7970790/50525,0)</f>
        <v>157.759327065809</v>
      </c>
      <c r="P20" s="11">
        <v>171</v>
      </c>
      <c r="Q20" s="11">
        <f t="shared" si="15"/>
        <v>-13.240672934190997</v>
      </c>
      <c r="R20" s="7">
        <v>38344</v>
      </c>
      <c r="S20" s="11">
        <f t="shared" si="16"/>
        <v>116.41088695599373</v>
      </c>
      <c r="T20" s="13">
        <f t="shared" si="17"/>
        <v>7.5260796995618611</v>
      </c>
      <c r="U20" s="7">
        <v>68276</v>
      </c>
      <c r="V20" s="11">
        <f t="shared" si="18"/>
        <v>207.28327033714348</v>
      </c>
      <c r="W20" s="11">
        <f t="shared" si="19"/>
        <v>1.7806175672856253</v>
      </c>
      <c r="X20" s="11">
        <v>304.73</v>
      </c>
      <c r="Y20" s="11">
        <f t="shared" si="20"/>
        <v>132.87130085244993</v>
      </c>
      <c r="Z20" s="11">
        <f t="shared" si="21"/>
        <v>40.489871508767074</v>
      </c>
      <c r="AA20" s="7">
        <v>1707</v>
      </c>
      <c r="AB20" s="15">
        <f>IFERROR(AA20/1580,0)</f>
        <v>1.080379746835443</v>
      </c>
      <c r="AC20" s="11">
        <v>60.91</v>
      </c>
      <c r="AD20" s="15">
        <f>IFERROR(AC20/61.9,0)</f>
        <v>0.98400646203554121</v>
      </c>
      <c r="AE20" s="11">
        <v>21</v>
      </c>
      <c r="AF20" s="11">
        <v>26</v>
      </c>
      <c r="AG20" s="7">
        <f t="shared" si="22"/>
        <v>-11160.350000000035</v>
      </c>
      <c r="AH20" s="7">
        <v>35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IFERROR(980/F20,0)</f>
        <v>2.0826692168738711E-2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65</v>
      </c>
      <c r="C21" s="7"/>
      <c r="D21" s="7">
        <v>7</v>
      </c>
      <c r="E21" s="7">
        <v>50845</v>
      </c>
      <c r="F21" s="7">
        <v>47364</v>
      </c>
      <c r="G21" s="7">
        <v>140</v>
      </c>
      <c r="H21" s="9">
        <f t="shared" si="12"/>
        <v>2.9558314331559836E-3</v>
      </c>
      <c r="I21" s="9">
        <f>IFERROR((50845-F21)/50845,0)</f>
        <v>6.8462975710492674E-2</v>
      </c>
      <c r="J21" s="7">
        <v>290060</v>
      </c>
      <c r="K21" s="11">
        <f t="shared" si="13"/>
        <v>87.486578112369855</v>
      </c>
      <c r="L21" s="11">
        <f>K21-89.0391</f>
        <v>-1.5525218876301494</v>
      </c>
      <c r="M21" s="11">
        <v>89.95</v>
      </c>
      <c r="N21" s="11">
        <f t="shared" si="14"/>
        <v>-2.4634218876301475</v>
      </c>
      <c r="O21" s="11">
        <f>IFERROR(14322330/50845,0)</f>
        <v>281.68610482840006</v>
      </c>
      <c r="P21" s="11">
        <v>286</v>
      </c>
      <c r="Q21" s="11">
        <f t="shared" si="15"/>
        <v>-4.3138951715999383</v>
      </c>
      <c r="R21" s="7">
        <v>38627</v>
      </c>
      <c r="S21" s="11">
        <f t="shared" si="16"/>
        <v>116.50500078420018</v>
      </c>
      <c r="T21" s="13">
        <f t="shared" si="17"/>
        <v>7.5092551841975821</v>
      </c>
      <c r="U21" s="7">
        <v>66200</v>
      </c>
      <c r="V21" s="11">
        <f t="shared" si="18"/>
        <v>199.66942946421031</v>
      </c>
      <c r="W21" s="11">
        <f t="shared" si="19"/>
        <v>1.7138271157480518</v>
      </c>
      <c r="X21" s="11">
        <v>307.9014285714</v>
      </c>
      <c r="Y21" s="11">
        <f t="shared" si="20"/>
        <v>133.16899951734123</v>
      </c>
      <c r="Z21" s="11">
        <f t="shared" si="21"/>
        <v>41.00292519281345</v>
      </c>
      <c r="AA21" s="7">
        <v>1709</v>
      </c>
      <c r="AB21" s="15">
        <f>IFERROR(AA21/1725,0)</f>
        <v>0.99072463768115937</v>
      </c>
      <c r="AC21" s="11">
        <v>61.53</v>
      </c>
      <c r="AD21" s="15">
        <f>IFERROR(AC21/63.4,0)</f>
        <v>0.97050473186119879</v>
      </c>
      <c r="AE21" s="11">
        <v>21</v>
      </c>
      <c r="AF21" s="11">
        <v>25</v>
      </c>
      <c r="AG21" s="7">
        <f t="shared" si="22"/>
        <v>-8167.4260000000022</v>
      </c>
      <c r="AH21" s="7">
        <v>34</v>
      </c>
      <c r="AI21" s="7">
        <v>20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IFERROR(1400/F21,0)</f>
        <v>2.9558314331559834E-2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32</v>
      </c>
      <c r="C22" s="7"/>
      <c r="D22" s="7">
        <v>7</v>
      </c>
      <c r="E22" s="7">
        <v>21024</v>
      </c>
      <c r="F22" s="7">
        <v>20162</v>
      </c>
      <c r="G22" s="7">
        <v>95</v>
      </c>
      <c r="H22" s="9">
        <f t="shared" si="12"/>
        <v>4.7118341434381509E-3</v>
      </c>
      <c r="I22" s="9">
        <f>IFERROR((21024-F22)/21024,0)</f>
        <v>4.1000761035007612E-2</v>
      </c>
      <c r="J22" s="7">
        <v>99900</v>
      </c>
      <c r="K22" s="11">
        <f t="shared" si="13"/>
        <v>70.783794124732523</v>
      </c>
      <c r="L22" s="11">
        <f>K22-74.789</f>
        <v>-4.0052058752674782</v>
      </c>
      <c r="M22" s="11">
        <v>94.5</v>
      </c>
      <c r="N22" s="11">
        <f t="shared" si="14"/>
        <v>-23.716205875267477</v>
      </c>
      <c r="O22" s="11">
        <f>IFERROR(1040940/21024,0)</f>
        <v>49.511986301369866</v>
      </c>
      <c r="P22" s="11">
        <v>85</v>
      </c>
      <c r="Q22" s="11">
        <f t="shared" si="15"/>
        <v>-35.488013698630134</v>
      </c>
      <c r="R22" s="7">
        <v>17960</v>
      </c>
      <c r="S22" s="11">
        <f t="shared" si="16"/>
        <v>127.25494919721683</v>
      </c>
      <c r="T22" s="13">
        <f t="shared" si="17"/>
        <v>5.562360801781737</v>
      </c>
      <c r="U22" s="7">
        <v>22790</v>
      </c>
      <c r="V22" s="11">
        <f t="shared" si="18"/>
        <v>161.47774455482025</v>
      </c>
      <c r="W22" s="11">
        <f t="shared" si="19"/>
        <v>1.2689309576837418</v>
      </c>
      <c r="X22" s="11">
        <v>317.82</v>
      </c>
      <c r="Y22" s="11">
        <f t="shared" si="20"/>
        <v>179.7797797797798</v>
      </c>
      <c r="Z22" s="11">
        <f t="shared" si="21"/>
        <v>57.137609609609612</v>
      </c>
      <c r="AA22" s="7">
        <v>1870</v>
      </c>
      <c r="AB22" s="15">
        <f>IFERROR(AA22/1910,0)</f>
        <v>0.97905759162303663</v>
      </c>
      <c r="AC22" s="11">
        <v>0</v>
      </c>
      <c r="AD22" s="15">
        <f>IFERROR(AC22/61.3,0)</f>
        <v>0</v>
      </c>
      <c r="AE22" s="11">
        <v>19</v>
      </c>
      <c r="AF22" s="11">
        <v>26</v>
      </c>
      <c r="AG22" s="7">
        <f t="shared" si="22"/>
        <v>-33471.629999999997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56</v>
      </c>
      <c r="C23" s="7"/>
      <c r="D23" s="7">
        <v>7</v>
      </c>
      <c r="E23" s="7">
        <v>21875</v>
      </c>
      <c r="F23" s="7">
        <v>20599</v>
      </c>
      <c r="G23" s="7">
        <v>66</v>
      </c>
      <c r="H23" s="9">
        <f t="shared" si="12"/>
        <v>3.2040390310209233E-3</v>
      </c>
      <c r="I23" s="9">
        <f>IFERROR((21875-F23)/21875,0)</f>
        <v>5.8331428571428569E-2</v>
      </c>
      <c r="J23" s="7">
        <v>136760</v>
      </c>
      <c r="K23" s="11">
        <f t="shared" si="13"/>
        <v>94.845103437753579</v>
      </c>
      <c r="L23" s="11">
        <f>K23-89.8413</f>
        <v>5.0038034377535752</v>
      </c>
      <c r="M23" s="11">
        <v>86.5</v>
      </c>
      <c r="N23" s="11">
        <f t="shared" si="14"/>
        <v>8.3451034377535791</v>
      </c>
      <c r="O23" s="11">
        <f>IFERROR(5106710/21875,0)</f>
        <v>233.4496</v>
      </c>
      <c r="P23" s="11">
        <v>234</v>
      </c>
      <c r="Q23" s="11">
        <f t="shared" si="15"/>
        <v>-0.55039999999999623</v>
      </c>
      <c r="R23" s="7">
        <v>17400</v>
      </c>
      <c r="S23" s="11">
        <f t="shared" si="16"/>
        <v>120.6715998696192</v>
      </c>
      <c r="T23" s="13">
        <f t="shared" si="17"/>
        <v>7.8597701149425285</v>
      </c>
      <c r="U23" s="7">
        <v>26798</v>
      </c>
      <c r="V23" s="11">
        <f t="shared" si="18"/>
        <v>185.84813409804914</v>
      </c>
      <c r="W23" s="11">
        <f t="shared" si="19"/>
        <v>1.5401149425287355</v>
      </c>
      <c r="X23" s="11">
        <v>297.76571428570003</v>
      </c>
      <c r="Y23" s="11">
        <f t="shared" si="20"/>
        <v>127.2301842644048</v>
      </c>
      <c r="Z23" s="11">
        <f t="shared" si="21"/>
        <v>37.884786696191725</v>
      </c>
      <c r="AA23" s="7">
        <v>1994</v>
      </c>
      <c r="AB23" s="15">
        <f>IFERROR(AA23/1960,0)</f>
        <v>1.0173469387755103</v>
      </c>
      <c r="AC23" s="11">
        <v>65.22</v>
      </c>
      <c r="AD23" s="15">
        <f>IFERROR(AC23/63.6,0)</f>
        <v>1.0254716981132075</v>
      </c>
      <c r="AE23" s="11">
        <v>21</v>
      </c>
      <c r="AF23" s="11">
        <v>25</v>
      </c>
      <c r="AG23" s="7">
        <f t="shared" si="22"/>
        <v>12033.055000000018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IFERROR(595/F23,0)</f>
        <v>2.888489732511287E-2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67</v>
      </c>
      <c r="B24" s="5">
        <v>105</v>
      </c>
      <c r="C24" s="7">
        <v>48</v>
      </c>
      <c r="D24" s="7">
        <v>5</v>
      </c>
      <c r="E24" s="7">
        <v>51833</v>
      </c>
      <c r="F24" s="7">
        <v>0</v>
      </c>
      <c r="G24" s="7">
        <v>86</v>
      </c>
      <c r="H24" s="9">
        <f t="shared" si="12"/>
        <v>0</v>
      </c>
      <c r="I24" s="9">
        <f>IFERROR((51833-F24)/51833,0)</f>
        <v>1</v>
      </c>
      <c r="J24" s="7">
        <v>29240</v>
      </c>
      <c r="K24" s="11">
        <f t="shared" si="13"/>
        <v>0</v>
      </c>
      <c r="L24" s="11">
        <f>K24-44.7753</f>
        <v>-44.775300000000001</v>
      </c>
      <c r="M24" s="11">
        <v>66</v>
      </c>
      <c r="N24" s="11">
        <f t="shared" si="14"/>
        <v>-66</v>
      </c>
      <c r="O24" s="11">
        <f>IFERROR(22334968/51833,0)</f>
        <v>430.90247525707559</v>
      </c>
      <c r="P24" s="11">
        <v>0</v>
      </c>
      <c r="Q24" s="11">
        <f t="shared" si="15"/>
        <v>430.90247525707559</v>
      </c>
      <c r="R24" s="7">
        <v>7279</v>
      </c>
      <c r="S24" s="11">
        <f t="shared" si="16"/>
        <v>0</v>
      </c>
      <c r="T24" s="13">
        <f t="shared" si="17"/>
        <v>4.0170353070476716</v>
      </c>
      <c r="U24" s="7">
        <v>12929</v>
      </c>
      <c r="V24" s="11">
        <f t="shared" si="18"/>
        <v>0</v>
      </c>
      <c r="W24" s="11">
        <f t="shared" si="19"/>
        <v>0</v>
      </c>
      <c r="X24" s="11">
        <v>288.74</v>
      </c>
      <c r="Y24" s="11">
        <f t="shared" si="20"/>
        <v>0</v>
      </c>
      <c r="Z24" s="11">
        <f t="shared" si="21"/>
        <v>0</v>
      </c>
      <c r="AA24" s="7">
        <v>0</v>
      </c>
      <c r="AB24" s="15">
        <f>IFERROR(AA24/0,0)</f>
        <v>0</v>
      </c>
      <c r="AC24" s="11">
        <v>0</v>
      </c>
      <c r="AD24" s="15">
        <f>IFERROR(AC24/0,0)</f>
        <v>0</v>
      </c>
      <c r="AE24" s="11">
        <v>0</v>
      </c>
      <c r="AF24" s="11">
        <v>25</v>
      </c>
      <c r="AG24" s="7">
        <f t="shared" si="22"/>
        <v>0</v>
      </c>
      <c r="AH24" s="7">
        <v>7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IFERROR(600/F24,0)</f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81</v>
      </c>
      <c r="B25" s="5">
        <v>113</v>
      </c>
      <c r="C25" s="7">
        <v>47</v>
      </c>
      <c r="D25" s="7">
        <v>3</v>
      </c>
      <c r="E25" s="7">
        <v>21623</v>
      </c>
      <c r="F25" s="7">
        <v>17188</v>
      </c>
      <c r="G25" s="7">
        <v>43</v>
      </c>
      <c r="H25" s="9">
        <f t="shared" si="12"/>
        <v>2.5017454037700722E-3</v>
      </c>
      <c r="I25" s="9">
        <f>IFERROR((21623-F25)/21623,0)</f>
        <v>0.20510567451324979</v>
      </c>
      <c r="J25" s="7">
        <v>19980</v>
      </c>
      <c r="K25" s="11">
        <f t="shared" si="13"/>
        <v>38.747963695601584</v>
      </c>
      <c r="L25" s="11">
        <f>K25-58.0515</f>
        <v>-19.303536304398413</v>
      </c>
      <c r="M25" s="11">
        <v>65</v>
      </c>
      <c r="N25" s="11">
        <f t="shared" si="14"/>
        <v>-26.252036304398416</v>
      </c>
      <c r="O25" s="11">
        <f>IFERROR(9671915/21623,0)</f>
        <v>447.29755353096238</v>
      </c>
      <c r="P25" s="11">
        <v>0</v>
      </c>
      <c r="Q25" s="11">
        <f t="shared" si="15"/>
        <v>447.29755353096238</v>
      </c>
      <c r="R25" s="7">
        <v>3739</v>
      </c>
      <c r="S25" s="11">
        <f t="shared" si="16"/>
        <v>72.51182995888604</v>
      </c>
      <c r="T25" s="13">
        <f t="shared" si="17"/>
        <v>5.3436747793527681</v>
      </c>
      <c r="U25" s="7">
        <v>4237</v>
      </c>
      <c r="V25" s="11">
        <f t="shared" si="18"/>
        <v>82.169730819951894</v>
      </c>
      <c r="W25" s="11">
        <f t="shared" si="19"/>
        <v>1.1331906926985824</v>
      </c>
      <c r="X25" s="11">
        <v>283.75</v>
      </c>
      <c r="Y25" s="11">
        <f t="shared" si="20"/>
        <v>187.13713713713713</v>
      </c>
      <c r="Z25" s="11">
        <f t="shared" si="21"/>
        <v>53.100162662662662</v>
      </c>
      <c r="AA25" s="7">
        <v>0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20</v>
      </c>
      <c r="AF25" s="11">
        <v>26</v>
      </c>
      <c r="AG25" s="7">
        <f t="shared" si="22"/>
        <v>-31585.4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IFERROR(160/F25,0)</f>
        <v>9.3088201070514309E-3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68</v>
      </c>
      <c r="B26" s="5">
        <v>46</v>
      </c>
      <c r="C26" s="7"/>
      <c r="D26" s="7">
        <v>7</v>
      </c>
      <c r="E26" s="7">
        <v>21339</v>
      </c>
      <c r="F26" s="7">
        <v>20451</v>
      </c>
      <c r="G26" s="7">
        <v>69</v>
      </c>
      <c r="H26" s="9">
        <f t="shared" si="12"/>
        <v>3.3739181458119407E-3</v>
      </c>
      <c r="I26" s="9">
        <f>IFERROR((21339-F26)/21339,0)</f>
        <v>4.1613946295515257E-2</v>
      </c>
      <c r="J26" s="7">
        <v>142020</v>
      </c>
      <c r="K26" s="11">
        <f t="shared" si="13"/>
        <v>99.205767094867866</v>
      </c>
      <c r="L26" s="11">
        <f>K26-89.599</f>
        <v>9.6067670948678625</v>
      </c>
      <c r="M26" s="11">
        <v>90</v>
      </c>
      <c r="N26" s="11">
        <f t="shared" si="14"/>
        <v>9.2057670948678663</v>
      </c>
      <c r="O26" s="11">
        <f>IFERROR(3529130/21339,0)</f>
        <v>165.38403861474296</v>
      </c>
      <c r="P26" s="11">
        <v>174</v>
      </c>
      <c r="Q26" s="11">
        <f t="shared" si="15"/>
        <v>-8.6159613852570374</v>
      </c>
      <c r="R26" s="7">
        <v>17390</v>
      </c>
      <c r="S26" s="11">
        <f t="shared" si="16"/>
        <v>121.47502392478188</v>
      </c>
      <c r="T26" s="13">
        <f t="shared" si="17"/>
        <v>8.1667625071880394</v>
      </c>
      <c r="U26" s="7">
        <v>34137</v>
      </c>
      <c r="V26" s="11">
        <f t="shared" si="18"/>
        <v>238.4584756595905</v>
      </c>
      <c r="W26" s="11">
        <f t="shared" si="19"/>
        <v>1.963024726854514</v>
      </c>
      <c r="X26" s="11">
        <v>286.50285714289998</v>
      </c>
      <c r="Y26" s="11">
        <f t="shared" si="20"/>
        <v>122.44754259963386</v>
      </c>
      <c r="Z26" s="11">
        <f t="shared" si="21"/>
        <v>35.081570804922066</v>
      </c>
      <c r="AA26" s="7">
        <v>1886</v>
      </c>
      <c r="AB26" s="15">
        <f>IFERROR(AA26/1950,0)</f>
        <v>0.96717948717948721</v>
      </c>
      <c r="AC26" s="11">
        <v>64.41</v>
      </c>
      <c r="AD26" s="15">
        <f>IFERROR(AC26/63,0)</f>
        <v>1.0223809523809524</v>
      </c>
      <c r="AE26" s="11">
        <v>21</v>
      </c>
      <c r="AF26" s="11">
        <v>26</v>
      </c>
      <c r="AG26" s="7">
        <f t="shared" si="22"/>
        <v>13178.69999999999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IFERROR(490/F26,0)</f>
        <v>2.3959708571707986E-2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69</v>
      </c>
      <c r="B27" s="5">
        <v>33</v>
      </c>
      <c r="C27" s="7"/>
      <c r="D27" s="7">
        <v>7</v>
      </c>
      <c r="E27" s="7">
        <v>64976</v>
      </c>
      <c r="F27" s="7">
        <v>63255</v>
      </c>
      <c r="G27" s="7">
        <v>95</v>
      </c>
      <c r="H27" s="9">
        <f t="shared" si="12"/>
        <v>1.5018575606671409E-3</v>
      </c>
      <c r="I27" s="9">
        <f>IFERROR((64976-F27)/64976,0)</f>
        <v>2.6486702782565871E-2</v>
      </c>
      <c r="J27" s="7">
        <v>416760</v>
      </c>
      <c r="K27" s="11">
        <f t="shared" si="13"/>
        <v>94.12242962159965</v>
      </c>
      <c r="L27" s="11">
        <f>K27-94.297</f>
        <v>-0.17457037840034673</v>
      </c>
      <c r="M27" s="11">
        <v>95</v>
      </c>
      <c r="N27" s="11">
        <f t="shared" si="14"/>
        <v>-0.87757037840034968</v>
      </c>
      <c r="O27" s="11">
        <f>IFERROR(5678620/64976,0)</f>
        <v>87.395653779857184</v>
      </c>
      <c r="P27" s="11">
        <v>87</v>
      </c>
      <c r="Q27" s="11">
        <f t="shared" si="15"/>
        <v>0.39565377985718442</v>
      </c>
      <c r="R27" s="7">
        <v>52880</v>
      </c>
      <c r="S27" s="11">
        <f t="shared" si="16"/>
        <v>119.42590647831341</v>
      </c>
      <c r="T27" s="13">
        <f t="shared" si="17"/>
        <v>7.8812405446293496</v>
      </c>
      <c r="U27" s="7">
        <v>96290</v>
      </c>
      <c r="V27" s="11">
        <f t="shared" si="18"/>
        <v>217.4644579197579</v>
      </c>
      <c r="W27" s="11">
        <f t="shared" si="19"/>
        <v>1.8209152798789712</v>
      </c>
      <c r="X27" s="11">
        <v>297.81285714289999</v>
      </c>
      <c r="Y27" s="11">
        <f t="shared" si="20"/>
        <v>126.88357807851042</v>
      </c>
      <c r="Z27" s="11">
        <f t="shared" si="21"/>
        <v>37.787560912075421</v>
      </c>
      <c r="AA27" s="7">
        <v>1626</v>
      </c>
      <c r="AB27" s="15">
        <f>IFERROR(AA27/1550,0)</f>
        <v>1.0490322580645162</v>
      </c>
      <c r="AC27" s="11">
        <v>0</v>
      </c>
      <c r="AD27" s="15">
        <f>IFERROR(AC27/59,0)</f>
        <v>0</v>
      </c>
      <c r="AE27" s="11">
        <v>20</v>
      </c>
      <c r="AF27" s="11">
        <v>26</v>
      </c>
      <c r="AG27" s="7">
        <f t="shared" si="22"/>
        <v>-3885.7499999999882</v>
      </c>
      <c r="AH27" s="7">
        <v>24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x14ac:dyDescent="0.3">
      <c r="A28" s="5" t="s">
        <v>70</v>
      </c>
      <c r="B28" s="5">
        <v>104</v>
      </c>
      <c r="C28" s="7">
        <v>32</v>
      </c>
      <c r="D28" s="7">
        <v>7</v>
      </c>
      <c r="E28" s="7">
        <v>47224</v>
      </c>
      <c r="F28" s="7">
        <v>40621</v>
      </c>
      <c r="G28" s="7">
        <v>267</v>
      </c>
      <c r="H28" s="9">
        <f t="shared" si="12"/>
        <v>6.5729548755569783E-3</v>
      </c>
      <c r="I28" s="9">
        <f>IFERROR((47224-F28)/47224,0)</f>
        <v>0.13982297137048957</v>
      </c>
      <c r="J28" s="7">
        <v>154300</v>
      </c>
      <c r="K28" s="11">
        <f t="shared" si="13"/>
        <v>54.264683643576326</v>
      </c>
      <c r="L28" s="11">
        <f>K28-56.1813</f>
        <v>-1.916616356423674</v>
      </c>
      <c r="M28" s="11">
        <v>71</v>
      </c>
      <c r="N28" s="11">
        <f t="shared" si="14"/>
        <v>-16.735316356423674</v>
      </c>
      <c r="O28" s="11">
        <f>IFERROR(18431400/47224,0)</f>
        <v>390.29730645434523</v>
      </c>
      <c r="P28" s="11">
        <v>0</v>
      </c>
      <c r="Q28" s="11">
        <f t="shared" si="15"/>
        <v>390.29730645434523</v>
      </c>
      <c r="R28" s="7">
        <v>34440</v>
      </c>
      <c r="S28" s="11">
        <f t="shared" si="16"/>
        <v>121.11961793161173</v>
      </c>
      <c r="T28" s="13">
        <f t="shared" si="17"/>
        <v>4.4802555168408826</v>
      </c>
      <c r="U28" s="7">
        <v>57100</v>
      </c>
      <c r="V28" s="11">
        <f t="shared" si="18"/>
        <v>200.81098094933304</v>
      </c>
      <c r="W28" s="11">
        <f t="shared" si="19"/>
        <v>1.6579558652729385</v>
      </c>
      <c r="X28" s="11">
        <v>293.5457142857</v>
      </c>
      <c r="Y28" s="11">
        <f t="shared" si="20"/>
        <v>223.20155541153599</v>
      </c>
      <c r="Z28" s="11">
        <f t="shared" si="21"/>
        <v>65.519860012958588</v>
      </c>
      <c r="AA28" s="7">
        <v>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15</v>
      </c>
      <c r="AF28" s="11">
        <v>26</v>
      </c>
      <c r="AG28" s="7">
        <f t="shared" si="22"/>
        <v>-47586.370000000024</v>
      </c>
      <c r="AH28" s="7">
        <v>50</v>
      </c>
      <c r="AI28" s="7">
        <v>20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24</v>
      </c>
      <c r="C29" s="7"/>
      <c r="D29" s="7">
        <v>7</v>
      </c>
      <c r="E29" s="7">
        <v>24546</v>
      </c>
      <c r="F29" s="7">
        <v>24292</v>
      </c>
      <c r="G29" s="7">
        <v>63</v>
      </c>
      <c r="H29" s="9">
        <f t="shared" si="12"/>
        <v>2.5934464021076897E-3</v>
      </c>
      <c r="I29" s="9">
        <f>IFERROR((24546-F29)/24546,0)</f>
        <v>1.0347918194410494E-2</v>
      </c>
      <c r="J29" s="7">
        <v>151340</v>
      </c>
      <c r="K29" s="11">
        <f t="shared" si="13"/>
        <v>89.000493989790868</v>
      </c>
      <c r="L29" s="11">
        <f>K29-85.8023</f>
        <v>3.198193989790866</v>
      </c>
      <c r="M29" s="11">
        <v>92.5</v>
      </c>
      <c r="N29" s="11">
        <f t="shared" si="14"/>
        <v>-3.4995060102091315</v>
      </c>
      <c r="O29" s="11">
        <f>IFERROR(630040/24546,0)</f>
        <v>25.667725902387353</v>
      </c>
      <c r="P29" s="11">
        <v>27</v>
      </c>
      <c r="Q29" s="11">
        <f t="shared" si="15"/>
        <v>-1.3322740976126468</v>
      </c>
      <c r="R29" s="7">
        <v>17960</v>
      </c>
      <c r="S29" s="11">
        <f t="shared" si="16"/>
        <v>105.61972195431771</v>
      </c>
      <c r="T29" s="13">
        <f t="shared" si="17"/>
        <v>8.4265033407572378</v>
      </c>
      <c r="U29" s="7">
        <v>29700</v>
      </c>
      <c r="V29" s="11">
        <f t="shared" si="18"/>
        <v>174.66067606031382</v>
      </c>
      <c r="W29" s="11">
        <f t="shared" si="19"/>
        <v>1.6536748329621382</v>
      </c>
      <c r="X29" s="11">
        <v>301.1757142857</v>
      </c>
      <c r="Y29" s="11">
        <f t="shared" si="20"/>
        <v>118.67318620325096</v>
      </c>
      <c r="Z29" s="11">
        <f t="shared" si="21"/>
        <v>35.741481621323992</v>
      </c>
      <c r="AA29" s="7">
        <v>1507</v>
      </c>
      <c r="AB29" s="15">
        <f>IFERROR(AA29/1480,0)</f>
        <v>1.0182432432432433</v>
      </c>
      <c r="AC29" s="11">
        <v>0</v>
      </c>
      <c r="AD29" s="15">
        <f>IFERROR(AC29/52.6,0)</f>
        <v>0</v>
      </c>
      <c r="AE29" s="11">
        <v>15</v>
      </c>
      <c r="AF29" s="11">
        <v>26</v>
      </c>
      <c r="AG29" s="7">
        <f t="shared" si="22"/>
        <v>-5950.7000000000162</v>
      </c>
      <c r="AH29" s="7">
        <v>37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IFERROR(0/F29,0)</f>
        <v>0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24</v>
      </c>
      <c r="C30" s="7"/>
      <c r="D30" s="7">
        <v>7</v>
      </c>
      <c r="E30" s="7">
        <v>12056</v>
      </c>
      <c r="F30" s="7">
        <v>11915</v>
      </c>
      <c r="G30" s="7">
        <v>20</v>
      </c>
      <c r="H30" s="9">
        <f t="shared" si="12"/>
        <v>1.6785564414603441E-3</v>
      </c>
      <c r="I30" s="9">
        <f>IFERROR((12056-F30)/12056,0)</f>
        <v>1.1695421366954215E-2</v>
      </c>
      <c r="J30" s="7">
        <v>75900</v>
      </c>
      <c r="K30" s="11">
        <f t="shared" si="13"/>
        <v>91.001738504885793</v>
      </c>
      <c r="L30" s="11">
        <f>K30-89.8438</f>
        <v>1.1579385048857915</v>
      </c>
      <c r="M30" s="11">
        <v>93.5</v>
      </c>
      <c r="N30" s="11">
        <f t="shared" si="14"/>
        <v>-2.4982614951142068</v>
      </c>
      <c r="O30" s="11">
        <f>IFERROR(400190/12056,0)</f>
        <v>33.194260119442603</v>
      </c>
      <c r="P30" s="11">
        <v>32</v>
      </c>
      <c r="Q30" s="11">
        <f t="shared" si="15"/>
        <v>1.1942601194426032</v>
      </c>
      <c r="R30" s="7">
        <v>9490</v>
      </c>
      <c r="S30" s="11">
        <f t="shared" si="16"/>
        <v>113.78214735327619</v>
      </c>
      <c r="T30" s="13">
        <f t="shared" si="17"/>
        <v>7.9978925184404632</v>
      </c>
      <c r="U30" s="7">
        <v>14500</v>
      </c>
      <c r="V30" s="11">
        <f t="shared" si="18"/>
        <v>173.85048857982136</v>
      </c>
      <c r="W30" s="11">
        <f t="shared" si="19"/>
        <v>1.5279241306638567</v>
      </c>
      <c r="X30" s="11">
        <v>299.97857142859999</v>
      </c>
      <c r="Y30" s="11">
        <f t="shared" si="20"/>
        <v>125.03293807641633</v>
      </c>
      <c r="Z30" s="11">
        <f t="shared" si="21"/>
        <v>37.507202145683969</v>
      </c>
      <c r="AA30" s="7">
        <v>1732</v>
      </c>
      <c r="AB30" s="15">
        <f>IFERROR(AA30/1840,0)</f>
        <v>0.94130434782608696</v>
      </c>
      <c r="AC30" s="11">
        <v>0</v>
      </c>
      <c r="AD30" s="15">
        <f>IFERROR(AC30/56.6,0)</f>
        <v>0</v>
      </c>
      <c r="AE30" s="11">
        <v>15</v>
      </c>
      <c r="AF30" s="11">
        <v>26</v>
      </c>
      <c r="AG30" s="7">
        <f t="shared" si="22"/>
        <v>-2083.6750000000043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IFERROR(0/F30,0)</f>
        <v>0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6.6470588235294121</v>
      </c>
      <c r="E31" s="17">
        <f>SUM(E14:E30)</f>
        <v>628556</v>
      </c>
      <c r="F31" s="17">
        <f>SUM(F14:F30)</f>
        <v>533259</v>
      </c>
      <c r="G31" s="17">
        <f>SUM(G14:G30)</f>
        <v>2709</v>
      </c>
      <c r="H31" s="18">
        <f t="shared" si="12"/>
        <v>5.0800830365732227E-3</v>
      </c>
      <c r="I31" s="18"/>
      <c r="J31" s="17">
        <f>SUM(J14:J30)</f>
        <v>2811820</v>
      </c>
      <c r="K31" s="19">
        <f t="shared" si="13"/>
        <v>79.326775195841577</v>
      </c>
      <c r="L31" s="19"/>
      <c r="M31" s="19">
        <f>IFERROR(SUMPRODUCT($F14:$F30,M14:M30)/$F31, 0)</f>
        <v>79.694806088598597</v>
      </c>
      <c r="N31" s="19">
        <f t="shared" si="14"/>
        <v>-0.3680308927570195</v>
      </c>
      <c r="O31" s="19">
        <f>IFERROR(SUMPRODUCT($E14:$E30,O14:O30)/$E31, 0)</f>
        <v>235.87258096335091</v>
      </c>
      <c r="P31" s="19">
        <f>IFERROR(SUMPRODUCT($E14:$E30,P14:P30)/$E31, 0)</f>
        <v>124.64727725135072</v>
      </c>
      <c r="Q31" s="19">
        <f>IFERROR(SUMPRODUCT($E14:$E30,Q14:Q30)/$E31, 0)</f>
        <v>111.2253037120002</v>
      </c>
      <c r="R31" s="17">
        <f>SUM(R14:R30)</f>
        <v>430333</v>
      </c>
      <c r="S31" s="19">
        <f>IFERROR(R31/D31/$F31*1000,0)</f>
        <v>121.40510114570668</v>
      </c>
      <c r="T31" s="20">
        <f t="shared" si="17"/>
        <v>6.5340561843967349</v>
      </c>
      <c r="U31" s="17">
        <f>SUM(U14:U30)</f>
        <v>721161</v>
      </c>
      <c r="V31" s="19">
        <f>IFERROR(U31/D31/$F31*1000,0)</f>
        <v>203.4531958909472</v>
      </c>
      <c r="W31" s="19">
        <f t="shared" si="19"/>
        <v>1.6758208178317722</v>
      </c>
      <c r="X31" s="19">
        <f>IFERROR(SUMPRODUCT(R14:R30,X14:X30)/R31,0)</f>
        <v>303.36605955985459</v>
      </c>
      <c r="Y31" s="19">
        <f>IFERROR(($F31*S31)/($F31*K31)*100,0)</f>
        <v>153.04429159761295</v>
      </c>
      <c r="Z31" s="19">
        <f t="shared" si="21"/>
        <v>46.428443680097203</v>
      </c>
      <c r="AA31" s="17"/>
      <c r="AB31" s="21">
        <f>IFERROR(SUMPRODUCT($F14:$F30,AB14:AB30)/$F31,0)</f>
        <v>0.90020633515591653</v>
      </c>
      <c r="AC31" s="19"/>
      <c r="AD31" s="21">
        <f>AVERAGE(AD14:AD30)</f>
        <v>0.29268806927789609</v>
      </c>
      <c r="AE31" s="19"/>
      <c r="AF31" s="19"/>
      <c r="AG31" s="17">
        <f>SUM(AG14:AG30)</f>
        <v>-165638.08200000008</v>
      </c>
      <c r="AH31" s="17">
        <f>SUM(AH14:AH30)</f>
        <v>281</v>
      </c>
      <c r="AI31" s="17">
        <f>IFERROR(SUMPRODUCT(AH14:AH30,AI14:AI30)/AH31, 0)</f>
        <v>18.1494661921637</v>
      </c>
      <c r="AJ31" s="19">
        <f>AVERAGE(AJ14:AJ30)</f>
        <v>0</v>
      </c>
      <c r="AK31" s="19">
        <f>AVERAGE(AK14:AK30)</f>
        <v>0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6.6700454256094677</v>
      </c>
      <c r="E33" s="23">
        <f>E12+E31</f>
        <v>674761</v>
      </c>
      <c r="F33" s="23">
        <f>F12+F31</f>
        <v>570409</v>
      </c>
      <c r="G33" s="23">
        <f>G12+G31</f>
        <v>2842</v>
      </c>
      <c r="H33" s="24">
        <f>IFERROR(G33/F33,0)</f>
        <v>4.9823898290524866E-3</v>
      </c>
      <c r="I33" s="23"/>
      <c r="J33" s="23">
        <f>J12+J31</f>
        <v>3005830</v>
      </c>
      <c r="K33" s="25">
        <f>IFERROR(J33/D33/F33*100,0)</f>
        <v>79.004031548544475</v>
      </c>
      <c r="L33" s="23"/>
      <c r="M33" s="25">
        <f>IFERROR($F$12/$F33*M$12,0)+IFERROR($F$31/$F33*M$31,0)</f>
        <v>79.663011277872542</v>
      </c>
      <c r="N33" s="25">
        <f>K33-M33</f>
        <v>-0.65897972932806681</v>
      </c>
      <c r="O33" s="23">
        <f>IFERROR($E$12/$E33*O$12,0)+IFERROR($E$31/$E33*O$31,0)</f>
        <v>242.11276585339107</v>
      </c>
      <c r="P33" s="23">
        <f>IFERROR($E$12/$E33*P$12,0)+IFERROR($E$31/$E33*P$31,0)</f>
        <v>119.40815192342177</v>
      </c>
      <c r="Q33" s="23">
        <f>IFERROR($E$12/$E33*Q$12,0)+IFERROR($E$31/$E33*Q$31,0)</f>
        <v>122.70461392996927</v>
      </c>
      <c r="R33" s="23">
        <f>R12+R31</f>
        <v>464485</v>
      </c>
      <c r="S33" s="25">
        <f>IFERROR(R33/D33/$F33*1000,0)</f>
        <v>122.08337661752554</v>
      </c>
      <c r="T33" s="26">
        <f>IFERROR(J33/R33,0)</f>
        <v>6.471317695942818</v>
      </c>
      <c r="U33" s="23">
        <f>U12+U31</f>
        <v>736281</v>
      </c>
      <c r="V33" s="25">
        <f>IFERROR(U33/D33/$F33*1000,0)</f>
        <v>193.5211484102357</v>
      </c>
      <c r="W33" s="25">
        <f>IFERROR(V33/S33,0)</f>
        <v>1.5851556024414137</v>
      </c>
      <c r="X33" s="25">
        <f>IFERROR($F$12/$F33*X$12,0)+IFERROR($F$31/$F33*X$31,0)</f>
        <v>307.56470341347313</v>
      </c>
      <c r="Y33" s="25">
        <f>IFERROR(($F33*S33)/($F33*K33)*100,0)</f>
        <v>154.52803385420998</v>
      </c>
      <c r="Z33" s="25">
        <f>IFERROR(Y33*X33/1000,0)</f>
        <v>47.527368901437228</v>
      </c>
      <c r="AA33" s="23"/>
      <c r="AB33" s="27"/>
      <c r="AC33" s="23"/>
      <c r="AD33" s="27"/>
      <c r="AE33" s="23"/>
      <c r="AF33" s="23"/>
      <c r="AG33" s="23">
        <f>AG12+AG31</f>
        <v>-177604.90200000009</v>
      </c>
      <c r="AH33" s="23">
        <f>AH12+AH31</f>
        <v>281</v>
      </c>
      <c r="AI33" s="23">
        <f>IFERROR(AH$12/AH33*AI$12,0)+IFERROR(AH$31/AH33*AI$31,0)</f>
        <v>18.1494661921637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58</v>
      </c>
      <c r="P36" s="32" t="s">
        <v>59</v>
      </c>
      <c r="Q36" s="32" t="s">
        <v>80</v>
      </c>
      <c r="R36" s="32" t="s">
        <v>60</v>
      </c>
      <c r="S36" s="32" t="s">
        <v>69</v>
      </c>
      <c r="T36" s="32" t="s">
        <v>61</v>
      </c>
      <c r="U36" s="32" t="s">
        <v>70</v>
      </c>
      <c r="V36" s="32" t="s">
        <v>71</v>
      </c>
      <c r="W36" s="32" t="s">
        <v>72</v>
      </c>
      <c r="X36" s="32" t="s">
        <v>62</v>
      </c>
      <c r="Y36" s="32" t="s">
        <v>66</v>
      </c>
      <c r="Z36" s="32" t="s">
        <v>67</v>
      </c>
      <c r="AA36" s="32" t="s">
        <v>81</v>
      </c>
      <c r="AB36" s="32" t="s">
        <v>63</v>
      </c>
      <c r="AC36" s="32" t="s">
        <v>68</v>
      </c>
      <c r="AD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>
        <v>5.7999999999999996E-3</v>
      </c>
      <c r="P37" s="8">
        <v>2.3999999999999998E-3</v>
      </c>
      <c r="Q37" s="8">
        <v>3.3999999999999998E-3</v>
      </c>
      <c r="R37" s="8">
        <v>1.6999999999999999E-3</v>
      </c>
      <c r="S37" s="8"/>
      <c r="T37" s="8">
        <v>2.5000000000000001E-3</v>
      </c>
      <c r="U37" s="8">
        <v>5.3E-3</v>
      </c>
      <c r="V37" s="8">
        <v>6.3E-3</v>
      </c>
      <c r="W37" s="8">
        <v>2.7000000000000001E-3</v>
      </c>
      <c r="X37" s="8">
        <v>1.5E-3</v>
      </c>
      <c r="Y37" s="8">
        <v>1.4E-3</v>
      </c>
      <c r="Z37" s="8">
        <v>2.8E-3</v>
      </c>
      <c r="AA37" s="8">
        <v>1.6999999999999999E-3</v>
      </c>
      <c r="AB37" s="8"/>
      <c r="AC37" s="8"/>
      <c r="AD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>
        <v>1.32E-2</v>
      </c>
      <c r="P38" s="9">
        <v>2.3999999999999998E-3</v>
      </c>
      <c r="Q38" s="9">
        <v>4.1999999999999997E-3</v>
      </c>
      <c r="R38" s="9">
        <v>1.6999999999999999E-3</v>
      </c>
      <c r="S38" s="9"/>
      <c r="T38" s="9">
        <v>2.5000000000000001E-3</v>
      </c>
      <c r="U38" s="9">
        <v>5.7999999999999996E-3</v>
      </c>
      <c r="V38" s="9">
        <v>3.5999999999999999E-3</v>
      </c>
      <c r="W38" s="9">
        <v>2.3E-3</v>
      </c>
      <c r="X38" s="9">
        <v>1.5E-3</v>
      </c>
      <c r="Y38" s="9">
        <v>1E-3</v>
      </c>
      <c r="Z38" s="9">
        <v>3.0000000000000001E-3</v>
      </c>
      <c r="AA38" s="9">
        <v>1.8E-3</v>
      </c>
      <c r="AB38" s="9"/>
      <c r="AC38" s="9"/>
      <c r="AD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>
        <v>9.7999999999999997E-3</v>
      </c>
      <c r="P39" s="9">
        <v>2.5000000000000001E-3</v>
      </c>
      <c r="Q39" s="9">
        <v>3.3E-3</v>
      </c>
      <c r="R39" s="9">
        <v>1.8E-3</v>
      </c>
      <c r="S39" s="9"/>
      <c r="T39" s="9">
        <v>2.5000000000000001E-3</v>
      </c>
      <c r="U39" s="9">
        <v>5.4999999999999997E-3</v>
      </c>
      <c r="V39" s="9">
        <v>3.5000000000000001E-3</v>
      </c>
      <c r="W39" s="9">
        <v>2.5000000000000001E-3</v>
      </c>
      <c r="X39" s="9">
        <v>1.6999999999999999E-3</v>
      </c>
      <c r="Y39" s="9">
        <v>6.9999999999999999E-4</v>
      </c>
      <c r="Z39" s="9">
        <v>2.8E-3</v>
      </c>
      <c r="AA39" s="9">
        <v>1.4E-3</v>
      </c>
      <c r="AB39" s="9"/>
      <c r="AC39" s="9"/>
      <c r="AD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>
        <v>7.3000000000000001E-3</v>
      </c>
      <c r="P40" s="9">
        <v>2.5000000000000001E-3</v>
      </c>
      <c r="Q40" s="9">
        <v>4.1000000000000003E-3</v>
      </c>
      <c r="R40" s="9">
        <v>1.6999999999999999E-3</v>
      </c>
      <c r="S40" s="9"/>
      <c r="T40" s="9">
        <v>2.5999999999999999E-3</v>
      </c>
      <c r="U40" s="9">
        <v>3.2000000000000002E-3</v>
      </c>
      <c r="V40" s="9">
        <v>3.7000000000000002E-3</v>
      </c>
      <c r="W40" s="9">
        <v>2.5000000000000001E-3</v>
      </c>
      <c r="X40" s="9">
        <v>1.6000000000000001E-3</v>
      </c>
      <c r="Y40" s="9">
        <v>8.9999999999999998E-4</v>
      </c>
      <c r="Z40" s="9">
        <v>3.5000000000000001E-3</v>
      </c>
      <c r="AA40" s="9">
        <v>1.6000000000000001E-3</v>
      </c>
      <c r="AB40" s="9"/>
      <c r="AC40" s="9"/>
      <c r="AD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>
        <v>4.5999999999999999E-3</v>
      </c>
      <c r="P41" s="9">
        <v>4.1000000000000003E-3</v>
      </c>
      <c r="Q41" s="9">
        <v>4.1000000000000003E-3</v>
      </c>
      <c r="R41" s="9">
        <v>1.6999999999999999E-3</v>
      </c>
      <c r="S41" s="9"/>
      <c r="T41" s="9">
        <v>2.3E-3</v>
      </c>
      <c r="U41" s="9">
        <v>2.2000000000000001E-3</v>
      </c>
      <c r="V41" s="9">
        <v>4.4000000000000003E-3</v>
      </c>
      <c r="W41" s="9">
        <v>2.3E-3</v>
      </c>
      <c r="X41" s="9">
        <v>1.6000000000000001E-3</v>
      </c>
      <c r="Y41" s="9">
        <v>8.9999999999999998E-4</v>
      </c>
      <c r="Z41" s="9">
        <v>3.0999999999999999E-3</v>
      </c>
      <c r="AA41" s="9">
        <v>1.5E-3</v>
      </c>
      <c r="AB41" s="9"/>
      <c r="AC41" s="9"/>
      <c r="AD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>
        <v>4.0000000000000001E-3</v>
      </c>
      <c r="P42" s="9">
        <v>2.7000000000000001E-3</v>
      </c>
      <c r="Q42" s="9">
        <v>3.8E-3</v>
      </c>
      <c r="R42" s="9">
        <v>1.5E-3</v>
      </c>
      <c r="S42" s="9"/>
      <c r="T42" s="9">
        <v>1.6999999999999999E-3</v>
      </c>
      <c r="U42" s="9">
        <v>3.0000000000000001E-3</v>
      </c>
      <c r="V42" s="9">
        <v>3.5999999999999999E-3</v>
      </c>
      <c r="W42" s="9">
        <v>1.8E-3</v>
      </c>
      <c r="X42" s="9">
        <v>8.9999999999999998E-4</v>
      </c>
      <c r="Y42" s="9">
        <v>5.9999999999999995E-4</v>
      </c>
      <c r="Z42" s="9">
        <v>1.6999999999999999E-3</v>
      </c>
      <c r="AA42" s="9">
        <v>1E-3</v>
      </c>
      <c r="AB42" s="9">
        <v>0</v>
      </c>
      <c r="AC42" s="9">
        <v>0</v>
      </c>
      <c r="AD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>
        <v>4.4999999999999997E-3</v>
      </c>
      <c r="P43" s="9">
        <v>2E-3</v>
      </c>
      <c r="Q43" s="9">
        <v>4.8999999999999998E-3</v>
      </c>
      <c r="R43" s="9">
        <v>1.4E-3</v>
      </c>
      <c r="S43" s="9"/>
      <c r="T43" s="9">
        <v>1.9E-3</v>
      </c>
      <c r="U43" s="9">
        <v>4.3E-3</v>
      </c>
      <c r="V43" s="9">
        <v>4.1999999999999997E-3</v>
      </c>
      <c r="W43" s="9">
        <v>4.4000000000000003E-3</v>
      </c>
      <c r="X43" s="9">
        <v>1.1000000000000001E-3</v>
      </c>
      <c r="Y43" s="9">
        <v>5.0000000000000001E-4</v>
      </c>
      <c r="Z43" s="9">
        <v>2.0999999999999999E-3</v>
      </c>
      <c r="AA43" s="9">
        <v>1.1999999999999999E-3</v>
      </c>
      <c r="AB43" s="9">
        <v>8.9999999999999998E-4</v>
      </c>
      <c r="AC43" s="9">
        <v>8.0000000000000004E-4</v>
      </c>
      <c r="AD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>
        <v>5.1999999999999998E-3</v>
      </c>
      <c r="P44" s="9">
        <v>1.9E-3</v>
      </c>
      <c r="Q44" s="9">
        <v>2.3999999999999998E-3</v>
      </c>
      <c r="R44" s="9">
        <v>1.2999999999999999E-3</v>
      </c>
      <c r="S44" s="9"/>
      <c r="T44" s="9">
        <v>1.9E-3</v>
      </c>
      <c r="U44" s="9">
        <v>3.0999999999999999E-3</v>
      </c>
      <c r="V44" s="9">
        <v>3.2000000000000002E-3</v>
      </c>
      <c r="W44" s="9">
        <v>2.3E-3</v>
      </c>
      <c r="X44" s="9">
        <v>1.1000000000000001E-3</v>
      </c>
      <c r="Y44" s="9">
        <v>5.0000000000000001E-4</v>
      </c>
      <c r="Z44" s="9">
        <v>2.8E-3</v>
      </c>
      <c r="AA44" s="9">
        <v>1.2999999999999999E-3</v>
      </c>
      <c r="AB44" s="9">
        <v>1.1999999999999999E-3</v>
      </c>
      <c r="AC44" s="9">
        <v>6.9999999999999999E-4</v>
      </c>
      <c r="AD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>
        <v>5.0000000000000001E-3</v>
      </c>
      <c r="P45" s="9">
        <v>2.7000000000000001E-3</v>
      </c>
      <c r="Q45" s="9">
        <v>4.8999999999999998E-3</v>
      </c>
      <c r="R45" s="9">
        <v>2E-3</v>
      </c>
      <c r="S45" s="9"/>
      <c r="T45" s="9">
        <v>2.5000000000000001E-3</v>
      </c>
      <c r="U45" s="9">
        <v>3.0999999999999999E-3</v>
      </c>
      <c r="V45" s="9">
        <v>4.5999999999999999E-3</v>
      </c>
      <c r="W45" s="9">
        <v>2.8E-3</v>
      </c>
      <c r="X45" s="9">
        <v>1.6999999999999999E-3</v>
      </c>
      <c r="Y45" s="9">
        <v>1E-3</v>
      </c>
      <c r="Z45" s="9">
        <v>3.5999999999999999E-3</v>
      </c>
      <c r="AA45" s="9">
        <v>1.6000000000000001E-3</v>
      </c>
      <c r="AB45" s="9">
        <v>2.3E-3</v>
      </c>
      <c r="AC45" s="9">
        <v>1.1999999999999999E-3</v>
      </c>
      <c r="AD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>
        <v>5.5999999999999999E-3</v>
      </c>
      <c r="P46" s="9">
        <v>2.8999999999999998E-3</v>
      </c>
      <c r="Q46" s="9">
        <v>4.1999999999999997E-3</v>
      </c>
      <c r="R46" s="9">
        <v>2.3E-3</v>
      </c>
      <c r="S46" s="9"/>
      <c r="T46" s="9">
        <v>2.5000000000000001E-3</v>
      </c>
      <c r="U46" s="9">
        <v>2.5999999999999999E-3</v>
      </c>
      <c r="V46" s="9">
        <v>3.3999999999999998E-3</v>
      </c>
      <c r="W46" s="9">
        <v>2.5000000000000001E-3</v>
      </c>
      <c r="X46" s="9">
        <v>2E-3</v>
      </c>
      <c r="Y46" s="9">
        <v>1E-3</v>
      </c>
      <c r="Z46" s="9">
        <v>3.5000000000000001E-3</v>
      </c>
      <c r="AA46" s="9">
        <v>1.6999999999999999E-3</v>
      </c>
      <c r="AB46" s="9">
        <v>1.6999999999999999E-3</v>
      </c>
      <c r="AC46" s="9">
        <v>1.6000000000000001E-3</v>
      </c>
      <c r="AD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>
        <v>3.5000000000000001E-3</v>
      </c>
      <c r="P47" s="9">
        <v>2.5000000000000001E-3</v>
      </c>
      <c r="Q47" s="9">
        <v>3.5000000000000001E-3</v>
      </c>
      <c r="R47" s="9">
        <v>2.3E-3</v>
      </c>
      <c r="S47" s="9"/>
      <c r="T47" s="9">
        <v>3.0000000000000001E-3</v>
      </c>
      <c r="U47" s="9">
        <v>2.3E-3</v>
      </c>
      <c r="V47" s="9">
        <v>3.0999999999999999E-3</v>
      </c>
      <c r="W47" s="9">
        <v>2.8E-3</v>
      </c>
      <c r="X47" s="9">
        <v>1.9E-3</v>
      </c>
      <c r="Y47" s="9">
        <v>8.9999999999999998E-4</v>
      </c>
      <c r="Z47" s="9">
        <v>3.5000000000000001E-3</v>
      </c>
      <c r="AA47" s="9">
        <v>1.5E-3</v>
      </c>
      <c r="AB47" s="9">
        <v>1.1000000000000001E-3</v>
      </c>
      <c r="AC47" s="9">
        <v>1.1999999999999999E-3</v>
      </c>
      <c r="AD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>
        <v>4.4000000000000003E-3</v>
      </c>
      <c r="P48" s="9">
        <v>3.7000000000000002E-3</v>
      </c>
      <c r="Q48" s="9">
        <v>3.2000000000000002E-3</v>
      </c>
      <c r="R48" s="9">
        <v>2.5999999999999999E-3</v>
      </c>
      <c r="S48" s="9"/>
      <c r="T48" s="9">
        <v>3.3999999999999998E-3</v>
      </c>
      <c r="U48" s="9">
        <v>2.5000000000000001E-3</v>
      </c>
      <c r="V48" s="9">
        <v>3.0999999999999999E-3</v>
      </c>
      <c r="W48" s="9">
        <v>3.2000000000000002E-3</v>
      </c>
      <c r="X48" s="9">
        <v>1.5E-3</v>
      </c>
      <c r="Y48" s="9">
        <v>8.0000000000000004E-4</v>
      </c>
      <c r="Z48" s="9">
        <v>3.8999999999999998E-3</v>
      </c>
      <c r="AA48" s="9">
        <v>3.5999999999999999E-3</v>
      </c>
      <c r="AB48" s="9">
        <v>1.1000000000000001E-3</v>
      </c>
      <c r="AC48" s="9">
        <v>1E-3</v>
      </c>
      <c r="AD48" s="9">
        <v>8.9999999999999998E-4</v>
      </c>
    </row>
    <row r="49" spans="2:30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>
        <v>5.3E-3</v>
      </c>
      <c r="P49" s="9">
        <v>2.5000000000000001E-3</v>
      </c>
      <c r="Q49" s="9">
        <v>3.8E-3</v>
      </c>
      <c r="R49" s="9">
        <v>3.0000000000000001E-3</v>
      </c>
      <c r="S49" s="9"/>
      <c r="T49" s="9">
        <v>3.5999999999999999E-3</v>
      </c>
      <c r="U49" s="9">
        <v>2.5000000000000001E-3</v>
      </c>
      <c r="V49" s="9">
        <v>3.5000000000000001E-3</v>
      </c>
      <c r="W49" s="9">
        <v>3.0999999999999999E-3</v>
      </c>
      <c r="X49" s="9">
        <v>2E-3</v>
      </c>
      <c r="Y49" s="9">
        <v>1.1000000000000001E-3</v>
      </c>
      <c r="Z49" s="9">
        <v>3.7000000000000002E-3</v>
      </c>
      <c r="AA49" s="9">
        <v>1.8E-3</v>
      </c>
      <c r="AB49" s="9">
        <v>1.6999999999999999E-3</v>
      </c>
      <c r="AC49" s="9">
        <v>8.9999999999999998E-4</v>
      </c>
      <c r="AD49" s="9">
        <v>1E-3</v>
      </c>
    </row>
    <row r="50" spans="2:30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>
        <v>3.8999999999999998E-3</v>
      </c>
      <c r="P50" s="9">
        <v>2.5000000000000001E-3</v>
      </c>
      <c r="Q50" s="9">
        <v>-1</v>
      </c>
      <c r="R50" s="9">
        <v>2.8E-3</v>
      </c>
      <c r="S50" s="9"/>
      <c r="T50" s="9">
        <v>3.5999999999999999E-3</v>
      </c>
      <c r="U50" s="9">
        <v>2.0999999999999999E-3</v>
      </c>
      <c r="V50" s="9">
        <v>3.2000000000000002E-3</v>
      </c>
      <c r="W50" s="9">
        <v>3.2000000000000002E-3</v>
      </c>
      <c r="X50" s="9">
        <v>2.3999999999999998E-3</v>
      </c>
      <c r="Y50" s="9">
        <v>1.1999999999999999E-3</v>
      </c>
      <c r="Z50" s="9">
        <v>4.7999999999999996E-3</v>
      </c>
      <c r="AA50" s="9">
        <v>1.6999999999999999E-3</v>
      </c>
      <c r="AB50" s="9">
        <v>1.6999999999999999E-3</v>
      </c>
      <c r="AC50" s="9">
        <v>1.1000000000000001E-3</v>
      </c>
      <c r="AD50" s="9">
        <v>1.1000000000000001E-3</v>
      </c>
    </row>
    <row r="51" spans="2:30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>
        <v>5.3E-3</v>
      </c>
      <c r="P51" s="9">
        <v>2.5000000000000001E-3</v>
      </c>
      <c r="Q51" s="9"/>
      <c r="R51" s="9">
        <v>2.5000000000000001E-3</v>
      </c>
      <c r="S51" s="9"/>
      <c r="T51" s="9">
        <v>3.7000000000000002E-3</v>
      </c>
      <c r="U51" s="9">
        <v>2.5999999999999999E-3</v>
      </c>
      <c r="V51" s="9">
        <v>2.8999999999999998E-3</v>
      </c>
      <c r="W51" s="9">
        <v>3.5999999999999999E-3</v>
      </c>
      <c r="X51" s="9">
        <v>2.5999999999999999E-3</v>
      </c>
      <c r="Y51" s="9">
        <v>8.0000000000000004E-4</v>
      </c>
      <c r="Z51" s="9">
        <v>3.7000000000000002E-3</v>
      </c>
      <c r="AA51" s="9">
        <v>1.9E-3</v>
      </c>
      <c r="AB51" s="9">
        <v>1.4E-3</v>
      </c>
      <c r="AC51" s="9">
        <v>8.9999999999999998E-4</v>
      </c>
      <c r="AD51" s="9">
        <v>1.4E-3</v>
      </c>
    </row>
    <row r="52" spans="2:30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>
        <v>5.0000000000000001E-3</v>
      </c>
      <c r="P52" s="9">
        <v>2.5000000000000001E-3</v>
      </c>
      <c r="Q52" s="9"/>
      <c r="R52" s="9">
        <v>2.8E-3</v>
      </c>
      <c r="S52" s="9"/>
      <c r="T52" s="9">
        <v>4.0000000000000001E-3</v>
      </c>
      <c r="U52" s="9">
        <v>2.3E-3</v>
      </c>
      <c r="V52" s="9">
        <v>3.0999999999999999E-3</v>
      </c>
      <c r="W52" s="9">
        <v>3.5999999999999999E-3</v>
      </c>
      <c r="X52" s="9">
        <v>3.3999999999999998E-3</v>
      </c>
      <c r="Y52" s="9">
        <v>1.1999999999999999E-3</v>
      </c>
      <c r="Z52" s="9">
        <v>4.3E-3</v>
      </c>
      <c r="AA52" s="9">
        <v>2.2000000000000001E-3</v>
      </c>
      <c r="AB52" s="9">
        <v>1.6000000000000001E-3</v>
      </c>
      <c r="AC52" s="9">
        <v>1.2999999999999999E-3</v>
      </c>
      <c r="AD52" s="9">
        <v>1.2999999999999999E-3</v>
      </c>
    </row>
    <row r="53" spans="2:30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>
        <v>8.2000000000000007E-3</v>
      </c>
      <c r="P53" s="9">
        <v>3.0999999999999999E-3</v>
      </c>
      <c r="Q53" s="9"/>
      <c r="R53" s="9">
        <v>2.8E-3</v>
      </c>
      <c r="S53" s="9"/>
      <c r="T53" s="9">
        <v>3.8999999999999998E-3</v>
      </c>
      <c r="U53" s="9">
        <v>2.8999999999999998E-3</v>
      </c>
      <c r="V53" s="9">
        <v>3.5999999999999999E-3</v>
      </c>
      <c r="W53" s="9">
        <v>2.7000000000000001E-3</v>
      </c>
      <c r="X53" s="9">
        <v>3.3E-3</v>
      </c>
      <c r="Y53" s="9">
        <v>8.9999999999999998E-4</v>
      </c>
      <c r="Z53" s="9">
        <v>4.1999999999999997E-3</v>
      </c>
      <c r="AA53" s="9">
        <v>2E-3</v>
      </c>
      <c r="AB53" s="9">
        <v>2.2000000000000001E-3</v>
      </c>
      <c r="AC53" s="9">
        <v>8.9999999999999998E-4</v>
      </c>
      <c r="AD53" s="9">
        <v>1.2999999999999999E-3</v>
      </c>
    </row>
    <row r="54" spans="2:30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>
        <v>4.8999999999999998E-3</v>
      </c>
      <c r="P54" s="9">
        <v>4.1999999999999997E-3</v>
      </c>
      <c r="Q54" s="9"/>
      <c r="R54" s="9">
        <v>3.0000000000000001E-3</v>
      </c>
      <c r="S54" s="9"/>
      <c r="T54" s="9">
        <v>4.1999999999999997E-3</v>
      </c>
      <c r="U54" s="9">
        <v>2.0999999999999999E-3</v>
      </c>
      <c r="V54" s="9">
        <v>3.3E-3</v>
      </c>
      <c r="W54" s="9">
        <v>3.7000000000000002E-3</v>
      </c>
      <c r="X54" s="9">
        <v>4.1999999999999997E-3</v>
      </c>
      <c r="Y54" s="9">
        <v>9.1999999999999998E-3</v>
      </c>
      <c r="Z54" s="9">
        <v>9.4000000000000004E-3</v>
      </c>
      <c r="AA54" s="9">
        <v>1.9E-3</v>
      </c>
      <c r="AB54" s="9">
        <v>1.8E-3</v>
      </c>
      <c r="AC54" s="9">
        <v>1.6000000000000001E-3</v>
      </c>
      <c r="AD54" s="9">
        <v>1.8E-3</v>
      </c>
    </row>
    <row r="55" spans="2:30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>
        <v>5.1999999999999998E-3</v>
      </c>
      <c r="P55" s="9">
        <v>3.2000000000000002E-3</v>
      </c>
      <c r="Q55" s="9"/>
      <c r="R55" s="9">
        <v>2.5999999999999999E-3</v>
      </c>
      <c r="S55" s="9">
        <v>1.1999999999999999E-3</v>
      </c>
      <c r="T55" s="9">
        <v>3.8999999999999998E-3</v>
      </c>
      <c r="U55" s="9">
        <v>3.3999999999999998E-3</v>
      </c>
      <c r="V55" s="9">
        <v>4.1000000000000003E-3</v>
      </c>
      <c r="W55" s="9">
        <v>3.5000000000000001E-3</v>
      </c>
      <c r="X55" s="9">
        <v>4.4999999999999997E-3</v>
      </c>
      <c r="Y55" s="9">
        <v>2E-3</v>
      </c>
      <c r="Z55" s="9">
        <v>4.8999999999999998E-3</v>
      </c>
      <c r="AA55" s="9">
        <v>3.0000000000000001E-3</v>
      </c>
      <c r="AB55" s="9">
        <v>1.9E-3</v>
      </c>
      <c r="AC55" s="9">
        <v>1E-3</v>
      </c>
      <c r="AD55" s="9">
        <v>2E-3</v>
      </c>
    </row>
    <row r="56" spans="2:30" x14ac:dyDescent="0.3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>
        <v>4.4000000000000003E-3</v>
      </c>
      <c r="P56" s="9">
        <v>3.5999999999999999E-3</v>
      </c>
      <c r="Q56" s="9"/>
      <c r="R56" s="9">
        <v>2.7000000000000001E-3</v>
      </c>
      <c r="S56" s="9">
        <v>1.1999999999999999E-3</v>
      </c>
      <c r="T56" s="9">
        <v>3.8E-3</v>
      </c>
      <c r="U56" s="9">
        <v>2.8E-3</v>
      </c>
      <c r="V56" s="9">
        <v>4.0000000000000001E-3</v>
      </c>
      <c r="W56" s="9">
        <v>2.3E-3</v>
      </c>
      <c r="X56" s="9">
        <v>4.3E-3</v>
      </c>
      <c r="Y56" s="9">
        <v>1.1999999999999999E-3</v>
      </c>
      <c r="Z56" s="9">
        <v>4.0000000000000001E-3</v>
      </c>
      <c r="AA56" s="9">
        <v>2.5000000000000001E-3</v>
      </c>
      <c r="AB56" s="9">
        <v>1.9E-3</v>
      </c>
      <c r="AC56" s="9">
        <v>1.4E-3</v>
      </c>
      <c r="AD56" s="9">
        <v>1.8E-3</v>
      </c>
    </row>
    <row r="57" spans="2:30" x14ac:dyDescent="0.3">
      <c r="B57" s="5">
        <v>202521</v>
      </c>
      <c r="C57" s="5"/>
      <c r="D57" s="9">
        <v>3.8E-3</v>
      </c>
      <c r="E57" s="9">
        <v>2.0999999999999999E-3</v>
      </c>
      <c r="F57" s="9">
        <v>3.8999999999999998E-3</v>
      </c>
      <c r="G57" s="9">
        <v>2.8999999999999998E-3</v>
      </c>
      <c r="H57" s="9">
        <v>1.9E-3</v>
      </c>
      <c r="I57" s="9">
        <v>2.8999999999999998E-3</v>
      </c>
      <c r="J57" s="9">
        <v>2.0000000000000001E-4</v>
      </c>
      <c r="K57" s="9">
        <v>2.7000000000000001E-3</v>
      </c>
      <c r="L57" s="9">
        <v>1.5E-3</v>
      </c>
      <c r="M57" s="9">
        <v>2E-3</v>
      </c>
      <c r="N57" s="9">
        <v>8.9999999999999998E-4</v>
      </c>
      <c r="O57" s="9">
        <v>5.7000000000000002E-3</v>
      </c>
      <c r="P57" s="9">
        <v>3.7000000000000002E-3</v>
      </c>
      <c r="Q57" s="9"/>
      <c r="R57" s="9">
        <v>3.0999999999999999E-3</v>
      </c>
      <c r="S57" s="9">
        <v>1.5E-3</v>
      </c>
      <c r="T57" s="9">
        <v>4.1000000000000003E-3</v>
      </c>
      <c r="U57" s="9">
        <v>2.3999999999999998E-3</v>
      </c>
      <c r="V57" s="9">
        <v>0</v>
      </c>
      <c r="W57" s="9">
        <v>0</v>
      </c>
      <c r="X57" s="9">
        <v>1.4200000000000001E-2</v>
      </c>
      <c r="Y57" s="9">
        <v>1.4E-3</v>
      </c>
      <c r="Z57" s="9">
        <v>3.8E-3</v>
      </c>
      <c r="AA57" s="9">
        <v>1.6999999999999999E-3</v>
      </c>
      <c r="AB57" s="9">
        <v>2.0999999999999999E-3</v>
      </c>
      <c r="AC57" s="9">
        <v>1.1000000000000001E-3</v>
      </c>
      <c r="AD57" s="9">
        <v>4.4000000000000003E-3</v>
      </c>
    </row>
    <row r="58" spans="2:30" x14ac:dyDescent="0.3">
      <c r="B58" s="5">
        <v>202522</v>
      </c>
      <c r="C58" s="5"/>
      <c r="D58" s="9">
        <v>2.7000000000000001E-3</v>
      </c>
      <c r="E58" s="9">
        <v>2.2000000000000001E-3</v>
      </c>
      <c r="F58" s="9">
        <v>2.8E-3</v>
      </c>
      <c r="G58" s="9">
        <v>2.3999999999999998E-3</v>
      </c>
      <c r="H58" s="9">
        <v>2E-3</v>
      </c>
      <c r="I58" s="9">
        <v>3.8999999999999998E-3</v>
      </c>
      <c r="J58" s="9">
        <v>6.9999999999999999E-4</v>
      </c>
      <c r="K58" s="9">
        <v>3.7000000000000002E-3</v>
      </c>
      <c r="L58" s="9">
        <v>2.2000000000000001E-3</v>
      </c>
      <c r="M58" s="9">
        <v>2.5000000000000001E-3</v>
      </c>
      <c r="N58" s="9">
        <v>2.2000000000000001E-3</v>
      </c>
      <c r="O58" s="9">
        <v>8.3999999999999995E-3</v>
      </c>
      <c r="P58" s="9">
        <v>3.3999999999999998E-3</v>
      </c>
      <c r="Q58" s="9"/>
      <c r="R58" s="9">
        <v>3.0000000000000001E-3</v>
      </c>
      <c r="S58" s="9">
        <v>1.6999999999999999E-3</v>
      </c>
      <c r="T58" s="9">
        <v>2.9999999999999997E-4</v>
      </c>
      <c r="U58" s="9">
        <v>3.2000000000000002E-3</v>
      </c>
      <c r="V58" s="9"/>
      <c r="W58" s="9"/>
      <c r="X58" s="9">
        <v>5.7999999999999996E-3</v>
      </c>
      <c r="Y58" s="9">
        <v>1.2999999999999999E-3</v>
      </c>
      <c r="Z58" s="9">
        <v>4.1000000000000003E-3</v>
      </c>
      <c r="AA58" s="9">
        <v>2.5000000000000001E-3</v>
      </c>
      <c r="AB58" s="9">
        <v>1.9E-3</v>
      </c>
      <c r="AC58" s="9">
        <v>1.1999999999999999E-3</v>
      </c>
      <c r="AD58" s="9">
        <v>2.3E-3</v>
      </c>
    </row>
    <row r="59" spans="2:30" x14ac:dyDescent="0.3">
      <c r="B59" s="5">
        <v>202523</v>
      </c>
      <c r="C59" s="5"/>
      <c r="D59" s="9">
        <v>3.0000000000000001E-3</v>
      </c>
      <c r="E59" s="9">
        <v>1.9E-3</v>
      </c>
      <c r="F59" s="9">
        <v>3.0999999999999999E-3</v>
      </c>
      <c r="G59" s="9">
        <v>1.6999999999999999E-3</v>
      </c>
      <c r="H59" s="9">
        <v>1.1000000000000001E-3</v>
      </c>
      <c r="I59" s="9">
        <v>1E-3</v>
      </c>
      <c r="J59" s="9">
        <v>2.2000000000000001E-3</v>
      </c>
      <c r="K59" s="9">
        <v>1.6999999999999999E-3</v>
      </c>
      <c r="L59" s="9">
        <v>4.7999999999999996E-3</v>
      </c>
      <c r="M59" s="9">
        <v>2.5000000000000001E-3</v>
      </c>
      <c r="N59" s="9">
        <v>5.1999999999999998E-3</v>
      </c>
      <c r="O59" s="9">
        <v>9.4999999999999998E-3</v>
      </c>
      <c r="P59" s="9">
        <v>3.5000000000000001E-3</v>
      </c>
      <c r="Q59" s="9"/>
      <c r="R59" s="9">
        <v>3.0000000000000001E-3</v>
      </c>
      <c r="S59" s="9">
        <v>1.9E-3</v>
      </c>
      <c r="T59" s="9"/>
      <c r="U59" s="9">
        <v>2.5999999999999999E-3</v>
      </c>
      <c r="V59" s="9"/>
      <c r="W59" s="9"/>
      <c r="X59" s="9">
        <v>3.8E-3</v>
      </c>
      <c r="Y59" s="9">
        <v>1.6000000000000001E-3</v>
      </c>
      <c r="Z59" s="9">
        <v>6.1999999999999998E-3</v>
      </c>
      <c r="AA59" s="9">
        <v>3.5000000000000001E-3</v>
      </c>
      <c r="AB59" s="9">
        <v>1.9E-3</v>
      </c>
      <c r="AC59" s="9">
        <v>1.4E-3</v>
      </c>
      <c r="AD59" s="9">
        <v>2.3999999999999998E-3</v>
      </c>
    </row>
    <row r="60" spans="2:30" x14ac:dyDescent="0.3">
      <c r="B60" s="5">
        <v>202524</v>
      </c>
      <c r="C60" s="5"/>
      <c r="D60" s="9">
        <v>3.3E-3</v>
      </c>
      <c r="E60" s="9">
        <v>2.5999999999999999E-3</v>
      </c>
      <c r="F60" s="9">
        <v>3.3E-3</v>
      </c>
      <c r="G60" s="9">
        <v>2.3999999999999998E-3</v>
      </c>
      <c r="H60" s="9">
        <v>2.0999999999999999E-3</v>
      </c>
      <c r="I60" s="9">
        <v>5.8999999999999999E-3</v>
      </c>
      <c r="J60" s="9">
        <v>3.0999999999999999E-3</v>
      </c>
      <c r="K60" s="9">
        <v>2.3999999999999998E-3</v>
      </c>
      <c r="L60" s="9">
        <v>3.3E-3</v>
      </c>
      <c r="M60" s="9">
        <v>5.1999999999999998E-3</v>
      </c>
      <c r="N60" s="9">
        <v>5.1000000000000004E-3</v>
      </c>
      <c r="O60" s="9">
        <v>8.9999999999999993E-3</v>
      </c>
      <c r="P60" s="9">
        <v>4.1999999999999997E-3</v>
      </c>
      <c r="Q60" s="9"/>
      <c r="R60" s="9">
        <v>2.8999999999999998E-3</v>
      </c>
      <c r="S60" s="9">
        <v>1.9E-3</v>
      </c>
      <c r="T60" s="9"/>
      <c r="U60" s="9">
        <v>2.5000000000000001E-3</v>
      </c>
      <c r="V60" s="9"/>
      <c r="W60" s="9"/>
      <c r="X60" s="9">
        <v>4.1999999999999997E-3</v>
      </c>
      <c r="Y60" s="9">
        <v>1.6000000000000001E-3</v>
      </c>
      <c r="Z60" s="9">
        <v>6.3E-3</v>
      </c>
      <c r="AA60" s="9">
        <v>3.0000000000000001E-3</v>
      </c>
      <c r="AB60" s="9">
        <v>2.3E-3</v>
      </c>
      <c r="AC60" s="9">
        <v>1.8E-3</v>
      </c>
      <c r="AD60" s="9">
        <v>2.0999999999999999E-3</v>
      </c>
    </row>
    <row r="61" spans="2:30" x14ac:dyDescent="0.3">
      <c r="B61" s="5">
        <v>202525</v>
      </c>
      <c r="C61" s="5"/>
      <c r="D61" s="9">
        <v>3.2000000000000002E-3</v>
      </c>
      <c r="E61" s="9">
        <v>2.8999999999999998E-3</v>
      </c>
      <c r="F61" s="9">
        <v>3.2000000000000002E-3</v>
      </c>
      <c r="G61" s="9">
        <v>2.0999999999999999E-3</v>
      </c>
      <c r="H61" s="9">
        <v>2.0999999999999999E-3</v>
      </c>
      <c r="I61" s="9">
        <v>6.8999999999999999E-3</v>
      </c>
      <c r="J61" s="9">
        <v>4.3E-3</v>
      </c>
      <c r="K61" s="9">
        <v>3.8999999999999998E-3</v>
      </c>
      <c r="L61" s="9">
        <v>4.4000000000000003E-3</v>
      </c>
      <c r="M61" s="9">
        <v>6.4000000000000003E-3</v>
      </c>
      <c r="N61" s="9">
        <v>4.4999999999999997E-3</v>
      </c>
      <c r="O61" s="9">
        <v>9.7000000000000003E-3</v>
      </c>
      <c r="P61" s="9">
        <v>3.3999999999999998E-3</v>
      </c>
      <c r="Q61" s="9"/>
      <c r="R61" s="9">
        <v>3.0000000000000001E-3</v>
      </c>
      <c r="S61" s="9">
        <v>1.9E-3</v>
      </c>
      <c r="T61" s="9"/>
      <c r="U61" s="9">
        <v>3.3999999999999998E-3</v>
      </c>
      <c r="V61" s="9"/>
      <c r="W61" s="9"/>
      <c r="X61" s="9">
        <v>5.0000000000000001E-3</v>
      </c>
      <c r="Y61" s="9">
        <v>1.1999999999999999E-3</v>
      </c>
      <c r="Z61" s="9">
        <v>3.5999999999999999E-3</v>
      </c>
      <c r="AA61" s="9">
        <v>3.0999999999999999E-3</v>
      </c>
      <c r="AB61" s="9">
        <v>2.8E-3</v>
      </c>
      <c r="AC61" s="9">
        <v>1.6999999999999999E-3</v>
      </c>
      <c r="AD61" s="9">
        <v>1.8E-3</v>
      </c>
    </row>
    <row r="62" spans="2:30" x14ac:dyDescent="0.3">
      <c r="B62" s="5">
        <v>202526</v>
      </c>
      <c r="C62" s="5"/>
      <c r="D62" s="9">
        <v>3.5000000000000001E-3</v>
      </c>
      <c r="E62" s="9">
        <v>2.3E-3</v>
      </c>
      <c r="F62" s="9">
        <v>3.5999999999999999E-3</v>
      </c>
      <c r="G62" s="9">
        <v>2E-3</v>
      </c>
      <c r="H62" s="9">
        <v>1.6000000000000001E-3</v>
      </c>
      <c r="I62" s="9">
        <v>7.0000000000000001E-3</v>
      </c>
      <c r="J62" s="9">
        <v>3.3999999999999998E-3</v>
      </c>
      <c r="K62" s="9">
        <v>2.5000000000000001E-3</v>
      </c>
      <c r="L62" s="9">
        <v>3.3E-3</v>
      </c>
      <c r="M62" s="9">
        <v>6.0000000000000001E-3</v>
      </c>
      <c r="N62" s="9">
        <v>2.7000000000000001E-3</v>
      </c>
      <c r="O62" s="9">
        <v>1.9300000000000001E-2</v>
      </c>
      <c r="P62" s="9">
        <v>3.2000000000000002E-3</v>
      </c>
      <c r="Q62" s="9"/>
      <c r="R62" s="9">
        <v>3.3E-3</v>
      </c>
      <c r="S62" s="9">
        <v>1.9E-3</v>
      </c>
      <c r="T62" s="9"/>
      <c r="U62" s="9">
        <v>3.5999999999999999E-3</v>
      </c>
      <c r="V62" s="9"/>
      <c r="W62" s="9"/>
      <c r="X62" s="9">
        <v>5.4999999999999997E-3</v>
      </c>
      <c r="Y62" s="9">
        <v>1.1999999999999999E-3</v>
      </c>
      <c r="Z62" s="9">
        <v>5.4999999999999997E-3</v>
      </c>
      <c r="AA62" s="9">
        <v>3.3E-3</v>
      </c>
      <c r="AB62" s="9">
        <v>3.0999999999999999E-3</v>
      </c>
      <c r="AC62" s="9">
        <v>1.6999999999999999E-3</v>
      </c>
      <c r="AD62" s="9">
        <v>2.2000000000000001E-3</v>
      </c>
    </row>
    <row r="63" spans="2:30" x14ac:dyDescent="0.3">
      <c r="B63" s="5">
        <v>202527</v>
      </c>
      <c r="C63" s="5"/>
      <c r="D63" s="9">
        <v>3.5000000000000001E-3</v>
      </c>
      <c r="E63" s="9">
        <v>2.7000000000000001E-3</v>
      </c>
      <c r="F63" s="9">
        <v>3.5999999999999999E-3</v>
      </c>
      <c r="G63" s="9">
        <v>1.5E-3</v>
      </c>
      <c r="H63" s="9">
        <v>2.2000000000000001E-3</v>
      </c>
      <c r="I63" s="9">
        <v>5.0000000000000001E-3</v>
      </c>
      <c r="J63" s="9">
        <v>4.4000000000000003E-3</v>
      </c>
      <c r="K63" s="9">
        <v>4.4999999999999997E-3</v>
      </c>
      <c r="L63" s="9">
        <v>3.5999999999999999E-3</v>
      </c>
      <c r="M63" s="9">
        <v>4.4000000000000003E-3</v>
      </c>
      <c r="N63" s="9">
        <v>1.4E-3</v>
      </c>
      <c r="O63" s="9">
        <v>2.12E-2</v>
      </c>
      <c r="P63" s="9">
        <v>4.1999999999999997E-3</v>
      </c>
      <c r="Q63" s="9"/>
      <c r="R63" s="9">
        <v>3.2000000000000002E-3</v>
      </c>
      <c r="S63" s="9">
        <v>1.9E-3</v>
      </c>
      <c r="T63" s="9"/>
      <c r="U63" s="9">
        <v>3.3999999999999998E-3</v>
      </c>
      <c r="V63" s="9"/>
      <c r="W63" s="9"/>
      <c r="X63" s="9">
        <v>5.7999999999999996E-3</v>
      </c>
      <c r="Y63" s="9">
        <v>1.1999999999999999E-3</v>
      </c>
      <c r="Z63" s="9">
        <v>6.3E-3</v>
      </c>
      <c r="AA63" s="9">
        <v>3.8999999999999998E-3</v>
      </c>
      <c r="AB63" s="9">
        <v>2.7000000000000001E-3</v>
      </c>
      <c r="AC63" s="9">
        <v>1.1999999999999999E-3</v>
      </c>
      <c r="AD63" s="9">
        <v>1.9E-3</v>
      </c>
    </row>
    <row r="64" spans="2:30" x14ac:dyDescent="0.3">
      <c r="B64" s="5">
        <v>202528</v>
      </c>
      <c r="C64" s="5"/>
      <c r="D64" s="9">
        <v>3.8E-3</v>
      </c>
      <c r="E64" s="9">
        <v>2.0999999999999999E-3</v>
      </c>
      <c r="F64" s="9">
        <v>3.8999999999999998E-3</v>
      </c>
      <c r="G64" s="9">
        <v>1.8E-3</v>
      </c>
      <c r="H64" s="9">
        <v>1.8E-3</v>
      </c>
      <c r="I64" s="9">
        <v>3.0000000000000001E-3</v>
      </c>
      <c r="J64" s="9">
        <v>1.9E-3</v>
      </c>
      <c r="K64" s="9">
        <v>2.5000000000000001E-3</v>
      </c>
      <c r="L64" s="9">
        <v>3.0999999999999999E-3</v>
      </c>
      <c r="M64" s="9">
        <v>5.7999999999999996E-3</v>
      </c>
      <c r="N64" s="9">
        <v>1.5E-3</v>
      </c>
      <c r="O64" s="9">
        <v>1.24E-2</v>
      </c>
      <c r="P64" s="9">
        <v>4.7000000000000002E-3</v>
      </c>
      <c r="Q64" s="9"/>
      <c r="R64" s="9">
        <v>8.6999999999999994E-3</v>
      </c>
      <c r="S64" s="9">
        <v>2.0999999999999999E-3</v>
      </c>
      <c r="T64" s="9">
        <v>1.5E-3</v>
      </c>
      <c r="U64" s="9">
        <v>4.5999999999999999E-3</v>
      </c>
      <c r="V64" s="9">
        <v>8.0000000000000004E-4</v>
      </c>
      <c r="W64" s="9">
        <v>2.2000000000000001E-3</v>
      </c>
      <c r="X64" s="9">
        <v>6.4000000000000003E-3</v>
      </c>
      <c r="Y64" s="9">
        <v>1.8E-3</v>
      </c>
      <c r="Z64" s="9">
        <v>6.4000000000000003E-3</v>
      </c>
      <c r="AA64" s="9">
        <v>3.7000000000000002E-3</v>
      </c>
      <c r="AB64" s="9">
        <v>3.0999999999999999E-3</v>
      </c>
      <c r="AC64" s="9">
        <v>2.0999999999999999E-3</v>
      </c>
      <c r="AD64" s="9">
        <v>2.3999999999999998E-3</v>
      </c>
    </row>
    <row r="65" spans="2:30" x14ac:dyDescent="0.3">
      <c r="B65" s="5">
        <v>202529</v>
      </c>
      <c r="C65" s="5"/>
      <c r="D65" s="9">
        <v>3.3E-3</v>
      </c>
      <c r="E65" s="9">
        <v>2.8E-3</v>
      </c>
      <c r="F65" s="9">
        <v>3.3E-3</v>
      </c>
      <c r="G65" s="9">
        <v>2.8999999999999998E-3</v>
      </c>
      <c r="H65" s="9">
        <v>1.6000000000000001E-3</v>
      </c>
      <c r="I65" s="9">
        <v>6.1000000000000004E-3</v>
      </c>
      <c r="J65" s="9">
        <v>3.3999999999999998E-3</v>
      </c>
      <c r="K65" s="9">
        <v>3.2000000000000002E-3</v>
      </c>
      <c r="L65" s="9">
        <v>4.3E-3</v>
      </c>
      <c r="M65" s="9">
        <v>3.8E-3</v>
      </c>
      <c r="N65" s="9">
        <v>1.4E-3</v>
      </c>
      <c r="O65" s="9">
        <v>1.5800000000000002E-2</v>
      </c>
      <c r="P65" s="9">
        <v>3.3999999999999998E-3</v>
      </c>
      <c r="Q65" s="9"/>
      <c r="R65" s="9">
        <v>3.5000000000000001E-3</v>
      </c>
      <c r="S65" s="9">
        <v>2.0999999999999999E-3</v>
      </c>
      <c r="T65" s="9">
        <v>1.6000000000000001E-3</v>
      </c>
      <c r="U65" s="9">
        <v>4.1999999999999997E-3</v>
      </c>
      <c r="V65" s="9">
        <v>1.1000000000000001E-3</v>
      </c>
      <c r="W65" s="9">
        <v>1.6999999999999999E-3</v>
      </c>
      <c r="X65" s="9">
        <v>5.8999999999999999E-3</v>
      </c>
      <c r="Y65" s="9">
        <v>1.6999999999999999E-3</v>
      </c>
      <c r="Z65" s="9">
        <v>7.3000000000000001E-3</v>
      </c>
      <c r="AA65" s="9">
        <v>3.3999999999999998E-3</v>
      </c>
      <c r="AB65" s="9">
        <v>3.3E-3</v>
      </c>
      <c r="AC65" s="9">
        <v>1.6000000000000001E-3</v>
      </c>
      <c r="AD65" s="9">
        <v>2E-3</v>
      </c>
    </row>
    <row r="66" spans="2:30" x14ac:dyDescent="0.3">
      <c r="B66" s="5">
        <v>202530</v>
      </c>
      <c r="C66" s="5"/>
      <c r="D66" s="9">
        <v>4.0000000000000001E-3</v>
      </c>
      <c r="E66" s="9">
        <v>2.5000000000000001E-3</v>
      </c>
      <c r="F66" s="9">
        <v>4.1000000000000003E-3</v>
      </c>
      <c r="G66" s="9">
        <v>2.0999999999999999E-3</v>
      </c>
      <c r="H66" s="9">
        <v>2E-3</v>
      </c>
      <c r="I66" s="9">
        <v>4.1000000000000003E-3</v>
      </c>
      <c r="J66" s="9">
        <v>2.7000000000000001E-3</v>
      </c>
      <c r="K66" s="9">
        <v>3.0000000000000001E-3</v>
      </c>
      <c r="L66" s="9">
        <v>3.8E-3</v>
      </c>
      <c r="M66" s="9">
        <v>5.7000000000000002E-3</v>
      </c>
      <c r="N66" s="9">
        <v>1.5E-3</v>
      </c>
      <c r="O66" s="9">
        <v>1.2500000000000001E-2</v>
      </c>
      <c r="P66" s="9">
        <v>3.7000000000000002E-3</v>
      </c>
      <c r="Q66" s="9"/>
      <c r="R66" s="9">
        <v>1.0800000000000001E-2</v>
      </c>
      <c r="S66" s="9">
        <v>2E-3</v>
      </c>
      <c r="T66" s="9">
        <v>1.6999999999999999E-3</v>
      </c>
      <c r="U66" s="9">
        <v>4.7000000000000002E-3</v>
      </c>
      <c r="V66" s="9">
        <v>1.1000000000000001E-3</v>
      </c>
      <c r="W66" s="9">
        <v>1.5E-3</v>
      </c>
      <c r="X66" s="9">
        <v>7.7999999999999996E-3</v>
      </c>
      <c r="Y66" s="9">
        <v>2.3999999999999998E-3</v>
      </c>
      <c r="Z66" s="9">
        <v>5.7000000000000002E-3</v>
      </c>
      <c r="AA66" s="9">
        <v>3.0999999999999999E-3</v>
      </c>
      <c r="AB66" s="9">
        <v>3.3E-3</v>
      </c>
      <c r="AC66" s="9">
        <v>1.6000000000000001E-3</v>
      </c>
      <c r="AD66" s="9">
        <v>2.3999999999999998E-3</v>
      </c>
    </row>
    <row r="67" spans="2:30" x14ac:dyDescent="0.3">
      <c r="B67" s="5">
        <v>202531</v>
      </c>
      <c r="C67" s="5"/>
      <c r="D67" s="9">
        <v>4.7999999999999996E-3</v>
      </c>
      <c r="E67" s="9">
        <v>3.5000000000000001E-3</v>
      </c>
      <c r="F67" s="9">
        <v>4.7999999999999996E-3</v>
      </c>
      <c r="G67" s="9">
        <v>3.3E-3</v>
      </c>
      <c r="H67" s="9">
        <v>3.5999999999999999E-3</v>
      </c>
      <c r="I67" s="9">
        <v>7.1000000000000004E-3</v>
      </c>
      <c r="J67" s="9">
        <v>4.8999999999999998E-3</v>
      </c>
      <c r="K67" s="9">
        <v>1.5E-3</v>
      </c>
      <c r="L67" s="9">
        <v>3.3999999999999998E-3</v>
      </c>
      <c r="M67" s="9">
        <v>7.4999999999999997E-3</v>
      </c>
      <c r="N67" s="9">
        <v>5.7999999999999996E-3</v>
      </c>
      <c r="O67" s="9">
        <v>1.3299999999999999E-2</v>
      </c>
      <c r="P67" s="9">
        <v>4.1999999999999997E-3</v>
      </c>
      <c r="Q67" s="9"/>
      <c r="R67" s="9">
        <v>1.0800000000000001E-2</v>
      </c>
      <c r="S67" s="9">
        <v>2.3999999999999998E-3</v>
      </c>
      <c r="T67" s="9">
        <v>1.8E-3</v>
      </c>
      <c r="U67" s="9">
        <v>7.7999999999999996E-3</v>
      </c>
      <c r="V67" s="9">
        <v>1.6000000000000001E-3</v>
      </c>
      <c r="W67" s="9">
        <v>2.3E-3</v>
      </c>
      <c r="X67" s="9">
        <v>7.9000000000000008E-3</v>
      </c>
      <c r="Y67" s="9">
        <v>1.9E-3</v>
      </c>
      <c r="Z67" s="9">
        <v>6.4000000000000003E-3</v>
      </c>
      <c r="AA67" s="9">
        <v>3.5999999999999999E-3</v>
      </c>
      <c r="AB67" s="9">
        <v>4.4000000000000003E-3</v>
      </c>
      <c r="AC67" s="9">
        <v>2.5000000000000001E-3</v>
      </c>
      <c r="AD67" s="9">
        <v>2E-3</v>
      </c>
    </row>
    <row r="68" spans="2:30" x14ac:dyDescent="0.3">
      <c r="B68" s="5">
        <v>202532</v>
      </c>
      <c r="C68" s="5"/>
      <c r="D68" s="9">
        <v>4.4000000000000003E-3</v>
      </c>
      <c r="E68" s="9">
        <v>3.8E-3</v>
      </c>
      <c r="F68" s="9">
        <v>4.4999999999999997E-3</v>
      </c>
      <c r="G68" s="9">
        <v>4.7999999999999996E-3</v>
      </c>
      <c r="H68" s="9">
        <v>2.5999999999999999E-3</v>
      </c>
      <c r="I68" s="9">
        <v>8.2000000000000007E-3</v>
      </c>
      <c r="J68" s="9">
        <v>4.7000000000000002E-3</v>
      </c>
      <c r="K68" s="9">
        <v>3.8E-3</v>
      </c>
      <c r="L68" s="9">
        <v>3.2000000000000002E-3</v>
      </c>
      <c r="M68" s="9">
        <v>6.4000000000000003E-3</v>
      </c>
      <c r="N68" s="9">
        <v>4.4000000000000003E-3</v>
      </c>
      <c r="O68" s="9">
        <v>1.2699999999999999E-2</v>
      </c>
      <c r="P68" s="9">
        <v>4.8999999999999998E-3</v>
      </c>
      <c r="Q68" s="9"/>
      <c r="R68" s="9">
        <v>5.0000000000000001E-3</v>
      </c>
      <c r="S68" s="9">
        <v>1.6000000000000001E-3</v>
      </c>
      <c r="T68" s="9">
        <v>1.6999999999999999E-3</v>
      </c>
      <c r="U68" s="9">
        <v>5.4000000000000003E-3</v>
      </c>
      <c r="V68" s="9">
        <v>3.2000000000000002E-3</v>
      </c>
      <c r="W68" s="9">
        <v>2.3E-3</v>
      </c>
      <c r="X68" s="9">
        <v>9.2999999999999992E-3</v>
      </c>
      <c r="Y68" s="9">
        <v>2E-3</v>
      </c>
      <c r="Z68" s="9">
        <v>5.4999999999999997E-3</v>
      </c>
      <c r="AA68" s="9">
        <v>4.1999999999999997E-3</v>
      </c>
      <c r="AB68" s="9">
        <v>7.4000000000000003E-3</v>
      </c>
      <c r="AC68" s="9">
        <v>2.0999999999999999E-3</v>
      </c>
      <c r="AD68" s="9">
        <v>2.7000000000000001E-3</v>
      </c>
    </row>
    <row r="69" spans="2:30" ht="15" thickBot="1" x14ac:dyDescent="0.35">
      <c r="B69" s="5">
        <v>202533</v>
      </c>
      <c r="C69" s="5"/>
      <c r="D69" s="9">
        <v>5.0000000000000001E-3</v>
      </c>
      <c r="E69" s="9">
        <v>3.5999999999999999E-3</v>
      </c>
      <c r="F69" s="9">
        <v>5.1000000000000004E-3</v>
      </c>
      <c r="G69" s="9">
        <v>4.7999999999999996E-3</v>
      </c>
      <c r="H69" s="9">
        <v>3.0000000000000001E-3</v>
      </c>
      <c r="I69" s="9">
        <v>6.1999999999999998E-3</v>
      </c>
      <c r="J69" s="9">
        <v>4.1999999999999997E-3</v>
      </c>
      <c r="K69" s="9">
        <v>2E-3</v>
      </c>
      <c r="L69" s="9">
        <v>2.5000000000000001E-3</v>
      </c>
      <c r="M69" s="9">
        <v>5.3E-3</v>
      </c>
      <c r="N69" s="9">
        <v>4.7000000000000002E-3</v>
      </c>
      <c r="O69" s="9">
        <v>1.66E-2</v>
      </c>
      <c r="P69" s="9">
        <v>8.5000000000000006E-3</v>
      </c>
      <c r="Q69" s="9"/>
      <c r="R69" s="9">
        <v>2.3999999999999998E-3</v>
      </c>
      <c r="S69" s="9">
        <v>1.5E-3</v>
      </c>
      <c r="T69" s="9">
        <v>1.8E-3</v>
      </c>
      <c r="U69" s="9">
        <v>6.6E-3</v>
      </c>
      <c r="V69" s="9">
        <v>2.5999999999999999E-3</v>
      </c>
      <c r="W69" s="9">
        <v>1.6999999999999999E-3</v>
      </c>
      <c r="X69" s="9">
        <v>1.04E-2</v>
      </c>
      <c r="Y69" s="9">
        <v>3.2000000000000002E-3</v>
      </c>
      <c r="Z69" s="9">
        <v>0</v>
      </c>
      <c r="AA69" s="9">
        <v>2.5000000000000001E-3</v>
      </c>
      <c r="AB69" s="9">
        <v>8.8000000000000005E-3</v>
      </c>
      <c r="AC69" s="9">
        <v>3.3999999999999998E-3</v>
      </c>
      <c r="AD69" s="9">
        <v>3.0000000000000001E-3</v>
      </c>
    </row>
    <row r="70" spans="2:30" ht="15" thickBot="1" x14ac:dyDescent="0.35">
      <c r="B70" s="22" t="s">
        <v>82</v>
      </c>
      <c r="C70" s="22"/>
      <c r="D70" s="24">
        <f t="shared" ref="D70:AD70" si="23">AVERAGE(D37:D69)</f>
        <v>3.0696969696969697E-3</v>
      </c>
      <c r="E70" s="24">
        <f t="shared" si="23"/>
        <v>3.5939393939393937E-3</v>
      </c>
      <c r="F70" s="24">
        <f t="shared" si="23"/>
        <v>3.0090909090909092E-3</v>
      </c>
      <c r="G70" s="24">
        <f t="shared" si="23"/>
        <v>4.6272727272727281E-3</v>
      </c>
      <c r="H70" s="24">
        <f t="shared" si="23"/>
        <v>3.2424242424242433E-3</v>
      </c>
      <c r="I70" s="24">
        <f t="shared" si="23"/>
        <v>4.845454545454546E-3</v>
      </c>
      <c r="J70" s="24">
        <f t="shared" si="23"/>
        <v>2.9272727272727267E-3</v>
      </c>
      <c r="K70" s="24">
        <f t="shared" si="23"/>
        <v>3.3242424242424236E-3</v>
      </c>
      <c r="L70" s="24">
        <f t="shared" si="23"/>
        <v>2.5878787878787879E-3</v>
      </c>
      <c r="M70" s="24">
        <f t="shared" si="23"/>
        <v>3.4848484848484852E-3</v>
      </c>
      <c r="N70" s="24">
        <f t="shared" si="23"/>
        <v>2.9392857142857142E-3</v>
      </c>
      <c r="O70" s="24">
        <f t="shared" si="23"/>
        <v>8.5212121212121239E-3</v>
      </c>
      <c r="P70" s="24">
        <f t="shared" si="23"/>
        <v>3.3757575757575749E-3</v>
      </c>
      <c r="Q70" s="24">
        <f t="shared" si="23"/>
        <v>-6.7871428571428569E-2</v>
      </c>
      <c r="R70" s="24">
        <f t="shared" si="23"/>
        <v>3.2393939393939395E-3</v>
      </c>
      <c r="S70" s="24">
        <f t="shared" si="23"/>
        <v>1.7866666666666671E-3</v>
      </c>
      <c r="T70" s="24">
        <f t="shared" si="23"/>
        <v>2.6607142857142849E-3</v>
      </c>
      <c r="U70" s="24">
        <f t="shared" si="23"/>
        <v>3.575757575757575E-3</v>
      </c>
      <c r="V70" s="24">
        <f t="shared" si="23"/>
        <v>3.1407407407407413E-3</v>
      </c>
      <c r="W70" s="24">
        <f t="shared" si="23"/>
        <v>2.5740740740740737E-3</v>
      </c>
      <c r="X70" s="24">
        <f t="shared" si="23"/>
        <v>4.1454545454545459E-3</v>
      </c>
      <c r="Y70" s="24">
        <f t="shared" si="23"/>
        <v>1.5242424242424243E-3</v>
      </c>
      <c r="Z70" s="24">
        <f t="shared" si="23"/>
        <v>4.3151515151515158E-3</v>
      </c>
      <c r="AA70" s="24">
        <f t="shared" si="23"/>
        <v>2.3757575757575762E-3</v>
      </c>
      <c r="AB70" s="24">
        <f t="shared" si="23"/>
        <v>2.4857142857142855E-3</v>
      </c>
      <c r="AC70" s="24">
        <f t="shared" si="23"/>
        <v>1.3928571428571425E-3</v>
      </c>
      <c r="AD70" s="24">
        <f t="shared" si="23"/>
        <v>1.666666666666667E-3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T69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45886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136</v>
      </c>
      <c r="C6" s="7">
        <v>26</v>
      </c>
      <c r="D6" s="7">
        <v>7</v>
      </c>
      <c r="E6" s="7">
        <v>4590</v>
      </c>
      <c r="F6" s="7">
        <v>5525</v>
      </c>
      <c r="G6" s="7">
        <v>31</v>
      </c>
      <c r="H6" s="9">
        <f t="shared" ref="H6:H12" si="0">IFERROR(G6/F6,0)</f>
        <v>5.6108597285067872E-3</v>
      </c>
      <c r="I6" s="9">
        <f>IFERROR((4590-F6)/4590,0)</f>
        <v>-0.20370370370370369</v>
      </c>
      <c r="J6" s="7">
        <v>14790</v>
      </c>
      <c r="K6" s="11">
        <f t="shared" ref="K6:K12" si="1">IFERROR(J6/D6/F6*100,0)</f>
        <v>38.241758241758241</v>
      </c>
      <c r="L6" s="11">
        <f>K6-47.9148</f>
        <v>-9.6730417582417587</v>
      </c>
      <c r="M6" s="11">
        <v>78</v>
      </c>
      <c r="N6" s="11">
        <f t="shared" ref="N6:N12" si="2">K6-M6</f>
        <v>-39.758241758241759</v>
      </c>
      <c r="O6" s="11">
        <f>IFERROR(200630/4590,0)</f>
        <v>43.710239651416124</v>
      </c>
      <c r="P6" s="11">
        <v>0</v>
      </c>
      <c r="Q6" s="11">
        <f t="shared" ref="Q6:Q11" si="3">IFERROR(O6-P6,0)</f>
        <v>43.710239651416124</v>
      </c>
      <c r="R6" s="7">
        <v>3778</v>
      </c>
      <c r="S6" s="11">
        <f t="shared" ref="S6:S11" si="4">IFERROR(R6/D6/F6*1000,0)</f>
        <v>97.685843568196503</v>
      </c>
      <c r="T6" s="13">
        <f t="shared" ref="T6:T12" si="5">IFERROR(J6/R6,0)</f>
        <v>3.9147697194282691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296.88</v>
      </c>
      <c r="Y6" s="11">
        <f t="shared" ref="Y6:Y11" si="8">IFERROR((F6*S6)/(F6*K6)*100,0)</f>
        <v>255.44286680189313</v>
      </c>
      <c r="Z6" s="11">
        <f t="shared" ref="Z6:Z12" si="9">IFERROR(Y6*X6/1000,0)</f>
        <v>75.835878296146035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5</v>
      </c>
      <c r="AF6" s="11">
        <v>22</v>
      </c>
      <c r="AG6" s="7">
        <f t="shared" ref="AG6:AG11" si="10">IF(M6=0,0,IFERROR(N6/100*7*F6,0))</f>
        <v>-15376.5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96</v>
      </c>
      <c r="C7" s="7">
        <v>26</v>
      </c>
      <c r="D7" s="7">
        <v>7</v>
      </c>
      <c r="E7" s="7">
        <v>14440</v>
      </c>
      <c r="F7" s="7">
        <v>10871</v>
      </c>
      <c r="G7" s="7">
        <v>54</v>
      </c>
      <c r="H7" s="9">
        <f t="shared" si="0"/>
        <v>4.9673443105510071E-3</v>
      </c>
      <c r="I7" s="9">
        <f>IFERROR((14440-F7)/14440,0)</f>
        <v>0.24716066481994459</v>
      </c>
      <c r="J7" s="7">
        <v>52530</v>
      </c>
      <c r="K7" s="11">
        <f t="shared" si="1"/>
        <v>69.030316569641386</v>
      </c>
      <c r="L7" s="11">
        <f>K7-69.7483</f>
        <v>-0.71798343035861478</v>
      </c>
      <c r="M7" s="11">
        <v>78</v>
      </c>
      <c r="N7" s="11">
        <f t="shared" si="2"/>
        <v>-8.9696834303586144</v>
      </c>
      <c r="O7" s="11">
        <f>IFERROR(5342260/14440,0)</f>
        <v>369.96260387811634</v>
      </c>
      <c r="P7" s="11">
        <v>0</v>
      </c>
      <c r="Q7" s="11">
        <f t="shared" si="3"/>
        <v>369.96260387811634</v>
      </c>
      <c r="R7" s="7">
        <v>9730</v>
      </c>
      <c r="S7" s="11">
        <f t="shared" si="4"/>
        <v>127.86312206788702</v>
      </c>
      <c r="T7" s="13">
        <f t="shared" si="5"/>
        <v>5.3987667009249742</v>
      </c>
      <c r="U7" s="7">
        <v>0</v>
      </c>
      <c r="V7" s="11">
        <f t="shared" si="6"/>
        <v>0</v>
      </c>
      <c r="W7" s="11">
        <f t="shared" si="7"/>
        <v>0</v>
      </c>
      <c r="X7" s="11">
        <v>373.15</v>
      </c>
      <c r="Y7" s="11">
        <f t="shared" si="8"/>
        <v>185.22748905387394</v>
      </c>
      <c r="Z7" s="11">
        <f t="shared" si="9"/>
        <v>69.11763754045306</v>
      </c>
      <c r="AA7" s="7">
        <v>0</v>
      </c>
      <c r="AB7" s="15">
        <f>IFERROR(AA7/1980,0)</f>
        <v>0</v>
      </c>
      <c r="AC7" s="11">
        <v>0</v>
      </c>
      <c r="AD7" s="15">
        <f>IFERROR(AC7/65.2,0)</f>
        <v>0</v>
      </c>
      <c r="AE7" s="11">
        <v>5</v>
      </c>
      <c r="AF7" s="11">
        <v>22</v>
      </c>
      <c r="AG7" s="7">
        <f t="shared" si="10"/>
        <v>-6825.6599999999953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96</v>
      </c>
      <c r="C8" s="7">
        <v>26</v>
      </c>
      <c r="D8" s="7">
        <v>7</v>
      </c>
      <c r="E8" s="7">
        <v>16063</v>
      </c>
      <c r="F8" s="7">
        <v>12825</v>
      </c>
      <c r="G8" s="7">
        <v>42</v>
      </c>
      <c r="H8" s="9">
        <f t="shared" si="0"/>
        <v>3.2748538011695906E-3</v>
      </c>
      <c r="I8" s="9">
        <f>IFERROR((16063-F8)/16063,0)</f>
        <v>0.20158127373466975</v>
      </c>
      <c r="J8" s="7">
        <v>56850</v>
      </c>
      <c r="K8" s="11">
        <f t="shared" si="1"/>
        <v>63.324979114452795</v>
      </c>
      <c r="L8" s="11">
        <f>K8-63.851</f>
        <v>-0.52602088554720439</v>
      </c>
      <c r="M8" s="11">
        <v>74</v>
      </c>
      <c r="N8" s="11">
        <f t="shared" si="2"/>
        <v>-10.675020885547205</v>
      </c>
      <c r="O8" s="11">
        <f>IFERROR(5571060/16063,0)</f>
        <v>346.82562410508621</v>
      </c>
      <c r="P8" s="11">
        <v>0</v>
      </c>
      <c r="Q8" s="11">
        <f t="shared" si="3"/>
        <v>346.82562410508621</v>
      </c>
      <c r="R8" s="7">
        <v>10360</v>
      </c>
      <c r="S8" s="11">
        <f t="shared" si="4"/>
        <v>115.39961013645224</v>
      </c>
      <c r="T8" s="13">
        <f t="shared" si="5"/>
        <v>5.4874517374517371</v>
      </c>
      <c r="U8" s="7">
        <v>0</v>
      </c>
      <c r="V8" s="11">
        <f t="shared" si="6"/>
        <v>0</v>
      </c>
      <c r="W8" s="11">
        <f t="shared" si="7"/>
        <v>0</v>
      </c>
      <c r="X8" s="11">
        <v>370</v>
      </c>
      <c r="Y8" s="11">
        <f t="shared" si="8"/>
        <v>182.23394898856642</v>
      </c>
      <c r="Z8" s="11">
        <f t="shared" si="9"/>
        <v>67.426561125769567</v>
      </c>
      <c r="AA8" s="7">
        <v>0</v>
      </c>
      <c r="AB8" s="15">
        <f>IFERROR(AA8/1580,0)</f>
        <v>0</v>
      </c>
      <c r="AC8" s="11">
        <v>0</v>
      </c>
      <c r="AD8" s="15">
        <f>IFERROR(AC8/63.7,0)</f>
        <v>0</v>
      </c>
      <c r="AE8" s="11">
        <v>5</v>
      </c>
      <c r="AF8" s="11">
        <v>22</v>
      </c>
      <c r="AG8" s="7">
        <f t="shared" si="10"/>
        <v>-9583.5000000000036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57</v>
      </c>
      <c r="C9" s="7"/>
      <c r="D9" s="7">
        <v>7</v>
      </c>
      <c r="E9" s="7">
        <v>4686</v>
      </c>
      <c r="F9" s="7">
        <v>4014</v>
      </c>
      <c r="G9" s="7">
        <v>16</v>
      </c>
      <c r="H9" s="9">
        <f t="shared" si="0"/>
        <v>3.9860488290981563E-3</v>
      </c>
      <c r="I9" s="9">
        <f>IFERROR((4686-F9)/4686,0)</f>
        <v>0.14340588988476313</v>
      </c>
      <c r="J9" s="7">
        <v>28290</v>
      </c>
      <c r="K9" s="11">
        <f t="shared" si="1"/>
        <v>100.68332265641683</v>
      </c>
      <c r="L9" s="11">
        <f>K9-101.5597</f>
        <v>-0.87637734358317232</v>
      </c>
      <c r="M9" s="11">
        <v>86</v>
      </c>
      <c r="N9" s="11">
        <f t="shared" si="2"/>
        <v>14.683322656416834</v>
      </c>
      <c r="O9" s="11">
        <f>IFERROR(1075380/4686,0)</f>
        <v>229.48783610755441</v>
      </c>
      <c r="P9" s="11">
        <v>240</v>
      </c>
      <c r="Q9" s="11">
        <f t="shared" si="3"/>
        <v>-10.512163892445585</v>
      </c>
      <c r="R9" s="7">
        <v>4670</v>
      </c>
      <c r="S9" s="11">
        <f t="shared" si="4"/>
        <v>166.20400028471778</v>
      </c>
      <c r="T9" s="13">
        <f t="shared" si="5"/>
        <v>6.0578158458244111</v>
      </c>
      <c r="U9" s="7">
        <v>5040</v>
      </c>
      <c r="V9" s="11">
        <f t="shared" si="6"/>
        <v>179.37219730941703</v>
      </c>
      <c r="W9" s="11">
        <f t="shared" si="7"/>
        <v>1.0792291220556745</v>
      </c>
      <c r="X9" s="11">
        <v>362.76</v>
      </c>
      <c r="Y9" s="11">
        <f t="shared" si="8"/>
        <v>165.07599858607281</v>
      </c>
      <c r="Z9" s="11">
        <f t="shared" si="9"/>
        <v>59.882969247083771</v>
      </c>
      <c r="AA9" s="7">
        <v>0</v>
      </c>
      <c r="AB9" s="15">
        <f>IFERROR(AA9/1960,0)</f>
        <v>0</v>
      </c>
      <c r="AC9" s="11">
        <v>0</v>
      </c>
      <c r="AD9" s="15">
        <f>IFERROR(AC9/63.6,0)</f>
        <v>0</v>
      </c>
      <c r="AE9" s="11">
        <v>11</v>
      </c>
      <c r="AF9" s="11">
        <v>20</v>
      </c>
      <c r="AG9" s="7">
        <f t="shared" si="10"/>
        <v>4125.7200000000021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96</v>
      </c>
      <c r="C10" s="7">
        <v>27</v>
      </c>
      <c r="D10" s="7">
        <v>2</v>
      </c>
      <c r="E10" s="7">
        <v>5000</v>
      </c>
      <c r="F10" s="7">
        <v>3972</v>
      </c>
      <c r="G10" s="7">
        <v>4</v>
      </c>
      <c r="H10" s="9">
        <f t="shared" si="0"/>
        <v>1.0070493454179255E-3</v>
      </c>
      <c r="I10" s="9">
        <f>IFERROR((5000-F10)/5000,0)</f>
        <v>0.2056</v>
      </c>
      <c r="J10" s="7">
        <v>6150</v>
      </c>
      <c r="K10" s="11">
        <f t="shared" si="1"/>
        <v>77.416918429003019</v>
      </c>
      <c r="L10" s="11">
        <f>K10-83.8603</f>
        <v>-6.4433815709969764</v>
      </c>
      <c r="M10" s="11">
        <v>77</v>
      </c>
      <c r="N10" s="11">
        <f t="shared" si="2"/>
        <v>0.41691842900301879</v>
      </c>
      <c r="O10" s="11">
        <f>IFERROR(1988010/5000,0)</f>
        <v>397.60199999999998</v>
      </c>
      <c r="P10" s="11">
        <v>0</v>
      </c>
      <c r="Q10" s="11">
        <f t="shared" si="3"/>
        <v>397.60199999999998</v>
      </c>
      <c r="R10" s="7">
        <v>665</v>
      </c>
      <c r="S10" s="11">
        <f t="shared" si="4"/>
        <v>83.710976837865061</v>
      </c>
      <c r="T10" s="13">
        <f t="shared" si="5"/>
        <v>9.2481203007518804</v>
      </c>
      <c r="U10" s="7">
        <v>1440</v>
      </c>
      <c r="V10" s="11">
        <f t="shared" si="6"/>
        <v>181.26888217522657</v>
      </c>
      <c r="W10" s="11">
        <f t="shared" si="7"/>
        <v>2.1654135338345859</v>
      </c>
      <c r="X10" s="11">
        <v>374.81</v>
      </c>
      <c r="Y10" s="11">
        <f t="shared" si="8"/>
        <v>108.130081300813</v>
      </c>
      <c r="Z10" s="11">
        <f t="shared" si="9"/>
        <v>40.528235772357725</v>
      </c>
      <c r="AA10" s="7">
        <v>0</v>
      </c>
      <c r="AB10" s="15">
        <f>IFERROR(AA10/1980,0)</f>
        <v>0</v>
      </c>
      <c r="AC10" s="11">
        <v>0</v>
      </c>
      <c r="AD10" s="15">
        <f>IFERROR(AC10/65.2,0)</f>
        <v>0</v>
      </c>
      <c r="AE10" s="11">
        <v>15</v>
      </c>
      <c r="AF10" s="11">
        <v>20</v>
      </c>
      <c r="AG10" s="7">
        <f t="shared" si="10"/>
        <v>115.91999999999933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57</v>
      </c>
      <c r="C11" s="7"/>
      <c r="D11" s="7">
        <v>7</v>
      </c>
      <c r="E11" s="7">
        <v>4819</v>
      </c>
      <c r="F11" s="7">
        <v>4371</v>
      </c>
      <c r="G11" s="7">
        <v>15</v>
      </c>
      <c r="H11" s="9">
        <f t="shared" si="0"/>
        <v>3.4317089910775567E-3</v>
      </c>
      <c r="I11" s="9">
        <f>IFERROR((4819-F11)/4819,0)</f>
        <v>9.2965345507366667E-2</v>
      </c>
      <c r="J11" s="7">
        <v>27660</v>
      </c>
      <c r="K11" s="11">
        <f t="shared" si="1"/>
        <v>90.401019707814484</v>
      </c>
      <c r="L11" s="11">
        <f>K11-90.9713</f>
        <v>-0.57028029218551524</v>
      </c>
      <c r="M11" s="11">
        <v>86</v>
      </c>
      <c r="N11" s="11">
        <f t="shared" si="2"/>
        <v>4.4010197078144841</v>
      </c>
      <c r="O11" s="11">
        <f>IFERROR(1118056/4819,0)</f>
        <v>232.00996057273292</v>
      </c>
      <c r="P11" s="11">
        <v>240</v>
      </c>
      <c r="Q11" s="11">
        <f t="shared" si="3"/>
        <v>-7.9900394272670781</v>
      </c>
      <c r="R11" s="7">
        <v>4142</v>
      </c>
      <c r="S11" s="11">
        <f t="shared" si="4"/>
        <v>135.37274896231654</v>
      </c>
      <c r="T11" s="13">
        <f t="shared" si="5"/>
        <v>6.6779333655239013</v>
      </c>
      <c r="U11" s="7">
        <v>5040</v>
      </c>
      <c r="V11" s="11">
        <f t="shared" si="6"/>
        <v>164.72203157172271</v>
      </c>
      <c r="W11" s="11">
        <f t="shared" si="7"/>
        <v>1.2168034765813618</v>
      </c>
      <c r="X11" s="11">
        <v>362.76</v>
      </c>
      <c r="Y11" s="11">
        <f t="shared" si="8"/>
        <v>149.74692697035428</v>
      </c>
      <c r="Z11" s="11">
        <f t="shared" si="9"/>
        <v>54.322195227765718</v>
      </c>
      <c r="AA11" s="7">
        <v>0</v>
      </c>
      <c r="AB11" s="15">
        <f>IFERROR(AA11/1960,0)</f>
        <v>0</v>
      </c>
      <c r="AC11" s="11">
        <v>0</v>
      </c>
      <c r="AD11" s="15">
        <f>IFERROR(AC11/63.6,0)</f>
        <v>0</v>
      </c>
      <c r="AE11" s="11">
        <v>11</v>
      </c>
      <c r="AF11" s="11">
        <v>23</v>
      </c>
      <c r="AG11" s="7">
        <f t="shared" si="10"/>
        <v>1346.5799999999977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6.166666666666667</v>
      </c>
      <c r="E12" s="17">
        <f>SUM(E6:E11)</f>
        <v>49598</v>
      </c>
      <c r="F12" s="17">
        <f>SUM(F6:F11)</f>
        <v>41578</v>
      </c>
      <c r="G12" s="17">
        <f>SUM(G6:G11)</f>
        <v>162</v>
      </c>
      <c r="H12" s="18">
        <f t="shared" si="0"/>
        <v>3.8962913079032182E-3</v>
      </c>
      <c r="I12" s="18"/>
      <c r="J12" s="17">
        <f>SUM(J6:J11)</f>
        <v>186270</v>
      </c>
      <c r="K12" s="19">
        <f t="shared" si="1"/>
        <v>72.648867059372606</v>
      </c>
      <c r="L12" s="19"/>
      <c r="M12" s="19">
        <f>IFERROR(SUMPRODUCT($F6:$F11,M6:M11)/$F12, 0)</f>
        <v>78.283996344220498</v>
      </c>
      <c r="N12" s="19">
        <f t="shared" si="2"/>
        <v>-5.635129284847892</v>
      </c>
      <c r="O12" s="19">
        <f>IFERROR(SUMPRODUCT($E6:$E11,O6:O11)/$E12, 0)</f>
        <v>308.38735432880355</v>
      </c>
      <c r="P12" s="19">
        <f>IFERROR(SUMPRODUCT($E6:$E11,P6:P11)/$E12, 0)</f>
        <v>45.993790072180332</v>
      </c>
      <c r="Q12" s="19">
        <f>IFERROR(SUMPRODUCT($E6:$E11,Q6:Q11)/$E12, 0)</f>
        <v>262.39356425662328</v>
      </c>
      <c r="R12" s="17">
        <f>SUM(R6:R11)</f>
        <v>33345</v>
      </c>
      <c r="S12" s="19">
        <f>IFERROR(R12/D12/$F12*1000,0)</f>
        <v>130.05188554758038</v>
      </c>
      <c r="T12" s="20">
        <f t="shared" si="5"/>
        <v>5.5861448493027437</v>
      </c>
      <c r="U12" s="17">
        <f>SUM(U6:U11)</f>
        <v>11520</v>
      </c>
      <c r="V12" s="19">
        <f>IFERROR(U12/D12/$F12*1000,0)</f>
        <v>44.930206073118192</v>
      </c>
      <c r="W12" s="19">
        <f t="shared" si="7"/>
        <v>0.34547908232118762</v>
      </c>
      <c r="X12" s="19">
        <f>IFERROR(SUMPRODUCT(R6:R11,X6:X11)/R12,0)</f>
        <v>360.81727125506075</v>
      </c>
      <c r="Y12" s="19">
        <f>IFERROR(($F12*S12)/($F12*K12)*100,0)</f>
        <v>179.01433403124497</v>
      </c>
      <c r="Z12" s="19">
        <f t="shared" si="9"/>
        <v>64.591463520695768</v>
      </c>
      <c r="AA12" s="17"/>
      <c r="AB12" s="21">
        <f>IFERROR(SUMPRODUCT($F6:$F11,AB6:AB11)/$F12,0)</f>
        <v>0</v>
      </c>
      <c r="AC12" s="19"/>
      <c r="AD12" s="21">
        <f>AVERAGE(AD6:AD11)</f>
        <v>0</v>
      </c>
      <c r="AE12" s="19"/>
      <c r="AF12" s="19"/>
      <c r="AG12" s="17">
        <f>SUM(AG6:AG11)</f>
        <v>-26197.440000000002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96</v>
      </c>
      <c r="C14" s="6">
        <v>33</v>
      </c>
      <c r="D14" s="6">
        <v>7</v>
      </c>
      <c r="E14" s="6">
        <v>21388</v>
      </c>
      <c r="F14" s="6">
        <v>15528</v>
      </c>
      <c r="G14" s="6">
        <v>77</v>
      </c>
      <c r="H14" s="8">
        <f t="shared" ref="H14:H29" si="12">IFERROR(G14/F14,0)</f>
        <v>4.9587841318907777E-3</v>
      </c>
      <c r="I14" s="8">
        <f>IFERROR((21388-F14)/21388,0)</f>
        <v>0.27398541238077428</v>
      </c>
      <c r="J14" s="6">
        <v>75140</v>
      </c>
      <c r="K14" s="10">
        <f t="shared" ref="K14:K29" si="13">IFERROR(J14/D14/F14*100,0)</f>
        <v>69.128578788547884</v>
      </c>
      <c r="L14" s="10">
        <f>K14-68.8332</f>
        <v>0.29537878854787891</v>
      </c>
      <c r="M14" s="10">
        <v>73</v>
      </c>
      <c r="N14" s="10">
        <f t="shared" ref="N14:N29" si="14">K14-M14</f>
        <v>-3.871421211452116</v>
      </c>
      <c r="O14" s="10">
        <f>IFERROR(6443990/21388,0)</f>
        <v>301.28997568730131</v>
      </c>
      <c r="P14" s="10">
        <v>0</v>
      </c>
      <c r="Q14" s="10">
        <f t="shared" ref="Q14:Q28" si="15">IFERROR(O14-P14,0)</f>
        <v>301.28997568730131</v>
      </c>
      <c r="R14" s="6">
        <v>11710</v>
      </c>
      <c r="S14" s="10">
        <f t="shared" ref="S14:S28" si="16">IFERROR(R14/D14/F14*1000,0)</f>
        <v>107.73165525870319</v>
      </c>
      <c r="T14" s="12">
        <f t="shared" ref="T14:T29" si="17">IFERROR(J14/R14,0)</f>
        <v>6.4167378309137488</v>
      </c>
      <c r="U14" s="6">
        <v>22420</v>
      </c>
      <c r="V14" s="10">
        <f t="shared" ref="V14:V28" si="18">IFERROR(U14/D14/F14*1000,0)</f>
        <v>206.26333995731213</v>
      </c>
      <c r="W14" s="10">
        <f t="shared" ref="W14:W29" si="19">IFERROR(V14/S14,0)</f>
        <v>1.9146029035012806</v>
      </c>
      <c r="X14" s="10">
        <v>315.74285714289999</v>
      </c>
      <c r="Y14" s="10">
        <f t="shared" ref="Y14:Y28" si="20">IFERROR((F14*S14)/(F14*K14)*100,0)</f>
        <v>155.84242746872502</v>
      </c>
      <c r="Z14" s="10">
        <f t="shared" ref="Z14:Z29" si="21">IFERROR(Y14*X14/1000,0)</f>
        <v>49.206133313060398</v>
      </c>
      <c r="AA14" s="6">
        <v>0</v>
      </c>
      <c r="AB14" s="14">
        <f>IFERROR(AA14/1580,0)</f>
        <v>0</v>
      </c>
      <c r="AC14" s="10">
        <v>0</v>
      </c>
      <c r="AD14" s="14">
        <f>IFERROR(AC14/63.7,0)</f>
        <v>0</v>
      </c>
      <c r="AE14" s="10">
        <v>18</v>
      </c>
      <c r="AF14" s="10">
        <v>26</v>
      </c>
      <c r="AG14" s="6">
        <f t="shared" ref="AG14:AG28" si="22">IF(M14=0,0,IFERROR(N14/100*7*F14,0))</f>
        <v>-4208.0799999999927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58</v>
      </c>
      <c r="B15" s="5">
        <v>56</v>
      </c>
      <c r="C15" s="7"/>
      <c r="D15" s="7">
        <v>7</v>
      </c>
      <c r="E15" s="7">
        <v>10225</v>
      </c>
      <c r="F15" s="7">
        <v>7429</v>
      </c>
      <c r="G15" s="7">
        <v>143</v>
      </c>
      <c r="H15" s="9">
        <f t="shared" si="12"/>
        <v>1.9248889487144972E-2</v>
      </c>
      <c r="I15" s="9">
        <f>IFERROR((10225-F15)/10225,0)</f>
        <v>0.27344743276283617</v>
      </c>
      <c r="J15" s="7">
        <v>37860</v>
      </c>
      <c r="K15" s="11">
        <f t="shared" si="13"/>
        <v>72.803492106224638</v>
      </c>
      <c r="L15" s="11">
        <f>K15-72.221</f>
        <v>0.58249210622463465</v>
      </c>
      <c r="M15" s="11">
        <v>86.5</v>
      </c>
      <c r="N15" s="11">
        <f t="shared" si="14"/>
        <v>-13.696507893775362</v>
      </c>
      <c r="O15" s="11">
        <f>IFERROR(1928790/10225,0)</f>
        <v>188.63471882640587</v>
      </c>
      <c r="P15" s="11">
        <v>234</v>
      </c>
      <c r="Q15" s="11">
        <f t="shared" si="15"/>
        <v>-45.365281173594127</v>
      </c>
      <c r="R15" s="7">
        <v>7390</v>
      </c>
      <c r="S15" s="11">
        <f t="shared" si="16"/>
        <v>142.10718612387748</v>
      </c>
      <c r="T15" s="13">
        <f t="shared" si="17"/>
        <v>5.1231393775372123</v>
      </c>
      <c r="U15" s="7">
        <v>12540</v>
      </c>
      <c r="V15" s="11">
        <f t="shared" si="18"/>
        <v>241.13993423456336</v>
      </c>
      <c r="W15" s="11">
        <f t="shared" si="19"/>
        <v>1.6968876860622459</v>
      </c>
      <c r="X15" s="11">
        <v>320.47000000000003</v>
      </c>
      <c r="Y15" s="11">
        <f t="shared" si="20"/>
        <v>195.19281563655576</v>
      </c>
      <c r="Z15" s="11">
        <f t="shared" si="21"/>
        <v>62.553441627047029</v>
      </c>
      <c r="AA15" s="7">
        <v>0</v>
      </c>
      <c r="AB15" s="15">
        <f>IFERROR(AA15/1960,0)</f>
        <v>0</v>
      </c>
      <c r="AC15" s="11">
        <v>0</v>
      </c>
      <c r="AD15" s="15">
        <f>IFERROR(AC15/63.6,0)</f>
        <v>0</v>
      </c>
      <c r="AE15" s="11">
        <v>14</v>
      </c>
      <c r="AF15" s="11">
        <v>25</v>
      </c>
      <c r="AG15" s="7">
        <f t="shared" si="22"/>
        <v>-7122.5950000000012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85</v>
      </c>
      <c r="C16" s="7"/>
      <c r="D16" s="7">
        <v>7</v>
      </c>
      <c r="E16" s="7">
        <v>56050</v>
      </c>
      <c r="F16" s="7">
        <v>54509</v>
      </c>
      <c r="G16" s="7">
        <v>340</v>
      </c>
      <c r="H16" s="9">
        <f t="shared" si="12"/>
        <v>6.2375020638793591E-3</v>
      </c>
      <c r="I16" s="9">
        <f>IFERROR((56050-F16)/56050,0)</f>
        <v>2.7493309545049062E-2</v>
      </c>
      <c r="J16" s="7">
        <v>308500</v>
      </c>
      <c r="K16" s="11">
        <f t="shared" si="13"/>
        <v>80.85165490364632</v>
      </c>
      <c r="L16" s="11">
        <f>K16-80.9704</f>
        <v>-0.11874509635367758</v>
      </c>
      <c r="M16" s="11">
        <v>83.5</v>
      </c>
      <c r="N16" s="11">
        <f t="shared" si="14"/>
        <v>-2.6483450963536797</v>
      </c>
      <c r="O16" s="11">
        <f>IFERROR(21966481/56050,0)</f>
        <v>391.90867082961643</v>
      </c>
      <c r="P16" s="11">
        <v>399</v>
      </c>
      <c r="Q16" s="11">
        <f t="shared" si="15"/>
        <v>-7.0913291703835739</v>
      </c>
      <c r="R16" s="7">
        <v>44852</v>
      </c>
      <c r="S16" s="11">
        <f t="shared" si="16"/>
        <v>117.54808511307438</v>
      </c>
      <c r="T16" s="13">
        <f t="shared" si="17"/>
        <v>6.8781771158476772</v>
      </c>
      <c r="U16" s="7">
        <v>74280</v>
      </c>
      <c r="V16" s="11">
        <f t="shared" si="18"/>
        <v>194.67296357351211</v>
      </c>
      <c r="W16" s="11">
        <f t="shared" si="19"/>
        <v>1.6561134397574244</v>
      </c>
      <c r="X16" s="11">
        <v>328.4471428571</v>
      </c>
      <c r="Y16" s="11">
        <f t="shared" si="20"/>
        <v>145.38735818476499</v>
      </c>
      <c r="Z16" s="11">
        <f t="shared" si="21"/>
        <v>47.752062403327869</v>
      </c>
      <c r="AA16" s="7">
        <v>0</v>
      </c>
      <c r="AB16" s="15">
        <f>IFERROR(AA16/1725,0)</f>
        <v>0</v>
      </c>
      <c r="AC16" s="11">
        <v>0</v>
      </c>
      <c r="AD16" s="15">
        <f>IFERROR(AC16/64.35,0)</f>
        <v>0</v>
      </c>
      <c r="AE16" s="11">
        <v>21</v>
      </c>
      <c r="AF16" s="11">
        <v>26</v>
      </c>
      <c r="AG16" s="7">
        <f t="shared" si="22"/>
        <v>-10105.10499999999</v>
      </c>
      <c r="AH16" s="7">
        <v>68</v>
      </c>
      <c r="AI16" s="7">
        <v>4.1176470588000003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IFERROR(1925/F16,0)</f>
        <v>3.5315269038140487E-2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78</v>
      </c>
      <c r="C17" s="7"/>
      <c r="D17" s="7">
        <v>7</v>
      </c>
      <c r="E17" s="7">
        <v>51536</v>
      </c>
      <c r="F17" s="7">
        <v>48301</v>
      </c>
      <c r="G17" s="7">
        <v>116</v>
      </c>
      <c r="H17" s="9">
        <f t="shared" si="12"/>
        <v>2.4016065919960248E-3</v>
      </c>
      <c r="I17" s="9">
        <f>IFERROR((51536-F17)/51536,0)</f>
        <v>6.2771654765600746E-2</v>
      </c>
      <c r="J17" s="7">
        <v>159700</v>
      </c>
      <c r="K17" s="11">
        <f t="shared" si="13"/>
        <v>47.233568071645962</v>
      </c>
      <c r="L17" s="11">
        <f>K17-0</f>
        <v>47.233568071645962</v>
      </c>
      <c r="M17" s="11">
        <v>85.95</v>
      </c>
      <c r="N17" s="11">
        <f t="shared" si="14"/>
        <v>-38.716431928354041</v>
      </c>
      <c r="O17" s="11">
        <f>IFERROR(16772142/51536,0)</f>
        <v>325.4451645451723</v>
      </c>
      <c r="P17" s="11">
        <v>361</v>
      </c>
      <c r="Q17" s="11">
        <f t="shared" si="15"/>
        <v>-35.554835454827696</v>
      </c>
      <c r="R17" s="7">
        <v>38290</v>
      </c>
      <c r="S17" s="11">
        <f t="shared" si="16"/>
        <v>113.24817291567463</v>
      </c>
      <c r="T17" s="13">
        <f t="shared" si="17"/>
        <v>4.170801775920606</v>
      </c>
      <c r="U17" s="7">
        <v>68866</v>
      </c>
      <c r="V17" s="11">
        <f t="shared" si="18"/>
        <v>203.68108320738702</v>
      </c>
      <c r="W17" s="11">
        <f t="shared" si="19"/>
        <v>1.7985374771480804</v>
      </c>
      <c r="X17" s="11">
        <v>292.2928571429</v>
      </c>
      <c r="Y17" s="11">
        <f t="shared" si="20"/>
        <v>239.76205385097052</v>
      </c>
      <c r="Z17" s="11">
        <f t="shared" si="21"/>
        <v>70.080735754550034</v>
      </c>
      <c r="AA17" s="7">
        <v>0</v>
      </c>
      <c r="AB17" s="15">
        <f>IFERROR(AA17/1725,0)</f>
        <v>0</v>
      </c>
      <c r="AC17" s="11">
        <v>0</v>
      </c>
      <c r="AD17" s="15">
        <f>IFERROR(AC17/64.05,0)</f>
        <v>0</v>
      </c>
      <c r="AE17" s="11">
        <v>22</v>
      </c>
      <c r="AF17" s="11">
        <v>25</v>
      </c>
      <c r="AG17" s="7">
        <f t="shared" si="22"/>
        <v>-130902.96649999999</v>
      </c>
      <c r="AH17" s="7">
        <v>6</v>
      </c>
      <c r="AI17" s="7">
        <v>20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61</v>
      </c>
      <c r="B18" s="5">
        <v>25</v>
      </c>
      <c r="C18" s="7"/>
      <c r="D18" s="7">
        <v>7</v>
      </c>
      <c r="E18" s="7">
        <v>49067</v>
      </c>
      <c r="F18" s="7">
        <v>48443</v>
      </c>
      <c r="G18" s="7">
        <v>131</v>
      </c>
      <c r="H18" s="9">
        <f t="shared" si="12"/>
        <v>2.7042090704539356E-3</v>
      </c>
      <c r="I18" s="9">
        <f>IFERROR((49067-F18)/49067,0)</f>
        <v>1.2717304909613385E-2</v>
      </c>
      <c r="J18" s="7">
        <v>313260</v>
      </c>
      <c r="K18" s="11">
        <f t="shared" si="13"/>
        <v>92.379556533304239</v>
      </c>
      <c r="L18" s="11">
        <f>K18-89.7629</f>
        <v>2.6166565333042371</v>
      </c>
      <c r="M18" s="11">
        <v>93.2</v>
      </c>
      <c r="N18" s="11">
        <f t="shared" si="14"/>
        <v>-0.82044346669576385</v>
      </c>
      <c r="O18" s="11">
        <f>IFERROR(1654970/49067,0)</f>
        <v>33.7287790164469</v>
      </c>
      <c r="P18" s="11">
        <v>33</v>
      </c>
      <c r="Q18" s="11">
        <f t="shared" si="15"/>
        <v>0.72877901644690013</v>
      </c>
      <c r="R18" s="7">
        <v>36779</v>
      </c>
      <c r="S18" s="11">
        <f t="shared" si="16"/>
        <v>108.46031123470588</v>
      </c>
      <c r="T18" s="13">
        <f t="shared" si="17"/>
        <v>8.5173604502569393</v>
      </c>
      <c r="U18" s="7">
        <v>63580</v>
      </c>
      <c r="V18" s="11">
        <f t="shared" si="18"/>
        <v>187.49576085001223</v>
      </c>
      <c r="W18" s="11">
        <f t="shared" si="19"/>
        <v>1.7287038799314827</v>
      </c>
      <c r="X18" s="11">
        <v>303.41142857139999</v>
      </c>
      <c r="Y18" s="11">
        <f t="shared" si="20"/>
        <v>117.40726553023049</v>
      </c>
      <c r="Z18" s="11">
        <f t="shared" si="21"/>
        <v>35.622706159188922</v>
      </c>
      <c r="AA18" s="7">
        <v>0</v>
      </c>
      <c r="AB18" s="15">
        <f>IFERROR(AA18/1545,0)</f>
        <v>0</v>
      </c>
      <c r="AC18" s="11">
        <v>0</v>
      </c>
      <c r="AD18" s="15">
        <f>IFERROR(AC18/54.35,0)</f>
        <v>0</v>
      </c>
      <c r="AE18" s="11">
        <v>19</v>
      </c>
      <c r="AF18" s="11">
        <v>26</v>
      </c>
      <c r="AG18" s="7">
        <f t="shared" si="22"/>
        <v>-2782.1320000000023</v>
      </c>
      <c r="AH18" s="7">
        <v>10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IFERROR(0/F18,0)</f>
        <v>0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62</v>
      </c>
      <c r="B19" s="5">
        <v>57</v>
      </c>
      <c r="C19" s="7"/>
      <c r="D19" s="7">
        <v>7</v>
      </c>
      <c r="E19" s="7">
        <v>52424</v>
      </c>
      <c r="F19" s="7">
        <v>44852</v>
      </c>
      <c r="G19" s="7">
        <v>488</v>
      </c>
      <c r="H19" s="9">
        <f t="shared" si="12"/>
        <v>1.0880228306430036E-2</v>
      </c>
      <c r="I19" s="9">
        <f>IFERROR((52424-F19)/52424,0)</f>
        <v>0.14443766213947809</v>
      </c>
      <c r="J19" s="7">
        <v>279620</v>
      </c>
      <c r="K19" s="11">
        <f t="shared" si="13"/>
        <v>89.061166248359683</v>
      </c>
      <c r="L19" s="11">
        <f>K19-87.4094</f>
        <v>1.651766248359678</v>
      </c>
      <c r="M19" s="11">
        <v>92.15</v>
      </c>
      <c r="N19" s="11">
        <f t="shared" si="14"/>
        <v>-3.0888337516403226</v>
      </c>
      <c r="O19" s="11">
        <f>IFERROR(11549800/52424,0)</f>
        <v>220.31512284449872</v>
      </c>
      <c r="P19" s="11">
        <v>238</v>
      </c>
      <c r="Q19" s="11">
        <f t="shared" si="15"/>
        <v>-17.684877155501283</v>
      </c>
      <c r="R19" s="7">
        <v>37528</v>
      </c>
      <c r="S19" s="11">
        <f t="shared" si="16"/>
        <v>119.52962760061662</v>
      </c>
      <c r="T19" s="13">
        <f t="shared" si="17"/>
        <v>7.4509699424429758</v>
      </c>
      <c r="U19" s="7">
        <v>54062</v>
      </c>
      <c r="V19" s="11">
        <f t="shared" si="18"/>
        <v>172.19171624772267</v>
      </c>
      <c r="W19" s="11">
        <f t="shared" si="19"/>
        <v>1.4405777019825199</v>
      </c>
      <c r="X19" s="11">
        <v>297.43</v>
      </c>
      <c r="Y19" s="11">
        <f t="shared" si="20"/>
        <v>134.21071454116299</v>
      </c>
      <c r="Z19" s="11">
        <f t="shared" si="21"/>
        <v>39.918292825978114</v>
      </c>
      <c r="AA19" s="7">
        <v>0</v>
      </c>
      <c r="AB19" s="15">
        <f>IFERROR(AA19/1725,0)</f>
        <v>0</v>
      </c>
      <c r="AC19" s="11">
        <v>0</v>
      </c>
      <c r="AD19" s="15">
        <f>IFERROR(AC19/63.05,0)</f>
        <v>0</v>
      </c>
      <c r="AE19" s="11">
        <v>20</v>
      </c>
      <c r="AF19" s="11">
        <v>25</v>
      </c>
      <c r="AG19" s="7">
        <f t="shared" si="22"/>
        <v>-9697.8260000000228</v>
      </c>
      <c r="AH19" s="7">
        <v>34</v>
      </c>
      <c r="AI19" s="7">
        <v>20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IFERROR(1400/F19,0)</f>
        <v>3.1213769731561581E-2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63</v>
      </c>
      <c r="B20" s="5">
        <v>47</v>
      </c>
      <c r="C20" s="7"/>
      <c r="D20" s="7">
        <v>7</v>
      </c>
      <c r="E20" s="7">
        <v>50525</v>
      </c>
      <c r="F20" s="7">
        <v>46752</v>
      </c>
      <c r="G20" s="7">
        <v>303</v>
      </c>
      <c r="H20" s="9">
        <f t="shared" si="12"/>
        <v>6.4810061601642708E-3</v>
      </c>
      <c r="I20" s="9">
        <f>IFERROR((50525-F20)/50525,0)</f>
        <v>7.4675903018307774E-2</v>
      </c>
      <c r="J20" s="7">
        <v>291840</v>
      </c>
      <c r="K20" s="11">
        <f t="shared" si="13"/>
        <v>89.175711352302727</v>
      </c>
      <c r="L20" s="11">
        <f>K20-87.6118</f>
        <v>1.5639113523027248</v>
      </c>
      <c r="M20" s="11">
        <v>91</v>
      </c>
      <c r="N20" s="11">
        <f t="shared" si="14"/>
        <v>-1.8242886476972728</v>
      </c>
      <c r="O20" s="11">
        <f>IFERROR(8262630/50525,0)</f>
        <v>163.53547748639286</v>
      </c>
      <c r="P20" s="11">
        <v>177</v>
      </c>
      <c r="Q20" s="11">
        <f t="shared" si="15"/>
        <v>-13.464522513607136</v>
      </c>
      <c r="R20" s="7">
        <v>37802</v>
      </c>
      <c r="S20" s="11">
        <f t="shared" si="16"/>
        <v>115.50919135621396</v>
      </c>
      <c r="T20" s="13">
        <f t="shared" si="17"/>
        <v>7.7202264430453411</v>
      </c>
      <c r="U20" s="7">
        <v>66786</v>
      </c>
      <c r="V20" s="11">
        <f t="shared" si="18"/>
        <v>204.0737753006747</v>
      </c>
      <c r="W20" s="11">
        <f t="shared" si="19"/>
        <v>1.7667319189460873</v>
      </c>
      <c r="X20" s="11">
        <v>307.30571428569999</v>
      </c>
      <c r="Y20" s="11">
        <f t="shared" si="20"/>
        <v>129.52987938596493</v>
      </c>
      <c r="Z20" s="11">
        <f t="shared" si="21"/>
        <v>39.805272106044519</v>
      </c>
      <c r="AA20" s="7">
        <v>0</v>
      </c>
      <c r="AB20" s="15">
        <f>IFERROR(AA20/1580,0)</f>
        <v>0</v>
      </c>
      <c r="AC20" s="11">
        <v>0</v>
      </c>
      <c r="AD20" s="15">
        <f>IFERROR(AC20/62,0)</f>
        <v>0</v>
      </c>
      <c r="AE20" s="11">
        <v>19</v>
      </c>
      <c r="AF20" s="11">
        <v>25</v>
      </c>
      <c r="AG20" s="7">
        <f t="shared" si="22"/>
        <v>-5970.2400000000034</v>
      </c>
      <c r="AH20" s="7">
        <v>36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IFERROR(1000/F20,0)</f>
        <v>2.138945927446954E-2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64</v>
      </c>
      <c r="B21" s="5">
        <v>66</v>
      </c>
      <c r="C21" s="7"/>
      <c r="D21" s="7">
        <v>7</v>
      </c>
      <c r="E21" s="7">
        <v>50845</v>
      </c>
      <c r="F21" s="7">
        <v>47231</v>
      </c>
      <c r="G21" s="7">
        <v>133</v>
      </c>
      <c r="H21" s="9">
        <f t="shared" si="12"/>
        <v>2.8159471533526709E-3</v>
      </c>
      <c r="I21" s="9">
        <f>IFERROR((50845-F21)/50845,0)</f>
        <v>7.1078768807159007E-2</v>
      </c>
      <c r="J21" s="7">
        <v>290300</v>
      </c>
      <c r="K21" s="11">
        <f t="shared" si="13"/>
        <v>87.805527241490907</v>
      </c>
      <c r="L21" s="11">
        <f>K21-87.4866</f>
        <v>0.31892724149091123</v>
      </c>
      <c r="M21" s="11">
        <v>89.65</v>
      </c>
      <c r="N21" s="11">
        <f t="shared" si="14"/>
        <v>-1.8444727585090988</v>
      </c>
      <c r="O21" s="11">
        <f>IFERROR(14612630/50845,0)</f>
        <v>287.39561412134918</v>
      </c>
      <c r="P21" s="11">
        <v>292</v>
      </c>
      <c r="Q21" s="11">
        <f t="shared" si="15"/>
        <v>-4.6043858786508167</v>
      </c>
      <c r="R21" s="7">
        <v>38721</v>
      </c>
      <c r="S21" s="11">
        <f t="shared" si="16"/>
        <v>117.1173896079149</v>
      </c>
      <c r="T21" s="13">
        <f t="shared" si="17"/>
        <v>7.4972237287260146</v>
      </c>
      <c r="U21" s="7">
        <v>66900</v>
      </c>
      <c r="V21" s="11">
        <f t="shared" si="18"/>
        <v>202.34894152448302</v>
      </c>
      <c r="W21" s="11">
        <f t="shared" si="19"/>
        <v>1.7277446346943519</v>
      </c>
      <c r="X21" s="11">
        <v>312.11</v>
      </c>
      <c r="Y21" s="11">
        <f t="shared" si="20"/>
        <v>133.38270754392011</v>
      </c>
      <c r="Z21" s="11">
        <f t="shared" si="21"/>
        <v>41.630076851532905</v>
      </c>
      <c r="AA21" s="7">
        <v>0</v>
      </c>
      <c r="AB21" s="15">
        <f>IFERROR(AA21/1725,0)</f>
        <v>0</v>
      </c>
      <c r="AC21" s="11">
        <v>0</v>
      </c>
      <c r="AD21" s="15">
        <f>IFERROR(AC21/63.5,0)</f>
        <v>0</v>
      </c>
      <c r="AE21" s="11">
        <v>21</v>
      </c>
      <c r="AF21" s="11">
        <v>25</v>
      </c>
      <c r="AG21" s="7">
        <f t="shared" si="22"/>
        <v>-6098.1405000000268</v>
      </c>
      <c r="AH21" s="7">
        <v>29</v>
      </c>
      <c r="AI21" s="7">
        <v>23.448275862100001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IFERROR(1400/F21,0)</f>
        <v>2.9641548982659693E-2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65</v>
      </c>
      <c r="B22" s="5">
        <v>33</v>
      </c>
      <c r="C22" s="7"/>
      <c r="D22" s="7">
        <v>7</v>
      </c>
      <c r="E22" s="7">
        <v>21024</v>
      </c>
      <c r="F22" s="7">
        <v>20083</v>
      </c>
      <c r="G22" s="7">
        <v>79</v>
      </c>
      <c r="H22" s="9">
        <f t="shared" si="12"/>
        <v>3.9336752477219543E-3</v>
      </c>
      <c r="I22" s="9">
        <f>IFERROR((21024-F22)/21024,0)</f>
        <v>4.4758371385083713E-2</v>
      </c>
      <c r="J22" s="7">
        <v>96720</v>
      </c>
      <c r="K22" s="11">
        <f t="shared" si="13"/>
        <v>68.800193482760832</v>
      </c>
      <c r="L22" s="11">
        <f>K22-70.7838</f>
        <v>-1.983606517239167</v>
      </c>
      <c r="M22" s="11">
        <v>94.5</v>
      </c>
      <c r="N22" s="11">
        <f t="shared" si="14"/>
        <v>-25.699806517239168</v>
      </c>
      <c r="O22" s="11">
        <f>IFERROR(1137660/21024,0)</f>
        <v>54.112442922374427</v>
      </c>
      <c r="P22" s="11">
        <v>91</v>
      </c>
      <c r="Q22" s="11">
        <f t="shared" si="15"/>
        <v>-36.887557077625573</v>
      </c>
      <c r="R22" s="7">
        <v>18240</v>
      </c>
      <c r="S22" s="11">
        <f t="shared" si="16"/>
        <v>129.74726314366808</v>
      </c>
      <c r="T22" s="13">
        <f t="shared" si="17"/>
        <v>5.3026315789473681</v>
      </c>
      <c r="U22" s="7">
        <v>21420</v>
      </c>
      <c r="V22" s="11">
        <f t="shared" si="18"/>
        <v>152.36767415226811</v>
      </c>
      <c r="W22" s="11">
        <f t="shared" si="19"/>
        <v>1.174342105263158</v>
      </c>
      <c r="X22" s="11">
        <v>317.82142857140002</v>
      </c>
      <c r="Y22" s="11">
        <f t="shared" si="20"/>
        <v>188.58560794044666</v>
      </c>
      <c r="Z22" s="11">
        <f t="shared" si="21"/>
        <v>59.93654732363872</v>
      </c>
      <c r="AA22" s="7">
        <v>0</v>
      </c>
      <c r="AB22" s="15">
        <f>IFERROR(AA22/1910,0)</f>
        <v>0</v>
      </c>
      <c r="AC22" s="11">
        <v>0</v>
      </c>
      <c r="AD22" s="15">
        <f>IFERROR(AC22/61.5,0)</f>
        <v>0</v>
      </c>
      <c r="AE22" s="11">
        <v>18</v>
      </c>
      <c r="AF22" s="11">
        <v>26</v>
      </c>
      <c r="AG22" s="7">
        <f t="shared" si="22"/>
        <v>-36129.044999999991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57</v>
      </c>
      <c r="C23" s="7"/>
      <c r="D23" s="7">
        <v>7</v>
      </c>
      <c r="E23" s="7">
        <v>21875</v>
      </c>
      <c r="F23" s="7">
        <v>20532</v>
      </c>
      <c r="G23" s="7">
        <v>67</v>
      </c>
      <c r="H23" s="9">
        <f t="shared" si="12"/>
        <v>3.2631989090200664E-3</v>
      </c>
      <c r="I23" s="9">
        <f>IFERROR((21875-F23)/21875,0)</f>
        <v>6.1394285714285714E-2</v>
      </c>
      <c r="J23" s="7">
        <v>128400</v>
      </c>
      <c r="K23" s="11">
        <f t="shared" si="13"/>
        <v>89.337897637137843</v>
      </c>
      <c r="L23" s="11">
        <f>K23-94.8451</f>
        <v>-5.5072023628621594</v>
      </c>
      <c r="M23" s="11">
        <v>86</v>
      </c>
      <c r="N23" s="11">
        <f t="shared" si="14"/>
        <v>3.3378976371378428</v>
      </c>
      <c r="O23" s="11">
        <f>IFERROR(5235110/21875,0)</f>
        <v>239.31931428571428</v>
      </c>
      <c r="P23" s="11">
        <v>240</v>
      </c>
      <c r="Q23" s="11">
        <f t="shared" si="15"/>
        <v>-0.68068571428571545</v>
      </c>
      <c r="R23" s="7">
        <v>19080</v>
      </c>
      <c r="S23" s="11">
        <f t="shared" si="16"/>
        <v>132.7544460215413</v>
      </c>
      <c r="T23" s="13">
        <f t="shared" si="17"/>
        <v>6.7295597484276728</v>
      </c>
      <c r="U23" s="7">
        <v>27031</v>
      </c>
      <c r="V23" s="11">
        <f t="shared" si="18"/>
        <v>188.07575631070665</v>
      </c>
      <c r="W23" s="11">
        <f t="shared" si="19"/>
        <v>1.4167190775681342</v>
      </c>
      <c r="X23" s="11">
        <v>299.45999999999998</v>
      </c>
      <c r="Y23" s="11">
        <f t="shared" si="20"/>
        <v>148.59813084112153</v>
      </c>
      <c r="Z23" s="11">
        <f t="shared" si="21"/>
        <v>44.499196261682251</v>
      </c>
      <c r="AA23" s="7">
        <v>0</v>
      </c>
      <c r="AB23" s="15">
        <f>IFERROR(AA23/1960,0)</f>
        <v>0</v>
      </c>
      <c r="AC23" s="11">
        <v>0</v>
      </c>
      <c r="AD23" s="15">
        <f>IFERROR(AC23/63.6,0)</f>
        <v>0</v>
      </c>
      <c r="AE23" s="11">
        <v>21</v>
      </c>
      <c r="AF23" s="11">
        <v>25</v>
      </c>
      <c r="AG23" s="7">
        <f t="shared" si="22"/>
        <v>4797.3599999999924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IFERROR(595/F23,0)</f>
        <v>2.8979154490551336E-2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68</v>
      </c>
      <c r="B24" s="5">
        <v>47</v>
      </c>
      <c r="C24" s="7"/>
      <c r="D24" s="7">
        <v>7</v>
      </c>
      <c r="E24" s="7">
        <v>21339</v>
      </c>
      <c r="F24" s="7">
        <v>20393</v>
      </c>
      <c r="G24" s="7">
        <v>58</v>
      </c>
      <c r="H24" s="9">
        <f t="shared" si="12"/>
        <v>2.8441131760898347E-3</v>
      </c>
      <c r="I24" s="9">
        <f>IFERROR((21339-F24)/21339,0)</f>
        <v>4.4331974319321434E-2</v>
      </c>
      <c r="J24" s="7">
        <v>132160</v>
      </c>
      <c r="K24" s="11">
        <f t="shared" si="13"/>
        <v>92.580787525131171</v>
      </c>
      <c r="L24" s="11">
        <f>K24-99.2058</f>
        <v>-6.6250124748688251</v>
      </c>
      <c r="M24" s="11">
        <v>89</v>
      </c>
      <c r="N24" s="11">
        <f t="shared" si="14"/>
        <v>3.5807875251311714</v>
      </c>
      <c r="O24" s="11">
        <f>IFERROR(3661290/21339,0)</f>
        <v>171.57739350485028</v>
      </c>
      <c r="P24" s="11">
        <v>180</v>
      </c>
      <c r="Q24" s="11">
        <f t="shared" si="15"/>
        <v>-8.4226064951497222</v>
      </c>
      <c r="R24" s="7">
        <v>19210</v>
      </c>
      <c r="S24" s="11">
        <f t="shared" si="16"/>
        <v>134.56998549922591</v>
      </c>
      <c r="T24" s="13">
        <f t="shared" si="17"/>
        <v>6.8797501301405521</v>
      </c>
      <c r="U24" s="7">
        <v>33392</v>
      </c>
      <c r="V24" s="11">
        <f t="shared" si="18"/>
        <v>233.91780092608809</v>
      </c>
      <c r="W24" s="11">
        <f t="shared" si="19"/>
        <v>1.7382613222280066</v>
      </c>
      <c r="X24" s="11">
        <v>289.11714285710002</v>
      </c>
      <c r="Y24" s="11">
        <f t="shared" si="20"/>
        <v>145.3541162227603</v>
      </c>
      <c r="Z24" s="11">
        <f t="shared" si="21"/>
        <v>42.024366784843309</v>
      </c>
      <c r="AA24" s="7">
        <v>0</v>
      </c>
      <c r="AB24" s="15">
        <f>IFERROR(AA24/1950,0)</f>
        <v>0</v>
      </c>
      <c r="AC24" s="11">
        <v>0</v>
      </c>
      <c r="AD24" s="15">
        <f>IFERROR(AC24/63.1,0)</f>
        <v>0</v>
      </c>
      <c r="AE24" s="11">
        <v>19</v>
      </c>
      <c r="AF24" s="11">
        <v>25</v>
      </c>
      <c r="AG24" s="7">
        <f t="shared" si="22"/>
        <v>5111.6099999999988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IFERROR(420/F24,0)</f>
        <v>2.0595302309616044E-2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69</v>
      </c>
      <c r="B25" s="5">
        <v>34</v>
      </c>
      <c r="C25" s="7"/>
      <c r="D25" s="7">
        <v>7</v>
      </c>
      <c r="E25" s="7">
        <v>64976</v>
      </c>
      <c r="F25" s="7">
        <v>63158</v>
      </c>
      <c r="G25" s="7">
        <v>97</v>
      </c>
      <c r="H25" s="9">
        <f t="shared" si="12"/>
        <v>1.5358307736153772E-3</v>
      </c>
      <c r="I25" s="9">
        <f>IFERROR((64976-F25)/64976,0)</f>
        <v>2.7979561684314209E-2</v>
      </c>
      <c r="J25" s="7">
        <v>425380</v>
      </c>
      <c r="K25" s="11">
        <f t="shared" si="13"/>
        <v>96.216744400664084</v>
      </c>
      <c r="L25" s="11">
        <f>K25-94.1224</f>
        <v>2.0943444006640846</v>
      </c>
      <c r="M25" s="11">
        <v>95</v>
      </c>
      <c r="N25" s="11">
        <f t="shared" si="14"/>
        <v>1.2167444006640835</v>
      </c>
      <c r="O25" s="11">
        <f>IFERROR(6104000/64976,0)</f>
        <v>93.942378724452112</v>
      </c>
      <c r="P25" s="11">
        <v>94</v>
      </c>
      <c r="Q25" s="11">
        <f t="shared" si="15"/>
        <v>-5.7621275547887763E-2</v>
      </c>
      <c r="R25" s="7">
        <v>50140</v>
      </c>
      <c r="S25" s="11">
        <f t="shared" si="16"/>
        <v>113.41171574237853</v>
      </c>
      <c r="T25" s="13">
        <f t="shared" si="17"/>
        <v>8.4838452333466297</v>
      </c>
      <c r="U25" s="7">
        <v>95150</v>
      </c>
      <c r="V25" s="11">
        <f t="shared" si="18"/>
        <v>215.21987939543911</v>
      </c>
      <c r="W25" s="11">
        <f t="shared" si="19"/>
        <v>1.8976864778619864</v>
      </c>
      <c r="X25" s="11">
        <v>297.8871428571</v>
      </c>
      <c r="Y25" s="11">
        <f t="shared" si="20"/>
        <v>117.87107997555131</v>
      </c>
      <c r="Z25" s="11">
        <f t="shared" si="21"/>
        <v>35.112279239397715</v>
      </c>
      <c r="AA25" s="7">
        <v>0</v>
      </c>
      <c r="AB25" s="15">
        <f>IFERROR(AA25/1550,0)</f>
        <v>0</v>
      </c>
      <c r="AC25" s="11">
        <v>0</v>
      </c>
      <c r="AD25" s="15">
        <f>IFERROR(AC25/59.3,0)</f>
        <v>0</v>
      </c>
      <c r="AE25" s="11">
        <v>20</v>
      </c>
      <c r="AF25" s="11">
        <v>26</v>
      </c>
      <c r="AG25" s="7">
        <f t="shared" si="22"/>
        <v>5379.2999999999529</v>
      </c>
      <c r="AH25" s="7">
        <v>12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70</v>
      </c>
      <c r="B26" s="5">
        <v>105</v>
      </c>
      <c r="C26" s="7">
        <v>33</v>
      </c>
      <c r="D26" s="7">
        <v>7</v>
      </c>
      <c r="E26" s="7">
        <v>47224</v>
      </c>
      <c r="F26" s="7">
        <v>40395</v>
      </c>
      <c r="G26" s="7">
        <v>177</v>
      </c>
      <c r="H26" s="9">
        <f t="shared" si="12"/>
        <v>4.3817304121797256E-3</v>
      </c>
      <c r="I26" s="9">
        <f>IFERROR((47224-F26)/47224,0)</f>
        <v>0.14460867355581908</v>
      </c>
      <c r="J26" s="7">
        <v>156740</v>
      </c>
      <c r="K26" s="11">
        <f t="shared" si="13"/>
        <v>55.431188442699778</v>
      </c>
      <c r="L26" s="11">
        <f>K26-54.2647</f>
        <v>1.1664884426997801</v>
      </c>
      <c r="M26" s="11">
        <v>71</v>
      </c>
      <c r="N26" s="11">
        <f t="shared" si="14"/>
        <v>-15.568811557300222</v>
      </c>
      <c r="O26" s="11">
        <f>IFERROR(18588140/47224,0)</f>
        <v>393.61638150093171</v>
      </c>
      <c r="P26" s="11">
        <v>0</v>
      </c>
      <c r="Q26" s="11">
        <f t="shared" si="15"/>
        <v>393.61638150093171</v>
      </c>
      <c r="R26" s="7">
        <v>35030</v>
      </c>
      <c r="S26" s="11">
        <f t="shared" si="16"/>
        <v>123.88379042667941</v>
      </c>
      <c r="T26" s="13">
        <f t="shared" si="17"/>
        <v>4.4744504710248361</v>
      </c>
      <c r="U26" s="7">
        <v>56000</v>
      </c>
      <c r="V26" s="11">
        <f t="shared" si="18"/>
        <v>198.04431241490283</v>
      </c>
      <c r="W26" s="11">
        <f t="shared" si="19"/>
        <v>1.598629745932058</v>
      </c>
      <c r="X26" s="11">
        <v>297.47285714290001</v>
      </c>
      <c r="Y26" s="11">
        <f t="shared" si="20"/>
        <v>223.4911318106418</v>
      </c>
      <c r="Z26" s="11">
        <f t="shared" si="21"/>
        <v>66.4825455258121</v>
      </c>
      <c r="AA26" s="7">
        <v>0</v>
      </c>
      <c r="AB26" s="15">
        <f>IFERROR(AA26/0,0)</f>
        <v>0</v>
      </c>
      <c r="AC26" s="11">
        <v>0</v>
      </c>
      <c r="AD26" s="15">
        <f>IFERROR(AC26/0,0)</f>
        <v>0</v>
      </c>
      <c r="AE26" s="11">
        <v>13</v>
      </c>
      <c r="AF26" s="11">
        <v>26</v>
      </c>
      <c r="AG26" s="7">
        <f t="shared" si="22"/>
        <v>-44023.149999999965</v>
      </c>
      <c r="AH26" s="7">
        <v>39</v>
      </c>
      <c r="AI26" s="7">
        <v>32.820512820499999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IFERROR(1310/F26,0)</f>
        <v>3.2429756157940338E-2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25</v>
      </c>
      <c r="C27" s="7"/>
      <c r="D27" s="7">
        <v>7</v>
      </c>
      <c r="E27" s="7">
        <v>24546</v>
      </c>
      <c r="F27" s="7">
        <v>24169</v>
      </c>
      <c r="G27" s="7">
        <v>123</v>
      </c>
      <c r="H27" s="9">
        <f t="shared" si="12"/>
        <v>5.0891638048740119E-3</v>
      </c>
      <c r="I27" s="9">
        <f>IFERROR((24546-F27)/24546,0)</f>
        <v>1.5358917949971481E-2</v>
      </c>
      <c r="J27" s="7">
        <v>154200</v>
      </c>
      <c r="K27" s="11">
        <f t="shared" si="13"/>
        <v>91.143909258022376</v>
      </c>
      <c r="L27" s="11">
        <f>K27-89.0005</f>
        <v>2.1434092580223734</v>
      </c>
      <c r="M27" s="11">
        <v>94</v>
      </c>
      <c r="N27" s="11">
        <f t="shared" si="14"/>
        <v>-2.8560907419776242</v>
      </c>
      <c r="O27" s="11">
        <f>IFERROR(784240/24546,0)</f>
        <v>31.949808522773569</v>
      </c>
      <c r="P27" s="11">
        <v>34</v>
      </c>
      <c r="Q27" s="11">
        <f t="shared" si="15"/>
        <v>-2.0501914772264307</v>
      </c>
      <c r="R27" s="7">
        <v>18960</v>
      </c>
      <c r="S27" s="11">
        <f t="shared" si="16"/>
        <v>112.06799737562284</v>
      </c>
      <c r="T27" s="13">
        <f t="shared" si="17"/>
        <v>8.1329113924050631</v>
      </c>
      <c r="U27" s="7">
        <v>28600</v>
      </c>
      <c r="V27" s="11">
        <f t="shared" si="18"/>
        <v>169.04771756027498</v>
      </c>
      <c r="W27" s="11">
        <f t="shared" si="19"/>
        <v>1.508438818565401</v>
      </c>
      <c r="X27" s="11">
        <v>303.06285714289999</v>
      </c>
      <c r="Y27" s="11">
        <f t="shared" si="20"/>
        <v>122.95719844357976</v>
      </c>
      <c r="Z27" s="11">
        <f t="shared" si="21"/>
        <v>37.263759866597816</v>
      </c>
      <c r="AA27" s="7">
        <v>0</v>
      </c>
      <c r="AB27" s="15">
        <f>IFERROR(AA27/1500,0)</f>
        <v>0</v>
      </c>
      <c r="AC27" s="11">
        <v>0</v>
      </c>
      <c r="AD27" s="15">
        <f>IFERROR(AC27/53.7,0)</f>
        <v>0</v>
      </c>
      <c r="AE27" s="11">
        <v>14</v>
      </c>
      <c r="AF27" s="11">
        <v>27</v>
      </c>
      <c r="AG27" s="7">
        <f t="shared" si="22"/>
        <v>-4832.0200000000041</v>
      </c>
      <c r="AH27" s="7">
        <v>33</v>
      </c>
      <c r="AI27" s="7">
        <v>20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25</v>
      </c>
      <c r="C28" s="7"/>
      <c r="D28" s="7">
        <v>7</v>
      </c>
      <c r="E28" s="7">
        <v>12056</v>
      </c>
      <c r="F28" s="7">
        <v>11885</v>
      </c>
      <c r="G28" s="7">
        <v>30</v>
      </c>
      <c r="H28" s="9">
        <f t="shared" si="12"/>
        <v>2.5241901556583928E-3</v>
      </c>
      <c r="I28" s="9">
        <f>IFERROR((12056-F28)/12056,0)</f>
        <v>1.4183808891838089E-2</v>
      </c>
      <c r="J28" s="7">
        <v>76300</v>
      </c>
      <c r="K28" s="11">
        <f t="shared" si="13"/>
        <v>91.712242322254951</v>
      </c>
      <c r="L28" s="11">
        <f>K28-91.0017</f>
        <v>0.71054232225495184</v>
      </c>
      <c r="M28" s="11">
        <v>94</v>
      </c>
      <c r="N28" s="11">
        <f t="shared" si="14"/>
        <v>-2.2877576777450486</v>
      </c>
      <c r="O28" s="11">
        <f>IFERROR(476490/12056,0)</f>
        <v>39.523059057730592</v>
      </c>
      <c r="P28" s="11">
        <v>38</v>
      </c>
      <c r="Q28" s="11">
        <f t="shared" si="15"/>
        <v>1.5230590577305918</v>
      </c>
      <c r="R28" s="7">
        <v>10410</v>
      </c>
      <c r="S28" s="11">
        <f t="shared" si="16"/>
        <v>125.12771200192319</v>
      </c>
      <c r="T28" s="13">
        <f t="shared" si="17"/>
        <v>7.329490874159462</v>
      </c>
      <c r="U28" s="7">
        <v>13900</v>
      </c>
      <c r="V28" s="11">
        <f t="shared" si="18"/>
        <v>167.07734839834126</v>
      </c>
      <c r="W28" s="11">
        <f t="shared" si="19"/>
        <v>1.3352545629202692</v>
      </c>
      <c r="X28" s="11">
        <v>300.88857142860002</v>
      </c>
      <c r="Y28" s="11">
        <f t="shared" si="20"/>
        <v>136.43512450851901</v>
      </c>
      <c r="Z28" s="11">
        <f t="shared" si="21"/>
        <v>41.051769706051459</v>
      </c>
      <c r="AA28" s="7">
        <v>0</v>
      </c>
      <c r="AB28" s="15">
        <f>IFERROR(AA28/1850,0)</f>
        <v>0</v>
      </c>
      <c r="AC28" s="11">
        <v>0</v>
      </c>
      <c r="AD28" s="15">
        <f>IFERROR(AC28/57.8,0)</f>
        <v>0</v>
      </c>
      <c r="AE28" s="11">
        <v>14</v>
      </c>
      <c r="AF28" s="11">
        <v>27</v>
      </c>
      <c r="AG28" s="7">
        <f t="shared" si="22"/>
        <v>-1903.2999999999934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AVERAGE(D14:D28)</f>
        <v>7</v>
      </c>
      <c r="E29" s="17">
        <f>SUM(E14:E28)</f>
        <v>555100</v>
      </c>
      <c r="F29" s="17">
        <f>SUM(F14:F28)</f>
        <v>513660</v>
      </c>
      <c r="G29" s="17">
        <f>SUM(G14:G28)</f>
        <v>2362</v>
      </c>
      <c r="H29" s="18">
        <f t="shared" si="12"/>
        <v>4.5983724642759804E-3</v>
      </c>
      <c r="I29" s="18"/>
      <c r="J29" s="17">
        <f>SUM(J14:J28)</f>
        <v>2926120</v>
      </c>
      <c r="K29" s="19">
        <f t="shared" si="13"/>
        <v>81.38012359481813</v>
      </c>
      <c r="L29" s="19"/>
      <c r="M29" s="19">
        <f>IFERROR(SUMPRODUCT($F14:$F28,M14:M28)/$F29, 0)</f>
        <v>88.290929797920811</v>
      </c>
      <c r="N29" s="19">
        <f t="shared" si="14"/>
        <v>-6.9108062031026805</v>
      </c>
      <c r="O29" s="19">
        <f>IFERROR(SUMPRODUCT($E14:$E28,O14:O28)/$E29, 0)</f>
        <v>214.69710502612142</v>
      </c>
      <c r="P29" s="19">
        <f>IFERROR(SUMPRODUCT($E14:$E28,P14:P28)/$E29, 0)</f>
        <v>179.51994955863807</v>
      </c>
      <c r="Q29" s="19">
        <f>IFERROR(SUMPRODUCT($E14:$E28,Q14:Q28)/$E29, 0)</f>
        <v>35.177155467483338</v>
      </c>
      <c r="R29" s="17">
        <f>SUM(R14:R28)</f>
        <v>424142</v>
      </c>
      <c r="S29" s="19">
        <f>IFERROR(R29/D29/$F29*1000,0)</f>
        <v>117.96074112392299</v>
      </c>
      <c r="T29" s="20">
        <f t="shared" si="17"/>
        <v>6.8989159290992168</v>
      </c>
      <c r="U29" s="17">
        <f>SUM(U14:U28)</f>
        <v>704927</v>
      </c>
      <c r="V29" s="19">
        <f>IFERROR(U29/D29/$F29*1000,0)</f>
        <v>196.05158498395269</v>
      </c>
      <c r="W29" s="19">
        <f t="shared" si="19"/>
        <v>1.6620070636720721</v>
      </c>
      <c r="X29" s="19">
        <f>IFERROR(SUMPRODUCT(R14:R28,X14:X28)/R29,0)</f>
        <v>304.87829100024601</v>
      </c>
      <c r="Y29" s="19">
        <f>IFERROR(($F29*S29)/($F29*K29)*100,0)</f>
        <v>144.95030962503245</v>
      </c>
      <c r="Z29" s="19">
        <f t="shared" si="21"/>
        <v>44.192202678436402</v>
      </c>
      <c r="AA29" s="17"/>
      <c r="AB29" s="21">
        <f>IFERROR(SUMPRODUCT($F14:$F28,AB14:AB28)/$F29,0)</f>
        <v>0</v>
      </c>
      <c r="AC29" s="19"/>
      <c r="AD29" s="21">
        <f>AVERAGE(AD14:AD28)</f>
        <v>0</v>
      </c>
      <c r="AE29" s="19"/>
      <c r="AF29" s="19"/>
      <c r="AG29" s="17">
        <f>SUM(AG14:AG28)</f>
        <v>-248486.33000000007</v>
      </c>
      <c r="AH29" s="17">
        <f>SUM(AH14:AH28)</f>
        <v>267</v>
      </c>
      <c r="AI29" s="17">
        <f>IFERROR(SUMPRODUCT(AH14:AH28,AI14:AI28)/AH29, 0)</f>
        <v>18.202247191006744</v>
      </c>
      <c r="AJ29" s="19">
        <f>AVERAGE(AJ14:AJ28)</f>
        <v>0</v>
      </c>
      <c r="AK29" s="19">
        <f>AVERAGE(AK14:AK28)</f>
        <v>0</v>
      </c>
      <c r="AL29" s="19">
        <f>AVERAGE(AL14:AL28)</f>
        <v>0</v>
      </c>
      <c r="AM29" s="19">
        <f>AVERAGE(AM14:AM28)</f>
        <v>0</v>
      </c>
      <c r="AN29" s="19">
        <f>AVERAGE(AN14:AN28)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IFERROR($F$12/$F31*D$12,0)+IFERROR($F$29/$F31*D$29,0)</f>
        <v>6.9375973306341905</v>
      </c>
      <c r="E31" s="23">
        <f>E12+E29</f>
        <v>604698</v>
      </c>
      <c r="F31" s="23">
        <f>F12+F29</f>
        <v>555238</v>
      </c>
      <c r="G31" s="23">
        <f>G12+G29</f>
        <v>2524</v>
      </c>
      <c r="H31" s="24">
        <f>IFERROR(G31/F31,0)</f>
        <v>4.545798378353067E-3</v>
      </c>
      <c r="I31" s="23"/>
      <c r="J31" s="23">
        <f>J12+J29</f>
        <v>3112390</v>
      </c>
      <c r="K31" s="25">
        <f>IFERROR(J31/D31/F31*100,0)</f>
        <v>80.798954452701111</v>
      </c>
      <c r="L31" s="23"/>
      <c r="M31" s="25">
        <f>IFERROR($F$12/$F31*M$12,0)+IFERROR($F$29/$F31*M$29,0)</f>
        <v>87.541578566308516</v>
      </c>
      <c r="N31" s="25">
        <f>K31-M31</f>
        <v>-6.7426241136074054</v>
      </c>
      <c r="O31" s="23">
        <f>IFERROR($E$12/$E31*O$12,0)+IFERROR($E$29/$E31*O$29,0)</f>
        <v>222.38168308808696</v>
      </c>
      <c r="P31" s="23">
        <f>IFERROR($E$12/$E31*P$12,0)+IFERROR($E$29/$E31*P$29,0)</f>
        <v>168.56798600293038</v>
      </c>
      <c r="Q31" s="23">
        <f>IFERROR($E$12/$E31*Q$12,0)+IFERROR($E$29/$E31*Q$29,0)</f>
        <v>53.813697085156562</v>
      </c>
      <c r="R31" s="23">
        <f>R12+R29</f>
        <v>457487</v>
      </c>
      <c r="S31" s="25">
        <f>IFERROR(R31/D31/$F31*1000,0)</f>
        <v>118.7655508329704</v>
      </c>
      <c r="T31" s="26">
        <f>IFERROR(J31/R31,0)</f>
        <v>6.8032315672357901</v>
      </c>
      <c r="U31" s="23">
        <f>U12+U29</f>
        <v>716447</v>
      </c>
      <c r="V31" s="25">
        <f>IFERROR(U31/D31/$F31*1000,0)</f>
        <v>185.99265683533989</v>
      </c>
      <c r="W31" s="25">
        <f>IFERROR(V31/S31,0)</f>
        <v>1.5660488713340486</v>
      </c>
      <c r="X31" s="25">
        <f>IFERROR($F$12/$F31*X$12,0)+IFERROR($F$29/$F31*X$29,0)</f>
        <v>309.06718102764808</v>
      </c>
      <c r="Y31" s="25">
        <f>IFERROR(($F31*S31)/($F31*K31)*100,0)</f>
        <v>146.9889698913054</v>
      </c>
      <c r="Z31" s="25">
        <f>IFERROR(Y31*X31/1000,0)</f>
        <v>45.429466566463596</v>
      </c>
      <c r="AA31" s="23"/>
      <c r="AB31" s="27"/>
      <c r="AC31" s="23"/>
      <c r="AD31" s="27"/>
      <c r="AE31" s="23"/>
      <c r="AF31" s="23"/>
      <c r="AG31" s="23">
        <f>AG12+AG29</f>
        <v>-274683.77000000008</v>
      </c>
      <c r="AH31" s="23">
        <f>AH12+AH29</f>
        <v>267</v>
      </c>
      <c r="AI31" s="23">
        <f>IFERROR(AH$12/AH31*AI$12,0)+IFERROR(AH$29/AH31*AI$29,0)</f>
        <v>18.202247191006744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30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58</v>
      </c>
      <c r="P34" s="32" t="s">
        <v>59</v>
      </c>
      <c r="Q34" s="32" t="s">
        <v>80</v>
      </c>
      <c r="R34" s="32" t="s">
        <v>60</v>
      </c>
      <c r="S34" s="32" t="s">
        <v>69</v>
      </c>
      <c r="T34" s="32" t="s">
        <v>61</v>
      </c>
      <c r="U34" s="32" t="s">
        <v>70</v>
      </c>
      <c r="V34" s="32" t="s">
        <v>71</v>
      </c>
      <c r="W34" s="32" t="s">
        <v>72</v>
      </c>
      <c r="X34" s="32" t="s">
        <v>62</v>
      </c>
      <c r="Y34" s="32" t="s">
        <v>66</v>
      </c>
      <c r="Z34" s="32" t="s">
        <v>67</v>
      </c>
      <c r="AA34" s="32" t="s">
        <v>81</v>
      </c>
      <c r="AB34" s="32" t="s">
        <v>63</v>
      </c>
      <c r="AC34" s="32" t="s">
        <v>68</v>
      </c>
      <c r="AD34" s="32" t="s">
        <v>64</v>
      </c>
    </row>
    <row r="35" spans="1:30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>
        <v>5.7999999999999996E-3</v>
      </c>
      <c r="P35" s="8">
        <v>2.3999999999999998E-3</v>
      </c>
      <c r="Q35" s="8">
        <v>3.3999999999999998E-3</v>
      </c>
      <c r="R35" s="8">
        <v>1.6999999999999999E-3</v>
      </c>
      <c r="S35" s="8"/>
      <c r="T35" s="8">
        <v>2.5000000000000001E-3</v>
      </c>
      <c r="U35" s="8">
        <v>5.3E-3</v>
      </c>
      <c r="V35" s="8">
        <v>6.3E-3</v>
      </c>
      <c r="W35" s="8">
        <v>2.7000000000000001E-3</v>
      </c>
      <c r="X35" s="8">
        <v>1.5E-3</v>
      </c>
      <c r="Y35" s="8">
        <v>1.4E-3</v>
      </c>
      <c r="Z35" s="8">
        <v>2.8E-3</v>
      </c>
      <c r="AA35" s="8">
        <v>1.6999999999999999E-3</v>
      </c>
      <c r="AB35" s="8"/>
      <c r="AC35" s="8"/>
      <c r="AD35" s="8">
        <v>6.9999999999999999E-4</v>
      </c>
    </row>
    <row r="36" spans="1:30" x14ac:dyDescent="0.3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>
        <v>1.32E-2</v>
      </c>
      <c r="P36" s="9">
        <v>2.3999999999999998E-3</v>
      </c>
      <c r="Q36" s="9">
        <v>4.1999999999999997E-3</v>
      </c>
      <c r="R36" s="9">
        <v>1.6999999999999999E-3</v>
      </c>
      <c r="S36" s="9"/>
      <c r="T36" s="9">
        <v>2.5000000000000001E-3</v>
      </c>
      <c r="U36" s="9">
        <v>5.7999999999999996E-3</v>
      </c>
      <c r="V36" s="9">
        <v>3.5999999999999999E-3</v>
      </c>
      <c r="W36" s="9">
        <v>2.3E-3</v>
      </c>
      <c r="X36" s="9">
        <v>1.5E-3</v>
      </c>
      <c r="Y36" s="9">
        <v>1E-3</v>
      </c>
      <c r="Z36" s="9">
        <v>3.0000000000000001E-3</v>
      </c>
      <c r="AA36" s="9">
        <v>1.8E-3</v>
      </c>
      <c r="AB36" s="9"/>
      <c r="AC36" s="9"/>
      <c r="AD36" s="9">
        <v>1E-3</v>
      </c>
    </row>
    <row r="37" spans="1:30" x14ac:dyDescent="0.3">
      <c r="B37" s="5">
        <v>202503</v>
      </c>
      <c r="C37" s="5"/>
      <c r="D37" s="9">
        <v>2.8E-3</v>
      </c>
      <c r="E37" s="9">
        <v>4.8999999999999998E-3</v>
      </c>
      <c r="F37" s="9">
        <v>2.5999999999999999E-3</v>
      </c>
      <c r="G37" s="9">
        <v>5.8999999999999999E-3</v>
      </c>
      <c r="H37" s="9">
        <v>5.8999999999999999E-3</v>
      </c>
      <c r="I37" s="9">
        <v>3.5999999999999999E-3</v>
      </c>
      <c r="J37" s="9">
        <v>3.3999999999999998E-3</v>
      </c>
      <c r="K37" s="9">
        <v>3.2000000000000002E-3</v>
      </c>
      <c r="L37" s="9">
        <v>3.0000000000000001E-3</v>
      </c>
      <c r="M37" s="9">
        <v>2.2000000000000001E-3</v>
      </c>
      <c r="N37" s="9">
        <v>1.6000000000000001E-3</v>
      </c>
      <c r="O37" s="9">
        <v>9.7999999999999997E-3</v>
      </c>
      <c r="P37" s="9">
        <v>2.5000000000000001E-3</v>
      </c>
      <c r="Q37" s="9">
        <v>3.3E-3</v>
      </c>
      <c r="R37" s="9">
        <v>1.8E-3</v>
      </c>
      <c r="S37" s="9"/>
      <c r="T37" s="9">
        <v>2.5000000000000001E-3</v>
      </c>
      <c r="U37" s="9">
        <v>5.4999999999999997E-3</v>
      </c>
      <c r="V37" s="9">
        <v>3.5000000000000001E-3</v>
      </c>
      <c r="W37" s="9">
        <v>2.5000000000000001E-3</v>
      </c>
      <c r="X37" s="9">
        <v>1.6999999999999999E-3</v>
      </c>
      <c r="Y37" s="9">
        <v>6.9999999999999999E-4</v>
      </c>
      <c r="Z37" s="9">
        <v>2.8E-3</v>
      </c>
      <c r="AA37" s="9">
        <v>1.4E-3</v>
      </c>
      <c r="AB37" s="9"/>
      <c r="AC37" s="9"/>
      <c r="AD37" s="9">
        <v>1.6000000000000001E-3</v>
      </c>
    </row>
    <row r="38" spans="1:30" x14ac:dyDescent="0.3">
      <c r="B38" s="5">
        <v>202504</v>
      </c>
      <c r="C38" s="5"/>
      <c r="D38" s="9">
        <v>2.5999999999999999E-3</v>
      </c>
      <c r="E38" s="9">
        <v>5.1000000000000004E-3</v>
      </c>
      <c r="F38" s="9">
        <v>2.3999999999999998E-3</v>
      </c>
      <c r="G38" s="9">
        <v>5.8999999999999999E-3</v>
      </c>
      <c r="H38" s="9">
        <v>5.7999999999999996E-3</v>
      </c>
      <c r="I38" s="9">
        <v>6.3E-3</v>
      </c>
      <c r="J38" s="9">
        <v>5.0000000000000001E-3</v>
      </c>
      <c r="K38" s="9">
        <v>4.1000000000000003E-3</v>
      </c>
      <c r="L38" s="9">
        <v>1.9E-3</v>
      </c>
      <c r="M38" s="9">
        <v>2.3999999999999998E-3</v>
      </c>
      <c r="N38" s="9">
        <v>2.2000000000000001E-3</v>
      </c>
      <c r="O38" s="9">
        <v>7.3000000000000001E-3</v>
      </c>
      <c r="P38" s="9">
        <v>2.5000000000000001E-3</v>
      </c>
      <c r="Q38" s="9">
        <v>4.1000000000000003E-3</v>
      </c>
      <c r="R38" s="9">
        <v>1.6999999999999999E-3</v>
      </c>
      <c r="S38" s="9"/>
      <c r="T38" s="9">
        <v>2.5999999999999999E-3</v>
      </c>
      <c r="U38" s="9">
        <v>3.2000000000000002E-3</v>
      </c>
      <c r="V38" s="9">
        <v>3.7000000000000002E-3</v>
      </c>
      <c r="W38" s="9">
        <v>2.5000000000000001E-3</v>
      </c>
      <c r="X38" s="9">
        <v>1.6000000000000001E-3</v>
      </c>
      <c r="Y38" s="9">
        <v>8.9999999999999998E-4</v>
      </c>
      <c r="Z38" s="9">
        <v>3.5000000000000001E-3</v>
      </c>
      <c r="AA38" s="9">
        <v>1.6000000000000001E-3</v>
      </c>
      <c r="AB38" s="9"/>
      <c r="AC38" s="9"/>
      <c r="AD38" s="9">
        <v>8.9999999999999998E-4</v>
      </c>
    </row>
    <row r="39" spans="1:30" x14ac:dyDescent="0.3">
      <c r="B39" s="5">
        <v>202505</v>
      </c>
      <c r="C39" s="5"/>
      <c r="D39" s="9">
        <v>2.5999999999999999E-3</v>
      </c>
      <c r="E39" s="9">
        <v>4.1000000000000003E-3</v>
      </c>
      <c r="F39" s="9">
        <v>2.5000000000000001E-3</v>
      </c>
      <c r="G39" s="9">
        <v>5.3E-3</v>
      </c>
      <c r="H39" s="9">
        <v>4.7000000000000002E-3</v>
      </c>
      <c r="I39" s="9">
        <v>2.7000000000000001E-3</v>
      </c>
      <c r="J39" s="9">
        <v>1.6000000000000001E-3</v>
      </c>
      <c r="K39" s="9">
        <v>3.0000000000000001E-3</v>
      </c>
      <c r="L39" s="9">
        <v>2.8E-3</v>
      </c>
      <c r="M39" s="9">
        <v>2.5000000000000001E-3</v>
      </c>
      <c r="N39" s="9">
        <v>2.7000000000000001E-3</v>
      </c>
      <c r="O39" s="9">
        <v>4.5999999999999999E-3</v>
      </c>
      <c r="P39" s="9">
        <v>4.1000000000000003E-3</v>
      </c>
      <c r="Q39" s="9">
        <v>4.1000000000000003E-3</v>
      </c>
      <c r="R39" s="9">
        <v>1.6999999999999999E-3</v>
      </c>
      <c r="S39" s="9"/>
      <c r="T39" s="9">
        <v>2.3E-3</v>
      </c>
      <c r="U39" s="9">
        <v>2.2000000000000001E-3</v>
      </c>
      <c r="V39" s="9">
        <v>4.4000000000000003E-3</v>
      </c>
      <c r="W39" s="9">
        <v>2.3E-3</v>
      </c>
      <c r="X39" s="9">
        <v>1.6000000000000001E-3</v>
      </c>
      <c r="Y39" s="9">
        <v>8.9999999999999998E-4</v>
      </c>
      <c r="Z39" s="9">
        <v>3.0999999999999999E-3</v>
      </c>
      <c r="AA39" s="9">
        <v>1.5E-3</v>
      </c>
      <c r="AB39" s="9"/>
      <c r="AC39" s="9"/>
      <c r="AD39" s="9">
        <v>8.9999999999999998E-4</v>
      </c>
    </row>
    <row r="40" spans="1:30" x14ac:dyDescent="0.3">
      <c r="B40" s="5">
        <v>202506</v>
      </c>
      <c r="C40" s="5"/>
      <c r="D40" s="9">
        <v>1.9E-3</v>
      </c>
      <c r="E40" s="9">
        <v>4.4999999999999997E-3</v>
      </c>
      <c r="F40" s="9">
        <v>1.6999999999999999E-3</v>
      </c>
      <c r="G40" s="9">
        <v>5.8999999999999999E-3</v>
      </c>
      <c r="H40" s="9">
        <v>5.4000000000000003E-3</v>
      </c>
      <c r="I40" s="9">
        <v>4.4999999999999997E-3</v>
      </c>
      <c r="J40" s="9">
        <v>2.5000000000000001E-3</v>
      </c>
      <c r="K40" s="9">
        <v>3.0000000000000001E-3</v>
      </c>
      <c r="L40" s="9">
        <v>1.2999999999999999E-3</v>
      </c>
      <c r="M40" s="9">
        <v>3.7000000000000002E-3</v>
      </c>
      <c r="N40" s="9">
        <v>2.5000000000000001E-3</v>
      </c>
      <c r="O40" s="9">
        <v>4.0000000000000001E-3</v>
      </c>
      <c r="P40" s="9">
        <v>2.7000000000000001E-3</v>
      </c>
      <c r="Q40" s="9">
        <v>3.8E-3</v>
      </c>
      <c r="R40" s="9">
        <v>1.5E-3</v>
      </c>
      <c r="S40" s="9"/>
      <c r="T40" s="9">
        <v>1.6999999999999999E-3</v>
      </c>
      <c r="U40" s="9">
        <v>3.0000000000000001E-3</v>
      </c>
      <c r="V40" s="9">
        <v>3.5999999999999999E-3</v>
      </c>
      <c r="W40" s="9">
        <v>1.8E-3</v>
      </c>
      <c r="X40" s="9">
        <v>8.9999999999999998E-4</v>
      </c>
      <c r="Y40" s="9">
        <v>5.9999999999999995E-4</v>
      </c>
      <c r="Z40" s="9">
        <v>1.6999999999999999E-3</v>
      </c>
      <c r="AA40" s="9">
        <v>1E-3</v>
      </c>
      <c r="AB40" s="9">
        <v>0</v>
      </c>
      <c r="AC40" s="9">
        <v>0</v>
      </c>
      <c r="AD40" s="9">
        <v>5.0000000000000001E-4</v>
      </c>
    </row>
    <row r="41" spans="1:30" x14ac:dyDescent="0.3">
      <c r="B41" s="5">
        <v>202507</v>
      </c>
      <c r="C41" s="5"/>
      <c r="D41" s="9">
        <v>2.3999999999999998E-3</v>
      </c>
      <c r="E41" s="9">
        <v>4.5999999999999999E-3</v>
      </c>
      <c r="F41" s="9">
        <v>2.2000000000000001E-3</v>
      </c>
      <c r="G41" s="9">
        <v>5.7999999999999996E-3</v>
      </c>
      <c r="H41" s="9">
        <v>4.3E-3</v>
      </c>
      <c r="I41" s="9">
        <v>4.4999999999999997E-3</v>
      </c>
      <c r="J41" s="9">
        <v>2.5000000000000001E-3</v>
      </c>
      <c r="K41" s="9">
        <v>5.1000000000000004E-3</v>
      </c>
      <c r="L41" s="9">
        <v>3.8E-3</v>
      </c>
      <c r="M41" s="9">
        <v>8.0999999999999996E-3</v>
      </c>
      <c r="N41" s="9">
        <v>2.8E-3</v>
      </c>
      <c r="O41" s="9">
        <v>4.4999999999999997E-3</v>
      </c>
      <c r="P41" s="9">
        <v>2E-3</v>
      </c>
      <c r="Q41" s="9">
        <v>4.8999999999999998E-3</v>
      </c>
      <c r="R41" s="9">
        <v>1.4E-3</v>
      </c>
      <c r="S41" s="9"/>
      <c r="T41" s="9">
        <v>1.9E-3</v>
      </c>
      <c r="U41" s="9">
        <v>4.3E-3</v>
      </c>
      <c r="V41" s="9">
        <v>4.1999999999999997E-3</v>
      </c>
      <c r="W41" s="9">
        <v>4.4000000000000003E-3</v>
      </c>
      <c r="X41" s="9">
        <v>1.1000000000000001E-3</v>
      </c>
      <c r="Y41" s="9">
        <v>5.0000000000000001E-4</v>
      </c>
      <c r="Z41" s="9">
        <v>2.0999999999999999E-3</v>
      </c>
      <c r="AA41" s="9">
        <v>1.1999999999999999E-3</v>
      </c>
      <c r="AB41" s="9">
        <v>8.9999999999999998E-4</v>
      </c>
      <c r="AC41" s="9">
        <v>8.0000000000000004E-4</v>
      </c>
      <c r="AD41" s="9">
        <v>6.9999999999999999E-4</v>
      </c>
    </row>
    <row r="42" spans="1:30" x14ac:dyDescent="0.3">
      <c r="B42" s="5">
        <v>202508</v>
      </c>
      <c r="C42" s="5"/>
      <c r="D42" s="9">
        <v>2E-3</v>
      </c>
      <c r="E42" s="9">
        <v>4.4000000000000003E-3</v>
      </c>
      <c r="F42" s="9">
        <v>1.8E-3</v>
      </c>
      <c r="G42" s="9">
        <v>6.6E-3</v>
      </c>
      <c r="H42" s="9">
        <v>3.8E-3</v>
      </c>
      <c r="I42" s="9">
        <v>2.7000000000000001E-3</v>
      </c>
      <c r="J42" s="9">
        <v>3.2000000000000002E-3</v>
      </c>
      <c r="K42" s="9">
        <v>4.1999999999999997E-3</v>
      </c>
      <c r="L42" s="9">
        <v>2.0999999999999999E-3</v>
      </c>
      <c r="M42" s="9">
        <v>2.5999999999999999E-3</v>
      </c>
      <c r="N42" s="9">
        <v>2.8999999999999998E-3</v>
      </c>
      <c r="O42" s="9">
        <v>5.1999999999999998E-3</v>
      </c>
      <c r="P42" s="9">
        <v>1.9E-3</v>
      </c>
      <c r="Q42" s="9">
        <v>2.3999999999999998E-3</v>
      </c>
      <c r="R42" s="9">
        <v>1.2999999999999999E-3</v>
      </c>
      <c r="S42" s="9"/>
      <c r="T42" s="9">
        <v>1.9E-3</v>
      </c>
      <c r="U42" s="9">
        <v>3.0999999999999999E-3</v>
      </c>
      <c r="V42" s="9">
        <v>3.2000000000000002E-3</v>
      </c>
      <c r="W42" s="9">
        <v>2.3E-3</v>
      </c>
      <c r="X42" s="9">
        <v>1.1000000000000001E-3</v>
      </c>
      <c r="Y42" s="9">
        <v>5.0000000000000001E-4</v>
      </c>
      <c r="Z42" s="9">
        <v>2.8E-3</v>
      </c>
      <c r="AA42" s="9">
        <v>1.2999999999999999E-3</v>
      </c>
      <c r="AB42" s="9">
        <v>1.1999999999999999E-3</v>
      </c>
      <c r="AC42" s="9">
        <v>6.9999999999999999E-4</v>
      </c>
      <c r="AD42" s="9">
        <v>5.9999999999999995E-4</v>
      </c>
    </row>
    <row r="43" spans="1:30" x14ac:dyDescent="0.3">
      <c r="B43" s="5">
        <v>202509</v>
      </c>
      <c r="C43" s="5"/>
      <c r="D43" s="9">
        <v>3.0000000000000001E-3</v>
      </c>
      <c r="E43" s="9">
        <v>8.8000000000000005E-3</v>
      </c>
      <c r="F43" s="9">
        <v>2.5000000000000001E-3</v>
      </c>
      <c r="G43" s="9">
        <v>1.7299999999999999E-2</v>
      </c>
      <c r="H43" s="9">
        <v>5.7000000000000002E-3</v>
      </c>
      <c r="I43" s="9">
        <v>9.1999999999999998E-3</v>
      </c>
      <c r="J43" s="9">
        <v>5.1000000000000004E-3</v>
      </c>
      <c r="K43" s="9">
        <v>4.4000000000000003E-3</v>
      </c>
      <c r="L43" s="9">
        <v>3.8999999999999998E-3</v>
      </c>
      <c r="M43" s="9">
        <v>2.0999999999999999E-3</v>
      </c>
      <c r="N43" s="9">
        <v>5.1999999999999998E-3</v>
      </c>
      <c r="O43" s="9">
        <v>5.0000000000000001E-3</v>
      </c>
      <c r="P43" s="9">
        <v>2.7000000000000001E-3</v>
      </c>
      <c r="Q43" s="9">
        <v>4.8999999999999998E-3</v>
      </c>
      <c r="R43" s="9">
        <v>2E-3</v>
      </c>
      <c r="S43" s="9"/>
      <c r="T43" s="9">
        <v>2.5000000000000001E-3</v>
      </c>
      <c r="U43" s="9">
        <v>3.0999999999999999E-3</v>
      </c>
      <c r="V43" s="9">
        <v>4.5999999999999999E-3</v>
      </c>
      <c r="W43" s="9">
        <v>2.8E-3</v>
      </c>
      <c r="X43" s="9">
        <v>1.6999999999999999E-3</v>
      </c>
      <c r="Y43" s="9">
        <v>1E-3</v>
      </c>
      <c r="Z43" s="9">
        <v>3.5999999999999999E-3</v>
      </c>
      <c r="AA43" s="9">
        <v>1.6000000000000001E-3</v>
      </c>
      <c r="AB43" s="9">
        <v>2.3E-3</v>
      </c>
      <c r="AC43" s="9">
        <v>1.1999999999999999E-3</v>
      </c>
      <c r="AD43" s="9">
        <v>1.1999999999999999E-3</v>
      </c>
    </row>
    <row r="44" spans="1:30" x14ac:dyDescent="0.3">
      <c r="B44" s="5">
        <v>202510</v>
      </c>
      <c r="C44" s="5"/>
      <c r="D44" s="9">
        <v>2.8E-3</v>
      </c>
      <c r="E44" s="9">
        <v>8.0000000000000002E-3</v>
      </c>
      <c r="F44" s="9">
        <v>2.3999999999999998E-3</v>
      </c>
      <c r="G44" s="9">
        <v>1.47E-2</v>
      </c>
      <c r="H44" s="9">
        <v>7.1000000000000004E-3</v>
      </c>
      <c r="I44" s="9">
        <v>1.12E-2</v>
      </c>
      <c r="J44" s="9">
        <v>2.8E-3</v>
      </c>
      <c r="K44" s="9">
        <v>2.0999999999999999E-3</v>
      </c>
      <c r="L44" s="9">
        <v>3.0000000000000001E-3</v>
      </c>
      <c r="M44" s="9">
        <v>2.5000000000000001E-3</v>
      </c>
      <c r="N44" s="9">
        <v>3.3999999999999998E-3</v>
      </c>
      <c r="O44" s="9">
        <v>5.5999999999999999E-3</v>
      </c>
      <c r="P44" s="9">
        <v>2.8999999999999998E-3</v>
      </c>
      <c r="Q44" s="9">
        <v>4.1999999999999997E-3</v>
      </c>
      <c r="R44" s="9">
        <v>2.3E-3</v>
      </c>
      <c r="S44" s="9"/>
      <c r="T44" s="9">
        <v>2.5000000000000001E-3</v>
      </c>
      <c r="U44" s="9">
        <v>2.5999999999999999E-3</v>
      </c>
      <c r="V44" s="9">
        <v>3.3999999999999998E-3</v>
      </c>
      <c r="W44" s="9">
        <v>2.5000000000000001E-3</v>
      </c>
      <c r="X44" s="9">
        <v>2E-3</v>
      </c>
      <c r="Y44" s="9">
        <v>1E-3</v>
      </c>
      <c r="Z44" s="9">
        <v>3.5000000000000001E-3</v>
      </c>
      <c r="AA44" s="9">
        <v>1.6999999999999999E-3</v>
      </c>
      <c r="AB44" s="9">
        <v>1.6999999999999999E-3</v>
      </c>
      <c r="AC44" s="9">
        <v>1.6000000000000001E-3</v>
      </c>
      <c r="AD44" s="9">
        <v>1.2999999999999999E-3</v>
      </c>
    </row>
    <row r="45" spans="1:30" x14ac:dyDescent="0.3">
      <c r="B45" s="5">
        <v>202511</v>
      </c>
      <c r="C45" s="5"/>
      <c r="D45" s="9">
        <v>2.3E-3</v>
      </c>
      <c r="E45" s="9">
        <v>3.5999999999999999E-3</v>
      </c>
      <c r="F45" s="9">
        <v>2.2000000000000001E-3</v>
      </c>
      <c r="G45" s="9">
        <v>5.0000000000000001E-3</v>
      </c>
      <c r="H45" s="9">
        <v>4.1000000000000003E-3</v>
      </c>
      <c r="I45" s="9">
        <v>6.6E-3</v>
      </c>
      <c r="J45" s="9">
        <v>1.9E-3</v>
      </c>
      <c r="K45" s="9">
        <v>2.0999999999999999E-3</v>
      </c>
      <c r="L45" s="9">
        <v>1.2999999999999999E-3</v>
      </c>
      <c r="M45" s="9">
        <v>2E-3</v>
      </c>
      <c r="N45" s="9">
        <v>2.5999999999999999E-3</v>
      </c>
      <c r="O45" s="9">
        <v>3.5000000000000001E-3</v>
      </c>
      <c r="P45" s="9">
        <v>2.5000000000000001E-3</v>
      </c>
      <c r="Q45" s="9">
        <v>3.5000000000000001E-3</v>
      </c>
      <c r="R45" s="9">
        <v>2.3E-3</v>
      </c>
      <c r="S45" s="9"/>
      <c r="T45" s="9">
        <v>3.0000000000000001E-3</v>
      </c>
      <c r="U45" s="9">
        <v>2.3E-3</v>
      </c>
      <c r="V45" s="9">
        <v>3.0999999999999999E-3</v>
      </c>
      <c r="W45" s="9">
        <v>2.8E-3</v>
      </c>
      <c r="X45" s="9">
        <v>1.9E-3</v>
      </c>
      <c r="Y45" s="9">
        <v>8.9999999999999998E-4</v>
      </c>
      <c r="Z45" s="9">
        <v>3.5000000000000001E-3</v>
      </c>
      <c r="AA45" s="9">
        <v>1.5E-3</v>
      </c>
      <c r="AB45" s="9">
        <v>1.1000000000000001E-3</v>
      </c>
      <c r="AC45" s="9">
        <v>1.1999999999999999E-3</v>
      </c>
      <c r="AD45" s="9">
        <v>1.4E-3</v>
      </c>
    </row>
    <row r="46" spans="1:30" x14ac:dyDescent="0.3">
      <c r="B46" s="5">
        <v>202512</v>
      </c>
      <c r="C46" s="5"/>
      <c r="D46" s="9">
        <v>2.5000000000000001E-3</v>
      </c>
      <c r="E46" s="9">
        <v>3.0999999999999999E-3</v>
      </c>
      <c r="F46" s="9">
        <v>2.3999999999999998E-3</v>
      </c>
      <c r="G46" s="9">
        <v>3.3999999999999998E-3</v>
      </c>
      <c r="H46" s="9">
        <v>3.2000000000000002E-3</v>
      </c>
      <c r="I46" s="9">
        <v>4.7000000000000002E-3</v>
      </c>
      <c r="J46" s="9">
        <v>8.9999999999999998E-4</v>
      </c>
      <c r="K46" s="9">
        <v>4.1999999999999997E-3</v>
      </c>
      <c r="L46" s="9">
        <v>2.5999999999999999E-3</v>
      </c>
      <c r="M46" s="9">
        <v>1.9E-3</v>
      </c>
      <c r="N46" s="9">
        <v>3.2000000000000002E-3</v>
      </c>
      <c r="O46" s="9">
        <v>4.4000000000000003E-3</v>
      </c>
      <c r="P46" s="9">
        <v>3.7000000000000002E-3</v>
      </c>
      <c r="Q46" s="9">
        <v>3.2000000000000002E-3</v>
      </c>
      <c r="R46" s="9">
        <v>2.5999999999999999E-3</v>
      </c>
      <c r="S46" s="9"/>
      <c r="T46" s="9">
        <v>3.3999999999999998E-3</v>
      </c>
      <c r="U46" s="9">
        <v>2.5000000000000001E-3</v>
      </c>
      <c r="V46" s="9">
        <v>3.0999999999999999E-3</v>
      </c>
      <c r="W46" s="9">
        <v>3.2000000000000002E-3</v>
      </c>
      <c r="X46" s="9">
        <v>1.5E-3</v>
      </c>
      <c r="Y46" s="9">
        <v>8.0000000000000004E-4</v>
      </c>
      <c r="Z46" s="9">
        <v>3.8999999999999998E-3</v>
      </c>
      <c r="AA46" s="9">
        <v>3.5999999999999999E-3</v>
      </c>
      <c r="AB46" s="9">
        <v>1.1000000000000001E-3</v>
      </c>
      <c r="AC46" s="9">
        <v>1E-3</v>
      </c>
      <c r="AD46" s="9">
        <v>8.9999999999999998E-4</v>
      </c>
    </row>
    <row r="47" spans="1:30" x14ac:dyDescent="0.3">
      <c r="B47" s="5">
        <v>202513</v>
      </c>
      <c r="C47" s="5"/>
      <c r="D47" s="9">
        <v>2.5000000000000001E-3</v>
      </c>
      <c r="E47" s="9">
        <v>3.0000000000000001E-3</v>
      </c>
      <c r="F47" s="9">
        <v>2.5000000000000001E-3</v>
      </c>
      <c r="G47" s="9">
        <v>3.0000000000000001E-3</v>
      </c>
      <c r="H47" s="9">
        <v>2.8999999999999998E-3</v>
      </c>
      <c r="I47" s="9">
        <v>4.7000000000000002E-3</v>
      </c>
      <c r="J47" s="9">
        <v>2.5999999999999999E-3</v>
      </c>
      <c r="K47" s="9">
        <v>4.4999999999999997E-3</v>
      </c>
      <c r="L47" s="9">
        <v>1.6999999999999999E-3</v>
      </c>
      <c r="M47" s="9">
        <v>2E-3</v>
      </c>
      <c r="N47" s="9">
        <v>3.5999999999999999E-3</v>
      </c>
      <c r="O47" s="9">
        <v>5.3E-3</v>
      </c>
      <c r="P47" s="9">
        <v>2.5000000000000001E-3</v>
      </c>
      <c r="Q47" s="9">
        <v>3.8E-3</v>
      </c>
      <c r="R47" s="9">
        <v>3.0000000000000001E-3</v>
      </c>
      <c r="S47" s="9"/>
      <c r="T47" s="9">
        <v>3.5999999999999999E-3</v>
      </c>
      <c r="U47" s="9">
        <v>2.5000000000000001E-3</v>
      </c>
      <c r="V47" s="9">
        <v>3.5000000000000001E-3</v>
      </c>
      <c r="W47" s="9">
        <v>3.0999999999999999E-3</v>
      </c>
      <c r="X47" s="9">
        <v>2E-3</v>
      </c>
      <c r="Y47" s="9">
        <v>1.1000000000000001E-3</v>
      </c>
      <c r="Z47" s="9">
        <v>3.7000000000000002E-3</v>
      </c>
      <c r="AA47" s="9">
        <v>1.8E-3</v>
      </c>
      <c r="AB47" s="9">
        <v>1.6999999999999999E-3</v>
      </c>
      <c r="AC47" s="9">
        <v>8.9999999999999998E-4</v>
      </c>
      <c r="AD47" s="9">
        <v>1E-3</v>
      </c>
    </row>
    <row r="48" spans="1:30" x14ac:dyDescent="0.3">
      <c r="B48" s="5">
        <v>202514</v>
      </c>
      <c r="C48" s="5"/>
      <c r="D48" s="9">
        <v>2.5999999999999999E-3</v>
      </c>
      <c r="E48" s="9">
        <v>4.1999999999999997E-3</v>
      </c>
      <c r="F48" s="9">
        <v>2.5000000000000001E-3</v>
      </c>
      <c r="G48" s="9">
        <v>4.8999999999999998E-3</v>
      </c>
      <c r="H48" s="9">
        <v>3.2000000000000002E-3</v>
      </c>
      <c r="I48" s="9">
        <v>2.8E-3</v>
      </c>
      <c r="J48" s="9">
        <v>6.1000000000000004E-3</v>
      </c>
      <c r="K48" s="9">
        <v>7.1000000000000004E-3</v>
      </c>
      <c r="L48" s="9">
        <v>8.9999999999999998E-4</v>
      </c>
      <c r="M48" s="9">
        <v>2.0999999999999999E-3</v>
      </c>
      <c r="N48" s="9">
        <v>3.7000000000000002E-3</v>
      </c>
      <c r="O48" s="9">
        <v>3.8999999999999998E-3</v>
      </c>
      <c r="P48" s="9">
        <v>2.5000000000000001E-3</v>
      </c>
      <c r="Q48" s="9">
        <v>-1</v>
      </c>
      <c r="R48" s="9">
        <v>2.8E-3</v>
      </c>
      <c r="S48" s="9"/>
      <c r="T48" s="9">
        <v>3.5999999999999999E-3</v>
      </c>
      <c r="U48" s="9">
        <v>2.0999999999999999E-3</v>
      </c>
      <c r="V48" s="9">
        <v>3.2000000000000002E-3</v>
      </c>
      <c r="W48" s="9">
        <v>3.2000000000000002E-3</v>
      </c>
      <c r="X48" s="9">
        <v>2.3999999999999998E-3</v>
      </c>
      <c r="Y48" s="9">
        <v>1.1999999999999999E-3</v>
      </c>
      <c r="Z48" s="9">
        <v>4.7999999999999996E-3</v>
      </c>
      <c r="AA48" s="9">
        <v>1.6999999999999999E-3</v>
      </c>
      <c r="AB48" s="9">
        <v>1.6999999999999999E-3</v>
      </c>
      <c r="AC48" s="9">
        <v>1.1000000000000001E-3</v>
      </c>
      <c r="AD48" s="9">
        <v>1.1000000000000001E-3</v>
      </c>
    </row>
    <row r="49" spans="2:30" x14ac:dyDescent="0.3">
      <c r="B49" s="5">
        <v>202515</v>
      </c>
      <c r="C49" s="5"/>
      <c r="D49" s="9">
        <v>2.5000000000000001E-3</v>
      </c>
      <c r="E49" s="9">
        <v>3.3E-3</v>
      </c>
      <c r="F49" s="9">
        <v>2.3999999999999998E-3</v>
      </c>
      <c r="G49" s="9">
        <v>5.1000000000000004E-3</v>
      </c>
      <c r="H49" s="9">
        <v>2.8E-3</v>
      </c>
      <c r="I49" s="9">
        <v>1.9E-3</v>
      </c>
      <c r="J49" s="9">
        <v>2.3999999999999998E-3</v>
      </c>
      <c r="K49" s="9">
        <v>3.0999999999999999E-3</v>
      </c>
      <c r="L49" s="9">
        <v>1.5E-3</v>
      </c>
      <c r="M49" s="9">
        <v>1.8E-3</v>
      </c>
      <c r="N49" s="9"/>
      <c r="O49" s="9">
        <v>5.3E-3</v>
      </c>
      <c r="P49" s="9">
        <v>2.5000000000000001E-3</v>
      </c>
      <c r="Q49" s="9"/>
      <c r="R49" s="9">
        <v>2.5000000000000001E-3</v>
      </c>
      <c r="S49" s="9"/>
      <c r="T49" s="9">
        <v>3.7000000000000002E-3</v>
      </c>
      <c r="U49" s="9">
        <v>2.5999999999999999E-3</v>
      </c>
      <c r="V49" s="9">
        <v>2.8999999999999998E-3</v>
      </c>
      <c r="W49" s="9">
        <v>3.5999999999999999E-3</v>
      </c>
      <c r="X49" s="9">
        <v>2.5999999999999999E-3</v>
      </c>
      <c r="Y49" s="9">
        <v>8.0000000000000004E-4</v>
      </c>
      <c r="Z49" s="9">
        <v>3.7000000000000002E-3</v>
      </c>
      <c r="AA49" s="9">
        <v>1.9E-3</v>
      </c>
      <c r="AB49" s="9">
        <v>1.4E-3</v>
      </c>
      <c r="AC49" s="9">
        <v>8.9999999999999998E-4</v>
      </c>
      <c r="AD49" s="9">
        <v>1.4E-3</v>
      </c>
    </row>
    <row r="50" spans="2:30" x14ac:dyDescent="0.3">
      <c r="B50" s="5">
        <v>202516</v>
      </c>
      <c r="C50" s="5"/>
      <c r="D50" s="9">
        <v>2.7000000000000001E-3</v>
      </c>
      <c r="E50" s="9">
        <v>2.8E-3</v>
      </c>
      <c r="F50" s="9">
        <v>2.5999999999999999E-3</v>
      </c>
      <c r="G50" s="9">
        <v>3.8999999999999998E-3</v>
      </c>
      <c r="H50" s="9">
        <v>2.5000000000000001E-3</v>
      </c>
      <c r="I50" s="9">
        <v>2.8999999999999998E-3</v>
      </c>
      <c r="J50" s="9">
        <v>1.9E-3</v>
      </c>
      <c r="K50" s="9">
        <v>2.2000000000000001E-3</v>
      </c>
      <c r="L50" s="9">
        <v>2.5999999999999999E-3</v>
      </c>
      <c r="M50" s="9">
        <v>1.9E-3</v>
      </c>
      <c r="N50" s="9"/>
      <c r="O50" s="9">
        <v>5.0000000000000001E-3</v>
      </c>
      <c r="P50" s="9">
        <v>2.5000000000000001E-3</v>
      </c>
      <c r="Q50" s="9"/>
      <c r="R50" s="9">
        <v>2.8E-3</v>
      </c>
      <c r="S50" s="9"/>
      <c r="T50" s="9">
        <v>4.0000000000000001E-3</v>
      </c>
      <c r="U50" s="9">
        <v>2.3E-3</v>
      </c>
      <c r="V50" s="9">
        <v>3.0999999999999999E-3</v>
      </c>
      <c r="W50" s="9">
        <v>3.5999999999999999E-3</v>
      </c>
      <c r="X50" s="9">
        <v>3.3999999999999998E-3</v>
      </c>
      <c r="Y50" s="9">
        <v>1.1999999999999999E-3</v>
      </c>
      <c r="Z50" s="9">
        <v>4.3E-3</v>
      </c>
      <c r="AA50" s="9">
        <v>2.2000000000000001E-3</v>
      </c>
      <c r="AB50" s="9">
        <v>1.6000000000000001E-3</v>
      </c>
      <c r="AC50" s="9">
        <v>1.2999999999999999E-3</v>
      </c>
      <c r="AD50" s="9">
        <v>1.2999999999999999E-3</v>
      </c>
    </row>
    <row r="51" spans="2:30" x14ac:dyDescent="0.3">
      <c r="B51" s="5">
        <v>202517</v>
      </c>
      <c r="C51" s="5"/>
      <c r="D51" s="9">
        <v>2.8E-3</v>
      </c>
      <c r="E51" s="9">
        <v>2.5999999999999999E-3</v>
      </c>
      <c r="F51" s="9">
        <v>2.8E-3</v>
      </c>
      <c r="G51" s="9">
        <v>2.8E-3</v>
      </c>
      <c r="H51" s="9">
        <v>2.8999999999999998E-3</v>
      </c>
      <c r="I51" s="9">
        <v>3.8E-3</v>
      </c>
      <c r="J51" s="9">
        <v>1.4E-3</v>
      </c>
      <c r="K51" s="9">
        <v>2.3999999999999998E-3</v>
      </c>
      <c r="L51" s="9">
        <v>1.6999999999999999E-3</v>
      </c>
      <c r="M51" s="9">
        <v>1.2999999999999999E-3</v>
      </c>
      <c r="N51" s="9"/>
      <c r="O51" s="9">
        <v>8.2000000000000007E-3</v>
      </c>
      <c r="P51" s="9">
        <v>3.0999999999999999E-3</v>
      </c>
      <c r="Q51" s="9"/>
      <c r="R51" s="9">
        <v>2.8E-3</v>
      </c>
      <c r="S51" s="9"/>
      <c r="T51" s="9">
        <v>3.8999999999999998E-3</v>
      </c>
      <c r="U51" s="9">
        <v>2.8999999999999998E-3</v>
      </c>
      <c r="V51" s="9">
        <v>3.5999999999999999E-3</v>
      </c>
      <c r="W51" s="9">
        <v>2.7000000000000001E-3</v>
      </c>
      <c r="X51" s="9">
        <v>3.3E-3</v>
      </c>
      <c r="Y51" s="9">
        <v>8.9999999999999998E-4</v>
      </c>
      <c r="Z51" s="9">
        <v>4.1999999999999997E-3</v>
      </c>
      <c r="AA51" s="9">
        <v>2E-3</v>
      </c>
      <c r="AB51" s="9">
        <v>2.2000000000000001E-3</v>
      </c>
      <c r="AC51" s="9">
        <v>8.9999999999999998E-4</v>
      </c>
      <c r="AD51" s="9">
        <v>1.2999999999999999E-3</v>
      </c>
    </row>
    <row r="52" spans="2:30" x14ac:dyDescent="0.3">
      <c r="B52" s="5">
        <v>202518</v>
      </c>
      <c r="C52" s="5"/>
      <c r="D52" s="9">
        <v>3.7000000000000002E-3</v>
      </c>
      <c r="E52" s="9">
        <v>2.5999999999999999E-3</v>
      </c>
      <c r="F52" s="9">
        <v>3.7000000000000002E-3</v>
      </c>
      <c r="G52" s="9">
        <v>3.0999999999999999E-3</v>
      </c>
      <c r="H52" s="9">
        <v>2.2000000000000001E-3</v>
      </c>
      <c r="I52" s="9">
        <v>8.6999999999999994E-3</v>
      </c>
      <c r="J52" s="9">
        <v>2.5999999999999999E-3</v>
      </c>
      <c r="K52" s="9">
        <v>2.3999999999999998E-3</v>
      </c>
      <c r="L52" s="9">
        <v>1.6999999999999999E-3</v>
      </c>
      <c r="M52" s="9">
        <v>1.4E-3</v>
      </c>
      <c r="N52" s="9"/>
      <c r="O52" s="9">
        <v>4.8999999999999998E-3</v>
      </c>
      <c r="P52" s="9">
        <v>4.1999999999999997E-3</v>
      </c>
      <c r="Q52" s="9"/>
      <c r="R52" s="9">
        <v>3.0000000000000001E-3</v>
      </c>
      <c r="S52" s="9"/>
      <c r="T52" s="9">
        <v>4.1999999999999997E-3</v>
      </c>
      <c r="U52" s="9">
        <v>2.0999999999999999E-3</v>
      </c>
      <c r="V52" s="9">
        <v>3.3E-3</v>
      </c>
      <c r="W52" s="9">
        <v>3.7000000000000002E-3</v>
      </c>
      <c r="X52" s="9">
        <v>4.1999999999999997E-3</v>
      </c>
      <c r="Y52" s="9">
        <v>9.1999999999999998E-3</v>
      </c>
      <c r="Z52" s="9">
        <v>9.4000000000000004E-3</v>
      </c>
      <c r="AA52" s="9">
        <v>1.9E-3</v>
      </c>
      <c r="AB52" s="9">
        <v>1.8E-3</v>
      </c>
      <c r="AC52" s="9">
        <v>1.6000000000000001E-3</v>
      </c>
      <c r="AD52" s="9">
        <v>1.8E-3</v>
      </c>
    </row>
    <row r="53" spans="2:30" x14ac:dyDescent="0.3">
      <c r="B53" s="5">
        <v>202519</v>
      </c>
      <c r="C53" s="5"/>
      <c r="D53" s="9">
        <v>2.8999999999999998E-3</v>
      </c>
      <c r="E53" s="9">
        <v>2.3E-3</v>
      </c>
      <c r="F53" s="9">
        <v>2.8999999999999998E-3</v>
      </c>
      <c r="G53" s="9">
        <v>2.5000000000000001E-3</v>
      </c>
      <c r="H53" s="9">
        <v>2.0999999999999999E-3</v>
      </c>
      <c r="I53" s="9">
        <v>1E-3</v>
      </c>
      <c r="J53" s="9">
        <v>2.0999999999999999E-3</v>
      </c>
      <c r="K53" s="9">
        <v>4.3E-3</v>
      </c>
      <c r="L53" s="9">
        <v>1.2999999999999999E-3</v>
      </c>
      <c r="M53" s="9">
        <v>1.6999999999999999E-3</v>
      </c>
      <c r="N53" s="9"/>
      <c r="O53" s="9">
        <v>5.1999999999999998E-3</v>
      </c>
      <c r="P53" s="9">
        <v>3.2000000000000002E-3</v>
      </c>
      <c r="Q53" s="9"/>
      <c r="R53" s="9">
        <v>2.5999999999999999E-3</v>
      </c>
      <c r="S53" s="9">
        <v>1.1999999999999999E-3</v>
      </c>
      <c r="T53" s="9">
        <v>3.8999999999999998E-3</v>
      </c>
      <c r="U53" s="9">
        <v>3.3999999999999998E-3</v>
      </c>
      <c r="V53" s="9">
        <v>4.1000000000000003E-3</v>
      </c>
      <c r="W53" s="9">
        <v>3.5000000000000001E-3</v>
      </c>
      <c r="X53" s="9">
        <v>4.4999999999999997E-3</v>
      </c>
      <c r="Y53" s="9">
        <v>2E-3</v>
      </c>
      <c r="Z53" s="9">
        <v>4.8999999999999998E-3</v>
      </c>
      <c r="AA53" s="9">
        <v>3.0000000000000001E-3</v>
      </c>
      <c r="AB53" s="9">
        <v>1.9E-3</v>
      </c>
      <c r="AC53" s="9">
        <v>1E-3</v>
      </c>
      <c r="AD53" s="9">
        <v>2E-3</v>
      </c>
    </row>
    <row r="54" spans="2:30" x14ac:dyDescent="0.3">
      <c r="B54" s="5">
        <v>202520</v>
      </c>
      <c r="C54" s="5"/>
      <c r="D54" s="9">
        <v>2.7000000000000001E-3</v>
      </c>
      <c r="E54" s="9">
        <v>2.2000000000000001E-3</v>
      </c>
      <c r="F54" s="9">
        <v>2.7000000000000001E-3</v>
      </c>
      <c r="G54" s="9">
        <v>2.8E-3</v>
      </c>
      <c r="H54" s="9">
        <v>1.8E-3</v>
      </c>
      <c r="I54" s="9">
        <v>2.8999999999999998E-3</v>
      </c>
      <c r="J54" s="9">
        <v>2.0999999999999999E-3</v>
      </c>
      <c r="K54" s="9">
        <v>3.3999999999999998E-3</v>
      </c>
      <c r="L54" s="9">
        <v>8.9999999999999998E-4</v>
      </c>
      <c r="M54" s="9">
        <v>3.5000000000000001E-3</v>
      </c>
      <c r="N54" s="9">
        <v>6.9999999999999999E-4</v>
      </c>
      <c r="O54" s="9">
        <v>4.4000000000000003E-3</v>
      </c>
      <c r="P54" s="9">
        <v>3.5999999999999999E-3</v>
      </c>
      <c r="Q54" s="9"/>
      <c r="R54" s="9">
        <v>2.7000000000000001E-3</v>
      </c>
      <c r="S54" s="9">
        <v>1.1999999999999999E-3</v>
      </c>
      <c r="T54" s="9">
        <v>3.8E-3</v>
      </c>
      <c r="U54" s="9">
        <v>2.8E-3</v>
      </c>
      <c r="V54" s="9">
        <v>4.0000000000000001E-3</v>
      </c>
      <c r="W54" s="9">
        <v>2.3E-3</v>
      </c>
      <c r="X54" s="9">
        <v>4.3E-3</v>
      </c>
      <c r="Y54" s="9">
        <v>1.1999999999999999E-3</v>
      </c>
      <c r="Z54" s="9">
        <v>4.0000000000000001E-3</v>
      </c>
      <c r="AA54" s="9">
        <v>2.5000000000000001E-3</v>
      </c>
      <c r="AB54" s="9">
        <v>1.9E-3</v>
      </c>
      <c r="AC54" s="9">
        <v>1.4E-3</v>
      </c>
      <c r="AD54" s="9">
        <v>1.8E-3</v>
      </c>
    </row>
    <row r="55" spans="2:30" x14ac:dyDescent="0.3">
      <c r="B55" s="5">
        <v>202521</v>
      </c>
      <c r="C55" s="5"/>
      <c r="D55" s="9">
        <v>3.8E-3</v>
      </c>
      <c r="E55" s="9">
        <v>2.0999999999999999E-3</v>
      </c>
      <c r="F55" s="9">
        <v>3.8999999999999998E-3</v>
      </c>
      <c r="G55" s="9">
        <v>2.8999999999999998E-3</v>
      </c>
      <c r="H55" s="9">
        <v>1.9E-3</v>
      </c>
      <c r="I55" s="9">
        <v>2.8999999999999998E-3</v>
      </c>
      <c r="J55" s="9">
        <v>2.0000000000000001E-4</v>
      </c>
      <c r="K55" s="9">
        <v>2.7000000000000001E-3</v>
      </c>
      <c r="L55" s="9">
        <v>1.5E-3</v>
      </c>
      <c r="M55" s="9">
        <v>2E-3</v>
      </c>
      <c r="N55" s="9">
        <v>8.9999999999999998E-4</v>
      </c>
      <c r="O55" s="9">
        <v>5.7000000000000002E-3</v>
      </c>
      <c r="P55" s="9">
        <v>3.7000000000000002E-3</v>
      </c>
      <c r="Q55" s="9"/>
      <c r="R55" s="9">
        <v>3.0999999999999999E-3</v>
      </c>
      <c r="S55" s="9">
        <v>1.5E-3</v>
      </c>
      <c r="T55" s="9">
        <v>4.1000000000000003E-3</v>
      </c>
      <c r="U55" s="9">
        <v>2.3999999999999998E-3</v>
      </c>
      <c r="V55" s="9">
        <v>0</v>
      </c>
      <c r="W55" s="9">
        <v>0</v>
      </c>
      <c r="X55" s="9">
        <v>1.4200000000000001E-2</v>
      </c>
      <c r="Y55" s="9">
        <v>1.4E-3</v>
      </c>
      <c r="Z55" s="9">
        <v>3.8E-3</v>
      </c>
      <c r="AA55" s="9">
        <v>1.6999999999999999E-3</v>
      </c>
      <c r="AB55" s="9">
        <v>2.0999999999999999E-3</v>
      </c>
      <c r="AC55" s="9">
        <v>1.1000000000000001E-3</v>
      </c>
      <c r="AD55" s="9">
        <v>4.4000000000000003E-3</v>
      </c>
    </row>
    <row r="56" spans="2:30" x14ac:dyDescent="0.3">
      <c r="B56" s="5">
        <v>202522</v>
      </c>
      <c r="C56" s="5"/>
      <c r="D56" s="9">
        <v>2.7000000000000001E-3</v>
      </c>
      <c r="E56" s="9">
        <v>2.2000000000000001E-3</v>
      </c>
      <c r="F56" s="9">
        <v>2.8E-3</v>
      </c>
      <c r="G56" s="9">
        <v>2.3999999999999998E-3</v>
      </c>
      <c r="H56" s="9">
        <v>2E-3</v>
      </c>
      <c r="I56" s="9">
        <v>3.8999999999999998E-3</v>
      </c>
      <c r="J56" s="9">
        <v>6.9999999999999999E-4</v>
      </c>
      <c r="K56" s="9">
        <v>3.7000000000000002E-3</v>
      </c>
      <c r="L56" s="9">
        <v>2.2000000000000001E-3</v>
      </c>
      <c r="M56" s="9">
        <v>2.5000000000000001E-3</v>
      </c>
      <c r="N56" s="9">
        <v>2.2000000000000001E-3</v>
      </c>
      <c r="O56" s="9">
        <v>8.3999999999999995E-3</v>
      </c>
      <c r="P56" s="9">
        <v>3.3999999999999998E-3</v>
      </c>
      <c r="Q56" s="9"/>
      <c r="R56" s="9">
        <v>3.0000000000000001E-3</v>
      </c>
      <c r="S56" s="9">
        <v>1.6999999999999999E-3</v>
      </c>
      <c r="T56" s="9">
        <v>2.9999999999999997E-4</v>
      </c>
      <c r="U56" s="9">
        <v>3.2000000000000002E-3</v>
      </c>
      <c r="V56" s="9"/>
      <c r="W56" s="9"/>
      <c r="X56" s="9">
        <v>5.7999999999999996E-3</v>
      </c>
      <c r="Y56" s="9">
        <v>1.2999999999999999E-3</v>
      </c>
      <c r="Z56" s="9">
        <v>4.1000000000000003E-3</v>
      </c>
      <c r="AA56" s="9">
        <v>2.5000000000000001E-3</v>
      </c>
      <c r="AB56" s="9">
        <v>1.9E-3</v>
      </c>
      <c r="AC56" s="9">
        <v>1.1999999999999999E-3</v>
      </c>
      <c r="AD56" s="9">
        <v>2.3E-3</v>
      </c>
    </row>
    <row r="57" spans="2:30" x14ac:dyDescent="0.3">
      <c r="B57" s="5">
        <v>202523</v>
      </c>
      <c r="C57" s="5"/>
      <c r="D57" s="9">
        <v>3.0000000000000001E-3</v>
      </c>
      <c r="E57" s="9">
        <v>1.9E-3</v>
      </c>
      <c r="F57" s="9">
        <v>3.0999999999999999E-3</v>
      </c>
      <c r="G57" s="9">
        <v>1.6999999999999999E-3</v>
      </c>
      <c r="H57" s="9">
        <v>1.1000000000000001E-3</v>
      </c>
      <c r="I57" s="9">
        <v>1E-3</v>
      </c>
      <c r="J57" s="9">
        <v>2.2000000000000001E-3</v>
      </c>
      <c r="K57" s="9">
        <v>1.6999999999999999E-3</v>
      </c>
      <c r="L57" s="9">
        <v>4.7999999999999996E-3</v>
      </c>
      <c r="M57" s="9">
        <v>2.5000000000000001E-3</v>
      </c>
      <c r="N57" s="9">
        <v>5.1999999999999998E-3</v>
      </c>
      <c r="O57" s="9">
        <v>9.4999999999999998E-3</v>
      </c>
      <c r="P57" s="9">
        <v>3.5000000000000001E-3</v>
      </c>
      <c r="Q57" s="9"/>
      <c r="R57" s="9">
        <v>3.0000000000000001E-3</v>
      </c>
      <c r="S57" s="9">
        <v>1.9E-3</v>
      </c>
      <c r="T57" s="9"/>
      <c r="U57" s="9">
        <v>2.5999999999999999E-3</v>
      </c>
      <c r="V57" s="9"/>
      <c r="W57" s="9"/>
      <c r="X57" s="9">
        <v>3.8E-3</v>
      </c>
      <c r="Y57" s="9">
        <v>1.6000000000000001E-3</v>
      </c>
      <c r="Z57" s="9">
        <v>6.1999999999999998E-3</v>
      </c>
      <c r="AA57" s="9">
        <v>3.5000000000000001E-3</v>
      </c>
      <c r="AB57" s="9">
        <v>1.9E-3</v>
      </c>
      <c r="AC57" s="9">
        <v>1.4E-3</v>
      </c>
      <c r="AD57" s="9">
        <v>2.3999999999999998E-3</v>
      </c>
    </row>
    <row r="58" spans="2:30" x14ac:dyDescent="0.3">
      <c r="B58" s="5">
        <v>202524</v>
      </c>
      <c r="C58" s="5"/>
      <c r="D58" s="9">
        <v>3.3E-3</v>
      </c>
      <c r="E58" s="9">
        <v>2.5999999999999999E-3</v>
      </c>
      <c r="F58" s="9">
        <v>3.3E-3</v>
      </c>
      <c r="G58" s="9">
        <v>2.3999999999999998E-3</v>
      </c>
      <c r="H58" s="9">
        <v>2.0999999999999999E-3</v>
      </c>
      <c r="I58" s="9">
        <v>5.8999999999999999E-3</v>
      </c>
      <c r="J58" s="9">
        <v>3.0999999999999999E-3</v>
      </c>
      <c r="K58" s="9">
        <v>2.3999999999999998E-3</v>
      </c>
      <c r="L58" s="9">
        <v>3.3E-3</v>
      </c>
      <c r="M58" s="9">
        <v>5.1999999999999998E-3</v>
      </c>
      <c r="N58" s="9">
        <v>5.1000000000000004E-3</v>
      </c>
      <c r="O58" s="9">
        <v>8.9999999999999993E-3</v>
      </c>
      <c r="P58" s="9">
        <v>4.1999999999999997E-3</v>
      </c>
      <c r="Q58" s="9"/>
      <c r="R58" s="9">
        <v>2.8999999999999998E-3</v>
      </c>
      <c r="S58" s="9">
        <v>1.9E-3</v>
      </c>
      <c r="T58" s="9"/>
      <c r="U58" s="9">
        <v>2.5000000000000001E-3</v>
      </c>
      <c r="V58" s="9"/>
      <c r="W58" s="9"/>
      <c r="X58" s="9">
        <v>4.1999999999999997E-3</v>
      </c>
      <c r="Y58" s="9">
        <v>1.6000000000000001E-3</v>
      </c>
      <c r="Z58" s="9">
        <v>6.3E-3</v>
      </c>
      <c r="AA58" s="9">
        <v>3.0000000000000001E-3</v>
      </c>
      <c r="AB58" s="9">
        <v>2.3E-3</v>
      </c>
      <c r="AC58" s="9">
        <v>1.8E-3</v>
      </c>
      <c r="AD58" s="9">
        <v>2.0999999999999999E-3</v>
      </c>
    </row>
    <row r="59" spans="2:30" x14ac:dyDescent="0.3">
      <c r="B59" s="5">
        <v>202525</v>
      </c>
      <c r="C59" s="5"/>
      <c r="D59" s="9">
        <v>3.2000000000000002E-3</v>
      </c>
      <c r="E59" s="9">
        <v>2.8999999999999998E-3</v>
      </c>
      <c r="F59" s="9">
        <v>3.2000000000000002E-3</v>
      </c>
      <c r="G59" s="9">
        <v>2.0999999999999999E-3</v>
      </c>
      <c r="H59" s="9">
        <v>2.0999999999999999E-3</v>
      </c>
      <c r="I59" s="9">
        <v>6.8999999999999999E-3</v>
      </c>
      <c r="J59" s="9">
        <v>4.3E-3</v>
      </c>
      <c r="K59" s="9">
        <v>3.8999999999999998E-3</v>
      </c>
      <c r="L59" s="9">
        <v>4.4000000000000003E-3</v>
      </c>
      <c r="M59" s="9">
        <v>6.4000000000000003E-3</v>
      </c>
      <c r="N59" s="9">
        <v>4.4999999999999997E-3</v>
      </c>
      <c r="O59" s="9">
        <v>9.7000000000000003E-3</v>
      </c>
      <c r="P59" s="9">
        <v>3.3999999999999998E-3</v>
      </c>
      <c r="Q59" s="9"/>
      <c r="R59" s="9">
        <v>3.0000000000000001E-3</v>
      </c>
      <c r="S59" s="9">
        <v>1.9E-3</v>
      </c>
      <c r="T59" s="9"/>
      <c r="U59" s="9">
        <v>3.3999999999999998E-3</v>
      </c>
      <c r="V59" s="9"/>
      <c r="W59" s="9"/>
      <c r="X59" s="9">
        <v>5.0000000000000001E-3</v>
      </c>
      <c r="Y59" s="9">
        <v>1.1999999999999999E-3</v>
      </c>
      <c r="Z59" s="9">
        <v>3.5999999999999999E-3</v>
      </c>
      <c r="AA59" s="9">
        <v>3.0999999999999999E-3</v>
      </c>
      <c r="AB59" s="9">
        <v>2.8E-3</v>
      </c>
      <c r="AC59" s="9">
        <v>1.6999999999999999E-3</v>
      </c>
      <c r="AD59" s="9">
        <v>1.8E-3</v>
      </c>
    </row>
    <row r="60" spans="2:30" x14ac:dyDescent="0.3">
      <c r="B60" s="5">
        <v>202526</v>
      </c>
      <c r="C60" s="5"/>
      <c r="D60" s="9">
        <v>3.5000000000000001E-3</v>
      </c>
      <c r="E60" s="9">
        <v>2.3E-3</v>
      </c>
      <c r="F60" s="9">
        <v>3.5999999999999999E-3</v>
      </c>
      <c r="G60" s="9">
        <v>2E-3</v>
      </c>
      <c r="H60" s="9">
        <v>1.6000000000000001E-3</v>
      </c>
      <c r="I60" s="9">
        <v>7.0000000000000001E-3</v>
      </c>
      <c r="J60" s="9">
        <v>3.3999999999999998E-3</v>
      </c>
      <c r="K60" s="9">
        <v>2.5000000000000001E-3</v>
      </c>
      <c r="L60" s="9">
        <v>3.3E-3</v>
      </c>
      <c r="M60" s="9">
        <v>6.0000000000000001E-3</v>
      </c>
      <c r="N60" s="9">
        <v>2.7000000000000001E-3</v>
      </c>
      <c r="O60" s="9">
        <v>1.9300000000000001E-2</v>
      </c>
      <c r="P60" s="9">
        <v>3.2000000000000002E-3</v>
      </c>
      <c r="Q60" s="9"/>
      <c r="R60" s="9">
        <v>3.3E-3</v>
      </c>
      <c r="S60" s="9">
        <v>1.9E-3</v>
      </c>
      <c r="T60" s="9"/>
      <c r="U60" s="9">
        <v>3.5999999999999999E-3</v>
      </c>
      <c r="V60" s="9"/>
      <c r="W60" s="9"/>
      <c r="X60" s="9">
        <v>5.4999999999999997E-3</v>
      </c>
      <c r="Y60" s="9">
        <v>1.1999999999999999E-3</v>
      </c>
      <c r="Z60" s="9">
        <v>5.4999999999999997E-3</v>
      </c>
      <c r="AA60" s="9">
        <v>3.3E-3</v>
      </c>
      <c r="AB60" s="9">
        <v>3.0999999999999999E-3</v>
      </c>
      <c r="AC60" s="9">
        <v>1.6999999999999999E-3</v>
      </c>
      <c r="AD60" s="9">
        <v>2.2000000000000001E-3</v>
      </c>
    </row>
    <row r="61" spans="2:30" x14ac:dyDescent="0.3">
      <c r="B61" s="5">
        <v>202527</v>
      </c>
      <c r="C61" s="5"/>
      <c r="D61" s="9">
        <v>3.5000000000000001E-3</v>
      </c>
      <c r="E61" s="9">
        <v>2.7000000000000001E-3</v>
      </c>
      <c r="F61" s="9">
        <v>3.5999999999999999E-3</v>
      </c>
      <c r="G61" s="9">
        <v>1.5E-3</v>
      </c>
      <c r="H61" s="9">
        <v>2.2000000000000001E-3</v>
      </c>
      <c r="I61" s="9">
        <v>5.0000000000000001E-3</v>
      </c>
      <c r="J61" s="9">
        <v>4.4000000000000003E-3</v>
      </c>
      <c r="K61" s="9">
        <v>4.4999999999999997E-3</v>
      </c>
      <c r="L61" s="9">
        <v>3.5999999999999999E-3</v>
      </c>
      <c r="M61" s="9">
        <v>4.4000000000000003E-3</v>
      </c>
      <c r="N61" s="9">
        <v>1.4E-3</v>
      </c>
      <c r="O61" s="9">
        <v>2.12E-2</v>
      </c>
      <c r="P61" s="9">
        <v>4.1999999999999997E-3</v>
      </c>
      <c r="Q61" s="9"/>
      <c r="R61" s="9">
        <v>3.2000000000000002E-3</v>
      </c>
      <c r="S61" s="9">
        <v>1.9E-3</v>
      </c>
      <c r="T61" s="9"/>
      <c r="U61" s="9">
        <v>3.3999999999999998E-3</v>
      </c>
      <c r="V61" s="9"/>
      <c r="W61" s="9"/>
      <c r="X61" s="9">
        <v>5.7999999999999996E-3</v>
      </c>
      <c r="Y61" s="9">
        <v>1.1999999999999999E-3</v>
      </c>
      <c r="Z61" s="9">
        <v>6.3E-3</v>
      </c>
      <c r="AA61" s="9">
        <v>3.8999999999999998E-3</v>
      </c>
      <c r="AB61" s="9">
        <v>2.7000000000000001E-3</v>
      </c>
      <c r="AC61" s="9">
        <v>1.1999999999999999E-3</v>
      </c>
      <c r="AD61" s="9">
        <v>1.9E-3</v>
      </c>
    </row>
    <row r="62" spans="2:30" x14ac:dyDescent="0.3">
      <c r="B62" s="5">
        <v>202528</v>
      </c>
      <c r="C62" s="5"/>
      <c r="D62" s="9">
        <v>3.8E-3</v>
      </c>
      <c r="E62" s="9">
        <v>2.0999999999999999E-3</v>
      </c>
      <c r="F62" s="9">
        <v>3.8999999999999998E-3</v>
      </c>
      <c r="G62" s="9">
        <v>1.8E-3</v>
      </c>
      <c r="H62" s="9">
        <v>1.8E-3</v>
      </c>
      <c r="I62" s="9">
        <v>3.0000000000000001E-3</v>
      </c>
      <c r="J62" s="9">
        <v>1.9E-3</v>
      </c>
      <c r="K62" s="9">
        <v>2.5000000000000001E-3</v>
      </c>
      <c r="L62" s="9">
        <v>3.0999999999999999E-3</v>
      </c>
      <c r="M62" s="9">
        <v>5.7999999999999996E-3</v>
      </c>
      <c r="N62" s="9">
        <v>1.5E-3</v>
      </c>
      <c r="O62" s="9">
        <v>1.24E-2</v>
      </c>
      <c r="P62" s="9">
        <v>4.7000000000000002E-3</v>
      </c>
      <c r="Q62" s="9"/>
      <c r="R62" s="9">
        <v>8.6999999999999994E-3</v>
      </c>
      <c r="S62" s="9">
        <v>2.0999999999999999E-3</v>
      </c>
      <c r="T62" s="9">
        <v>1.5E-3</v>
      </c>
      <c r="U62" s="9">
        <v>4.5999999999999999E-3</v>
      </c>
      <c r="V62" s="9">
        <v>8.0000000000000004E-4</v>
      </c>
      <c r="W62" s="9">
        <v>2.2000000000000001E-3</v>
      </c>
      <c r="X62" s="9">
        <v>6.4000000000000003E-3</v>
      </c>
      <c r="Y62" s="9">
        <v>1.8E-3</v>
      </c>
      <c r="Z62" s="9">
        <v>6.4000000000000003E-3</v>
      </c>
      <c r="AA62" s="9">
        <v>3.7000000000000002E-3</v>
      </c>
      <c r="AB62" s="9">
        <v>3.0999999999999999E-3</v>
      </c>
      <c r="AC62" s="9">
        <v>2.0999999999999999E-3</v>
      </c>
      <c r="AD62" s="9">
        <v>2.3999999999999998E-3</v>
      </c>
    </row>
    <row r="63" spans="2:30" x14ac:dyDescent="0.3">
      <c r="B63" s="5">
        <v>202529</v>
      </c>
      <c r="C63" s="5"/>
      <c r="D63" s="9">
        <v>3.3E-3</v>
      </c>
      <c r="E63" s="9">
        <v>2.8E-3</v>
      </c>
      <c r="F63" s="9">
        <v>3.3E-3</v>
      </c>
      <c r="G63" s="9">
        <v>2.8999999999999998E-3</v>
      </c>
      <c r="H63" s="9">
        <v>1.6000000000000001E-3</v>
      </c>
      <c r="I63" s="9">
        <v>6.1000000000000004E-3</v>
      </c>
      <c r="J63" s="9">
        <v>3.3999999999999998E-3</v>
      </c>
      <c r="K63" s="9">
        <v>3.2000000000000002E-3</v>
      </c>
      <c r="L63" s="9">
        <v>4.3E-3</v>
      </c>
      <c r="M63" s="9">
        <v>3.8E-3</v>
      </c>
      <c r="N63" s="9">
        <v>1.4E-3</v>
      </c>
      <c r="O63" s="9">
        <v>1.5800000000000002E-2</v>
      </c>
      <c r="P63" s="9">
        <v>3.3999999999999998E-3</v>
      </c>
      <c r="Q63" s="9"/>
      <c r="R63" s="9">
        <v>3.5000000000000001E-3</v>
      </c>
      <c r="S63" s="9">
        <v>2.0999999999999999E-3</v>
      </c>
      <c r="T63" s="9">
        <v>1.6000000000000001E-3</v>
      </c>
      <c r="U63" s="9">
        <v>4.1999999999999997E-3</v>
      </c>
      <c r="V63" s="9">
        <v>1.1000000000000001E-3</v>
      </c>
      <c r="W63" s="9">
        <v>1.6999999999999999E-3</v>
      </c>
      <c r="X63" s="9">
        <v>5.8999999999999999E-3</v>
      </c>
      <c r="Y63" s="9">
        <v>1.6999999999999999E-3</v>
      </c>
      <c r="Z63" s="9">
        <v>7.3000000000000001E-3</v>
      </c>
      <c r="AA63" s="9">
        <v>3.3999999999999998E-3</v>
      </c>
      <c r="AB63" s="9">
        <v>3.3E-3</v>
      </c>
      <c r="AC63" s="9">
        <v>1.6000000000000001E-3</v>
      </c>
      <c r="AD63" s="9">
        <v>2E-3</v>
      </c>
    </row>
    <row r="64" spans="2:30" x14ac:dyDescent="0.3">
      <c r="B64" s="5">
        <v>202530</v>
      </c>
      <c r="C64" s="5"/>
      <c r="D64" s="9">
        <v>4.0000000000000001E-3</v>
      </c>
      <c r="E64" s="9">
        <v>2.5000000000000001E-3</v>
      </c>
      <c r="F64" s="9">
        <v>4.1000000000000003E-3</v>
      </c>
      <c r="G64" s="9">
        <v>2.0999999999999999E-3</v>
      </c>
      <c r="H64" s="9">
        <v>2E-3</v>
      </c>
      <c r="I64" s="9">
        <v>4.1000000000000003E-3</v>
      </c>
      <c r="J64" s="9">
        <v>2.7000000000000001E-3</v>
      </c>
      <c r="K64" s="9">
        <v>3.0000000000000001E-3</v>
      </c>
      <c r="L64" s="9">
        <v>3.8E-3</v>
      </c>
      <c r="M64" s="9">
        <v>5.7000000000000002E-3</v>
      </c>
      <c r="N64" s="9">
        <v>1.5E-3</v>
      </c>
      <c r="O64" s="9">
        <v>1.2500000000000001E-2</v>
      </c>
      <c r="P64" s="9">
        <v>3.7000000000000002E-3</v>
      </c>
      <c r="Q64" s="9"/>
      <c r="R64" s="9">
        <v>1.0800000000000001E-2</v>
      </c>
      <c r="S64" s="9">
        <v>2E-3</v>
      </c>
      <c r="T64" s="9">
        <v>1.6999999999999999E-3</v>
      </c>
      <c r="U64" s="9">
        <v>4.7000000000000002E-3</v>
      </c>
      <c r="V64" s="9">
        <v>1.1000000000000001E-3</v>
      </c>
      <c r="W64" s="9">
        <v>1.5E-3</v>
      </c>
      <c r="X64" s="9">
        <v>7.7999999999999996E-3</v>
      </c>
      <c r="Y64" s="9">
        <v>2.3999999999999998E-3</v>
      </c>
      <c r="Z64" s="9">
        <v>5.7000000000000002E-3</v>
      </c>
      <c r="AA64" s="9">
        <v>3.0999999999999999E-3</v>
      </c>
      <c r="AB64" s="9">
        <v>3.3E-3</v>
      </c>
      <c r="AC64" s="9">
        <v>1.6000000000000001E-3</v>
      </c>
      <c r="AD64" s="9">
        <v>2.3999999999999998E-3</v>
      </c>
    </row>
    <row r="65" spans="2:30" x14ac:dyDescent="0.3">
      <c r="B65" s="5">
        <v>202531</v>
      </c>
      <c r="C65" s="5"/>
      <c r="D65" s="9">
        <v>4.7999999999999996E-3</v>
      </c>
      <c r="E65" s="9">
        <v>3.5000000000000001E-3</v>
      </c>
      <c r="F65" s="9">
        <v>4.7999999999999996E-3</v>
      </c>
      <c r="G65" s="9">
        <v>3.3E-3</v>
      </c>
      <c r="H65" s="9">
        <v>3.5999999999999999E-3</v>
      </c>
      <c r="I65" s="9">
        <v>7.1000000000000004E-3</v>
      </c>
      <c r="J65" s="9">
        <v>4.8999999999999998E-3</v>
      </c>
      <c r="K65" s="9">
        <v>1.5E-3</v>
      </c>
      <c r="L65" s="9">
        <v>3.3999999999999998E-3</v>
      </c>
      <c r="M65" s="9">
        <v>7.4999999999999997E-3</v>
      </c>
      <c r="N65" s="9">
        <v>5.7999999999999996E-3</v>
      </c>
      <c r="O65" s="9">
        <v>1.3299999999999999E-2</v>
      </c>
      <c r="P65" s="9">
        <v>4.1999999999999997E-3</v>
      </c>
      <c r="Q65" s="9"/>
      <c r="R65" s="9">
        <v>1.0800000000000001E-2</v>
      </c>
      <c r="S65" s="9">
        <v>2.3999999999999998E-3</v>
      </c>
      <c r="T65" s="9">
        <v>1.8E-3</v>
      </c>
      <c r="U65" s="9">
        <v>7.7999999999999996E-3</v>
      </c>
      <c r="V65" s="9">
        <v>1.6000000000000001E-3</v>
      </c>
      <c r="W65" s="9">
        <v>2.3E-3</v>
      </c>
      <c r="X65" s="9">
        <v>7.9000000000000008E-3</v>
      </c>
      <c r="Y65" s="9">
        <v>1.9E-3</v>
      </c>
      <c r="Z65" s="9">
        <v>6.4000000000000003E-3</v>
      </c>
      <c r="AA65" s="9">
        <v>3.5999999999999999E-3</v>
      </c>
      <c r="AB65" s="9">
        <v>4.4000000000000003E-3</v>
      </c>
      <c r="AC65" s="9">
        <v>2.5000000000000001E-3</v>
      </c>
      <c r="AD65" s="9">
        <v>2E-3</v>
      </c>
    </row>
    <row r="66" spans="2:30" x14ac:dyDescent="0.3">
      <c r="B66" s="5">
        <v>202532</v>
      </c>
      <c r="C66" s="5"/>
      <c r="D66" s="9">
        <v>4.4000000000000003E-3</v>
      </c>
      <c r="E66" s="9">
        <v>3.8E-3</v>
      </c>
      <c r="F66" s="9">
        <v>4.4999999999999997E-3</v>
      </c>
      <c r="G66" s="9">
        <v>4.7999999999999996E-3</v>
      </c>
      <c r="H66" s="9">
        <v>2.5999999999999999E-3</v>
      </c>
      <c r="I66" s="9">
        <v>8.2000000000000007E-3</v>
      </c>
      <c r="J66" s="9">
        <v>4.7000000000000002E-3</v>
      </c>
      <c r="K66" s="9">
        <v>3.8E-3</v>
      </c>
      <c r="L66" s="9">
        <v>3.2000000000000002E-3</v>
      </c>
      <c r="M66" s="9">
        <v>6.4000000000000003E-3</v>
      </c>
      <c r="N66" s="9">
        <v>4.4000000000000003E-3</v>
      </c>
      <c r="O66" s="9">
        <v>1.2699999999999999E-2</v>
      </c>
      <c r="P66" s="9">
        <v>4.8999999999999998E-3</v>
      </c>
      <c r="Q66" s="9"/>
      <c r="R66" s="9">
        <v>5.0000000000000001E-3</v>
      </c>
      <c r="S66" s="9">
        <v>1.6000000000000001E-3</v>
      </c>
      <c r="T66" s="9">
        <v>1.6999999999999999E-3</v>
      </c>
      <c r="U66" s="9">
        <v>5.4000000000000003E-3</v>
      </c>
      <c r="V66" s="9">
        <v>3.2000000000000002E-3</v>
      </c>
      <c r="W66" s="9">
        <v>2.3E-3</v>
      </c>
      <c r="X66" s="9">
        <v>9.2999999999999992E-3</v>
      </c>
      <c r="Y66" s="9">
        <v>2E-3</v>
      </c>
      <c r="Z66" s="9">
        <v>5.4999999999999997E-3</v>
      </c>
      <c r="AA66" s="9">
        <v>4.1999999999999997E-3</v>
      </c>
      <c r="AB66" s="9">
        <v>7.4000000000000003E-3</v>
      </c>
      <c r="AC66" s="9">
        <v>2.0999999999999999E-3</v>
      </c>
      <c r="AD66" s="9">
        <v>2.7000000000000001E-3</v>
      </c>
    </row>
    <row r="67" spans="2:30" x14ac:dyDescent="0.3">
      <c r="B67" s="5">
        <v>202533</v>
      </c>
      <c r="C67" s="5"/>
      <c r="D67" s="9">
        <v>5.0000000000000001E-3</v>
      </c>
      <c r="E67" s="9">
        <v>3.5999999999999999E-3</v>
      </c>
      <c r="F67" s="9">
        <v>5.1000000000000004E-3</v>
      </c>
      <c r="G67" s="9">
        <v>4.7999999999999996E-3</v>
      </c>
      <c r="H67" s="9">
        <v>3.0000000000000001E-3</v>
      </c>
      <c r="I67" s="9">
        <v>6.1999999999999998E-3</v>
      </c>
      <c r="J67" s="9">
        <v>4.1999999999999997E-3</v>
      </c>
      <c r="K67" s="9">
        <v>2E-3</v>
      </c>
      <c r="L67" s="9">
        <v>2.5000000000000001E-3</v>
      </c>
      <c r="M67" s="9">
        <v>5.3E-3</v>
      </c>
      <c r="N67" s="9">
        <v>4.7000000000000002E-3</v>
      </c>
      <c r="O67" s="9">
        <v>1.66E-2</v>
      </c>
      <c r="P67" s="9">
        <v>8.5000000000000006E-3</v>
      </c>
      <c r="Q67" s="9"/>
      <c r="R67" s="9">
        <v>2.3999999999999998E-3</v>
      </c>
      <c r="S67" s="9">
        <v>1.5E-3</v>
      </c>
      <c r="T67" s="9">
        <v>1.8E-3</v>
      </c>
      <c r="U67" s="9">
        <v>6.6E-3</v>
      </c>
      <c r="V67" s="9">
        <v>2.5999999999999999E-3</v>
      </c>
      <c r="W67" s="9">
        <v>1.6999999999999999E-3</v>
      </c>
      <c r="X67" s="9">
        <v>1.04E-2</v>
      </c>
      <c r="Y67" s="9">
        <v>3.2000000000000002E-3</v>
      </c>
      <c r="Z67" s="9">
        <v>0</v>
      </c>
      <c r="AA67" s="9">
        <v>2.5000000000000001E-3</v>
      </c>
      <c r="AB67" s="9">
        <v>8.8000000000000005E-3</v>
      </c>
      <c r="AC67" s="9">
        <v>3.3999999999999998E-3</v>
      </c>
      <c r="AD67" s="9">
        <v>3.0000000000000001E-3</v>
      </c>
    </row>
    <row r="68" spans="2:30" ht="15" thickBot="1" x14ac:dyDescent="0.35">
      <c r="B68" s="5">
        <v>202534</v>
      </c>
      <c r="C68" s="5"/>
      <c r="D68" s="9">
        <v>4.4999999999999997E-3</v>
      </c>
      <c r="E68" s="9">
        <v>3.8999999999999998E-3</v>
      </c>
      <c r="F68" s="9">
        <v>4.5999999999999999E-3</v>
      </c>
      <c r="G68" s="9">
        <v>5.0000000000000001E-3</v>
      </c>
      <c r="H68" s="9">
        <v>3.3E-3</v>
      </c>
      <c r="I68" s="9">
        <v>5.5999999999999999E-3</v>
      </c>
      <c r="J68" s="9">
        <v>4.0000000000000001E-3</v>
      </c>
      <c r="K68" s="9">
        <v>1E-3</v>
      </c>
      <c r="L68" s="9">
        <v>3.3999999999999998E-3</v>
      </c>
      <c r="M68" s="9">
        <v>5.0000000000000001E-3</v>
      </c>
      <c r="N68" s="9">
        <v>3.8999999999999998E-3</v>
      </c>
      <c r="O68" s="9">
        <v>1.9199999999999998E-2</v>
      </c>
      <c r="P68" s="9">
        <v>6.1999999999999998E-3</v>
      </c>
      <c r="Q68" s="9"/>
      <c r="R68" s="9">
        <v>2.3999999999999998E-3</v>
      </c>
      <c r="S68" s="9">
        <v>1.5E-3</v>
      </c>
      <c r="T68" s="9">
        <v>2.7000000000000001E-3</v>
      </c>
      <c r="U68" s="9">
        <v>4.4000000000000003E-3</v>
      </c>
      <c r="V68" s="9">
        <v>5.1000000000000004E-3</v>
      </c>
      <c r="W68" s="9">
        <v>2.5000000000000001E-3</v>
      </c>
      <c r="X68" s="9">
        <v>1.09E-2</v>
      </c>
      <c r="Y68" s="9">
        <v>3.3E-3</v>
      </c>
      <c r="Z68" s="9"/>
      <c r="AA68" s="9"/>
      <c r="AB68" s="9">
        <v>6.4999999999999997E-3</v>
      </c>
      <c r="AC68" s="9">
        <v>2.8E-3</v>
      </c>
      <c r="AD68" s="9">
        <v>2.8E-3</v>
      </c>
    </row>
    <row r="69" spans="2:30" ht="15" thickBot="1" x14ac:dyDescent="0.35">
      <c r="B69" s="22" t="s">
        <v>82</v>
      </c>
      <c r="C69" s="22"/>
      <c r="D69" s="24">
        <f t="shared" ref="D69:AD69" si="23">AVERAGE(D35:D68)</f>
        <v>3.1117647058823529E-3</v>
      </c>
      <c r="E69" s="24">
        <f t="shared" si="23"/>
        <v>3.6029411764705883E-3</v>
      </c>
      <c r="F69" s="24">
        <f t="shared" si="23"/>
        <v>3.0558823529411761E-3</v>
      </c>
      <c r="G69" s="24">
        <f t="shared" si="23"/>
        <v>4.6382352941176479E-3</v>
      </c>
      <c r="H69" s="24">
        <f t="shared" si="23"/>
        <v>3.2441176470588244E-3</v>
      </c>
      <c r="I69" s="24">
        <f t="shared" si="23"/>
        <v>4.8676470588235295E-3</v>
      </c>
      <c r="J69" s="24">
        <f t="shared" si="23"/>
        <v>2.9588235294117642E-3</v>
      </c>
      <c r="K69" s="24">
        <f t="shared" si="23"/>
        <v>3.2558823529411757E-3</v>
      </c>
      <c r="L69" s="24">
        <f t="shared" si="23"/>
        <v>2.6117647058823529E-3</v>
      </c>
      <c r="M69" s="24">
        <f t="shared" si="23"/>
        <v>3.5294117647058825E-3</v>
      </c>
      <c r="N69" s="24">
        <f t="shared" si="23"/>
        <v>2.9724137931034481E-3</v>
      </c>
      <c r="O69" s="24">
        <f t="shared" si="23"/>
        <v>8.835294117647061E-3</v>
      </c>
      <c r="P69" s="24">
        <f t="shared" si="23"/>
        <v>3.4588235294117638E-3</v>
      </c>
      <c r="Q69" s="24">
        <f t="shared" si="23"/>
        <v>-6.7871428571428569E-2</v>
      </c>
      <c r="R69" s="24">
        <f t="shared" si="23"/>
        <v>3.2147058823529416E-3</v>
      </c>
      <c r="S69" s="24">
        <f t="shared" si="23"/>
        <v>1.7687500000000006E-3</v>
      </c>
      <c r="T69" s="24">
        <f t="shared" si="23"/>
        <v>2.6620689655172405E-3</v>
      </c>
      <c r="U69" s="24">
        <f t="shared" si="23"/>
        <v>3.5999999999999995E-3</v>
      </c>
      <c r="V69" s="24">
        <f t="shared" si="23"/>
        <v>3.2107142857142859E-3</v>
      </c>
      <c r="W69" s="24">
        <f t="shared" si="23"/>
        <v>2.5714285714285713E-3</v>
      </c>
      <c r="X69" s="24">
        <f t="shared" si="23"/>
        <v>4.3441176470588238E-3</v>
      </c>
      <c r="Y69" s="24">
        <f t="shared" si="23"/>
        <v>1.576470588235294E-3</v>
      </c>
      <c r="Z69" s="24">
        <f t="shared" si="23"/>
        <v>4.3151515151515158E-3</v>
      </c>
      <c r="AA69" s="24">
        <f t="shared" si="23"/>
        <v>2.3757575757575762E-3</v>
      </c>
      <c r="AB69" s="24">
        <f t="shared" si="23"/>
        <v>2.6241379310344829E-3</v>
      </c>
      <c r="AC69" s="24">
        <f t="shared" si="23"/>
        <v>1.4413793103448273E-3</v>
      </c>
      <c r="AD69" s="24">
        <f t="shared" si="23"/>
        <v>1.7000000000000001E-3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T69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11.109375" bestFit="1" customWidth="1"/>
    <col min="16" max="16" width="8.5546875" bestFit="1" customWidth="1"/>
    <col min="17" max="17" width="11.10937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33203125" bestFit="1" customWidth="1"/>
    <col min="23" max="23" width="10.6640625" bestFit="1" customWidth="1"/>
    <col min="24" max="24" width="7.44140625" bestFit="1" customWidth="1"/>
    <col min="25" max="25" width="11.33203125" bestFit="1" customWidth="1"/>
    <col min="26" max="26" width="7.33203125" bestFit="1" customWidth="1"/>
    <col min="27" max="27" width="11.109375" bestFit="1" customWidth="1"/>
    <col min="28" max="28" width="9" bestFit="1" customWidth="1"/>
    <col min="30" max="30" width="8.5546875" bestFit="1" customWidth="1"/>
    <col min="31" max="31" width="6" bestFit="1" customWidth="1"/>
    <col min="32" max="32" width="6.44140625" bestFit="1" customWidth="1"/>
    <col min="33" max="33" width="8.4414062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45893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45899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137</v>
      </c>
      <c r="C6" s="7">
        <v>17</v>
      </c>
      <c r="D6" s="7">
        <v>7</v>
      </c>
      <c r="E6" s="7">
        <v>4590</v>
      </c>
      <c r="F6" s="7">
        <v>5489</v>
      </c>
      <c r="G6" s="7">
        <v>36</v>
      </c>
      <c r="H6" s="9">
        <f t="shared" ref="H6:H11" si="0">IFERROR(G6/F6,0)</f>
        <v>6.55857168883221E-3</v>
      </c>
      <c r="I6" s="9">
        <f>IFERROR((4590-F6)/4590,0)</f>
        <v>-0.19586056644880173</v>
      </c>
      <c r="J6" s="7">
        <v>23160</v>
      </c>
      <c r="K6" s="11">
        <f t="shared" ref="K6:K11" si="1">IFERROR(J6/D6/F6*100,0)</f>
        <v>60.276396949743635</v>
      </c>
      <c r="L6" s="11">
        <f>K6-38.2418</f>
        <v>22.034596949743637</v>
      </c>
      <c r="M6" s="11">
        <v>84</v>
      </c>
      <c r="N6" s="11">
        <f t="shared" ref="N6:N11" si="2">K6-M6</f>
        <v>-23.723603050256365</v>
      </c>
      <c r="O6" s="11">
        <f>IFERROR(37950/4590,0)</f>
        <v>8.2679738562091512</v>
      </c>
      <c r="P6" s="11">
        <v>0</v>
      </c>
      <c r="Q6" s="11">
        <f>IFERROR(O6-P6,0)</f>
        <v>8.2679738562091512</v>
      </c>
      <c r="R6" s="7">
        <v>4820</v>
      </c>
      <c r="S6" s="11">
        <f>IFERROR(R6/D6/F6*1000,0)</f>
        <v>125.44569658798116</v>
      </c>
      <c r="T6" s="13">
        <f t="shared" ref="T6:T11" si="3">IFERROR(J6/R6,0)</f>
        <v>4.804979253112033</v>
      </c>
      <c r="U6" s="7">
        <v>0</v>
      </c>
      <c r="V6" s="11">
        <f>IFERROR(U6/D6/F6*1000,0)</f>
        <v>0</v>
      </c>
      <c r="W6" s="11">
        <f t="shared" ref="W6:W11" si="4">IFERROR(V6/S6,0)</f>
        <v>0</v>
      </c>
      <c r="X6" s="11">
        <v>254.4685714286</v>
      </c>
      <c r="Y6" s="11">
        <f>IFERROR((F6*S6)/(F6*K6)*100,0)</f>
        <v>208.11744386873926</v>
      </c>
      <c r="Z6" s="11">
        <f t="shared" ref="Z6:Z11" si="5">IFERROR(Y6*X6/1000,0)</f>
        <v>52.959348630649927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21</v>
      </c>
      <c r="AG6" s="7">
        <f>IF(M6=0,0,IFERROR(N6/100*7*F6,0))</f>
        <v>-9115.3200000000033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97</v>
      </c>
      <c r="C7" s="7">
        <v>27</v>
      </c>
      <c r="D7" s="7">
        <v>7</v>
      </c>
      <c r="E7" s="7">
        <v>14440</v>
      </c>
      <c r="F7" s="7">
        <v>10835</v>
      </c>
      <c r="G7" s="7">
        <v>36</v>
      </c>
      <c r="H7" s="9">
        <f t="shared" si="0"/>
        <v>3.3225657591139826E-3</v>
      </c>
      <c r="I7" s="9">
        <f>IFERROR((14440-F7)/14440,0)</f>
        <v>0.24965373961218837</v>
      </c>
      <c r="J7" s="7">
        <v>52200</v>
      </c>
      <c r="K7" s="11">
        <f t="shared" si="1"/>
        <v>68.824576438789634</v>
      </c>
      <c r="L7" s="11">
        <f>K7-69.0303</f>
        <v>-0.2057235612103625</v>
      </c>
      <c r="M7" s="11">
        <v>77</v>
      </c>
      <c r="N7" s="11">
        <f t="shared" si="2"/>
        <v>-8.1754235612103656</v>
      </c>
      <c r="O7" s="11">
        <f>IFERROR(5394460/14440,0)</f>
        <v>373.57756232686978</v>
      </c>
      <c r="P7" s="11">
        <v>0</v>
      </c>
      <c r="Q7" s="11">
        <f>IFERROR(O7-P7,0)</f>
        <v>373.57756232686978</v>
      </c>
      <c r="R7" s="7">
        <v>9730</v>
      </c>
      <c r="S7" s="11">
        <f>IFERROR(R7/D7/F7*1000,0)</f>
        <v>128.28795569912322</v>
      </c>
      <c r="T7" s="13">
        <f t="shared" si="3"/>
        <v>5.364850976361768</v>
      </c>
      <c r="U7" s="7">
        <v>0</v>
      </c>
      <c r="V7" s="11">
        <f>IFERROR(U7/D7/F7*1000,0)</f>
        <v>0</v>
      </c>
      <c r="W7" s="11">
        <f t="shared" si="4"/>
        <v>0</v>
      </c>
      <c r="X7" s="11">
        <v>373.15</v>
      </c>
      <c r="Y7" s="11">
        <f>IFERROR((F7*S7)/(F7*K7)*100,0)</f>
        <v>186.39846743295021</v>
      </c>
      <c r="Z7" s="11">
        <f t="shared" si="5"/>
        <v>69.554588122605367</v>
      </c>
      <c r="AA7" s="7">
        <v>0</v>
      </c>
      <c r="AB7" s="15">
        <f>IFERROR(AA7/1980,0)</f>
        <v>0</v>
      </c>
      <c r="AC7" s="11">
        <v>0</v>
      </c>
      <c r="AD7" s="15">
        <f>IFERROR(AC7/65.3,0)</f>
        <v>0</v>
      </c>
      <c r="AE7" s="11">
        <v>0</v>
      </c>
      <c r="AF7" s="11">
        <v>210</v>
      </c>
      <c r="AG7" s="7">
        <f>IF(M7=0,0,IFERROR(N7/100*7*F7,0))</f>
        <v>-6200.6500000000015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>IFERROR(0/F7,0)</f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97</v>
      </c>
      <c r="C8" s="7">
        <v>27</v>
      </c>
      <c r="D8" s="7">
        <v>7</v>
      </c>
      <c r="E8" s="7">
        <v>16063</v>
      </c>
      <c r="F8" s="7">
        <v>12774</v>
      </c>
      <c r="G8" s="7">
        <v>51</v>
      </c>
      <c r="H8" s="9">
        <f t="shared" si="0"/>
        <v>3.992484734617191E-3</v>
      </c>
      <c r="I8" s="9">
        <f>IFERROR((16063-F8)/16063,0)</f>
        <v>0.20475627217829795</v>
      </c>
      <c r="J8" s="7">
        <v>55950</v>
      </c>
      <c r="K8" s="11">
        <f t="shared" si="1"/>
        <v>62.571294370261022</v>
      </c>
      <c r="L8" s="11">
        <f>K8-63.325</f>
        <v>-0.75370562973898103</v>
      </c>
      <c r="M8" s="11">
        <v>74</v>
      </c>
      <c r="N8" s="11">
        <f t="shared" si="2"/>
        <v>-11.428705629738978</v>
      </c>
      <c r="O8" s="11">
        <f>IFERROR(5627010/16063,0)</f>
        <v>350.30878416236072</v>
      </c>
      <c r="P8" s="11">
        <v>0</v>
      </c>
      <c r="Q8" s="11">
        <f>IFERROR(O8-P8,0)</f>
        <v>350.30878416236072</v>
      </c>
      <c r="R8" s="7">
        <v>10360</v>
      </c>
      <c r="S8" s="11">
        <f>IFERROR(R8/D8/F8*1000,0)</f>
        <v>115.8603413183028</v>
      </c>
      <c r="T8" s="13">
        <f t="shared" si="3"/>
        <v>5.4005791505791505</v>
      </c>
      <c r="U8" s="7">
        <v>0</v>
      </c>
      <c r="V8" s="11">
        <f>IFERROR(U8/D8/F8*1000,0)</f>
        <v>0</v>
      </c>
      <c r="W8" s="11">
        <f t="shared" si="4"/>
        <v>0</v>
      </c>
      <c r="X8" s="11">
        <v>370</v>
      </c>
      <c r="Y8" s="11">
        <f>IFERROR((F8*S8)/(F8*K8)*100,0)</f>
        <v>185.16532618409295</v>
      </c>
      <c r="Z8" s="11">
        <f t="shared" si="5"/>
        <v>68.51117068811439</v>
      </c>
      <c r="AA8" s="7">
        <v>0</v>
      </c>
      <c r="AB8" s="15">
        <f>IFERROR(AA8/1580,0)</f>
        <v>0</v>
      </c>
      <c r="AC8" s="11">
        <v>0</v>
      </c>
      <c r="AD8" s="15">
        <f>IFERROR(AC8/63.7,0)</f>
        <v>0</v>
      </c>
      <c r="AE8" s="11">
        <v>0</v>
      </c>
      <c r="AF8" s="11">
        <v>21</v>
      </c>
      <c r="AG8" s="7">
        <f>IF(M8=0,0,IFERROR(N8/100*7*F8,0))</f>
        <v>-10219.32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>IFERROR(0/F8,0)</f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58</v>
      </c>
      <c r="C9" s="7"/>
      <c r="D9" s="7">
        <v>7</v>
      </c>
      <c r="E9" s="7">
        <v>4686</v>
      </c>
      <c r="F9" s="7">
        <v>3997</v>
      </c>
      <c r="G9" s="7">
        <v>17</v>
      </c>
      <c r="H9" s="9">
        <f t="shared" si="0"/>
        <v>4.2531898924193148E-3</v>
      </c>
      <c r="I9" s="9">
        <f>IFERROR((4686-F9)/4686,0)</f>
        <v>0.14703371745625265</v>
      </c>
      <c r="J9" s="7">
        <v>27840</v>
      </c>
      <c r="K9" s="11">
        <f t="shared" si="1"/>
        <v>99.503198827692202</v>
      </c>
      <c r="L9" s="11">
        <f>K9-100.6833</f>
        <v>-1.1801011723078005</v>
      </c>
      <c r="M9" s="11">
        <v>86</v>
      </c>
      <c r="N9" s="11">
        <f t="shared" si="2"/>
        <v>13.503198827692202</v>
      </c>
      <c r="O9" s="11">
        <f>IFERROR(1103220/4686,0)</f>
        <v>235.42893725992317</v>
      </c>
      <c r="P9" s="11">
        <v>246</v>
      </c>
      <c r="Q9" s="11">
        <f>IFERROR(O9-P9,0)</f>
        <v>-10.571062740076826</v>
      </c>
      <c r="R9" s="7">
        <v>4434</v>
      </c>
      <c r="S9" s="11">
        <f>IFERROR(R9/D9/F9*1000,0)</f>
        <v>158.47599985703565</v>
      </c>
      <c r="T9" s="13">
        <f t="shared" si="3"/>
        <v>6.2787550744248986</v>
      </c>
      <c r="U9" s="7">
        <v>5040</v>
      </c>
      <c r="V9" s="11">
        <f>IFERROR(U9/D9/F9*1000,0)</f>
        <v>180.1351013259945</v>
      </c>
      <c r="W9" s="11">
        <f t="shared" si="4"/>
        <v>1.1366711772665763</v>
      </c>
      <c r="X9" s="11">
        <v>310.93714285710001</v>
      </c>
      <c r="Y9" s="11">
        <f>IFERROR((F9*S9)/(F9*K9)*100,0)</f>
        <v>159.26724137931035</v>
      </c>
      <c r="Z9" s="11">
        <f t="shared" si="5"/>
        <v>49.522100985214848</v>
      </c>
      <c r="AA9" s="7">
        <v>0</v>
      </c>
      <c r="AB9" s="15">
        <f>IFERROR(AA9/1960,0)</f>
        <v>0</v>
      </c>
      <c r="AC9" s="11">
        <v>0</v>
      </c>
      <c r="AD9" s="15">
        <f>IFERROR(AC9/63.6,0)</f>
        <v>0</v>
      </c>
      <c r="AE9" s="11">
        <v>12</v>
      </c>
      <c r="AF9" s="11">
        <v>27</v>
      </c>
      <c r="AG9" s="7">
        <f>IF(M9=0,0,IFERROR(N9/100*7*F9,0))</f>
        <v>3778.0600000000018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>IFERROR(0/F9,0)</f>
        <v>0</v>
      </c>
      <c r="AP9" s="11">
        <v>0</v>
      </c>
      <c r="AQ9" s="7"/>
      <c r="AR9" s="7"/>
      <c r="AS9" s="7">
        <v>0</v>
      </c>
      <c r="AT9" s="7"/>
    </row>
    <row r="10" spans="1:46" ht="15" thickBot="1" x14ac:dyDescent="0.35">
      <c r="A10" s="5" t="s">
        <v>54</v>
      </c>
      <c r="B10" s="5">
        <v>58</v>
      </c>
      <c r="C10" s="7"/>
      <c r="D10" s="7">
        <v>7</v>
      </c>
      <c r="E10" s="7">
        <v>4819</v>
      </c>
      <c r="F10" s="7">
        <v>4356</v>
      </c>
      <c r="G10" s="7">
        <v>15</v>
      </c>
      <c r="H10" s="9">
        <f t="shared" si="0"/>
        <v>3.4435261707988982E-3</v>
      </c>
      <c r="I10" s="9">
        <f>IFERROR((4819-F10)/4819,0)</f>
        <v>9.6078024486407967E-2</v>
      </c>
      <c r="J10" s="7">
        <v>27390</v>
      </c>
      <c r="K10" s="11">
        <f t="shared" si="1"/>
        <v>89.826839826839816</v>
      </c>
      <c r="L10" s="11">
        <f>K10-90.401</f>
        <v>-0.57416017316018042</v>
      </c>
      <c r="M10" s="11">
        <v>86</v>
      </c>
      <c r="N10" s="11">
        <f t="shared" si="2"/>
        <v>3.8268398268398158</v>
      </c>
      <c r="O10" s="11">
        <f>IFERROR(1145446/4819,0)</f>
        <v>237.69371238846233</v>
      </c>
      <c r="P10" s="11">
        <v>246</v>
      </c>
      <c r="Q10" s="11">
        <f>IFERROR(O10-P10,0)</f>
        <v>-8.3062876115376696</v>
      </c>
      <c r="R10" s="7">
        <v>4119</v>
      </c>
      <c r="S10" s="11">
        <f>IFERROR(R10/D10/F10*1000,0)</f>
        <v>135.08461235733964</v>
      </c>
      <c r="T10" s="13">
        <f t="shared" si="3"/>
        <v>6.6496722505462493</v>
      </c>
      <c r="U10" s="7">
        <v>4320</v>
      </c>
      <c r="V10" s="11">
        <f>IFERROR(U10/D10/F10*1000,0)</f>
        <v>141.67650531286893</v>
      </c>
      <c r="W10" s="11">
        <f t="shared" si="4"/>
        <v>1.0487982520029131</v>
      </c>
      <c r="X10" s="11">
        <v>362.76</v>
      </c>
      <c r="Y10" s="11">
        <f>IFERROR((F10*S10)/(F10*K10)*100,0)</f>
        <v>150.38335158817088</v>
      </c>
      <c r="Z10" s="11">
        <f t="shared" si="5"/>
        <v>54.553064622124865</v>
      </c>
      <c r="AA10" s="7">
        <v>0</v>
      </c>
      <c r="AB10" s="15">
        <f>IFERROR(AA10/1960,0)</f>
        <v>0</v>
      </c>
      <c r="AC10" s="11">
        <v>0</v>
      </c>
      <c r="AD10" s="15">
        <f>IFERROR(AC10/63.6,0)</f>
        <v>0</v>
      </c>
      <c r="AE10" s="11">
        <v>12</v>
      </c>
      <c r="AF10" s="11">
        <v>27</v>
      </c>
      <c r="AG10" s="7">
        <f>IF(M10=0,0,IFERROR(N10/100*7*F10,0))</f>
        <v>1166.8799999999967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>IFERROR(0/F10,0)</f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16" t="s">
        <v>55</v>
      </c>
      <c r="B11" s="16"/>
      <c r="C11" s="17"/>
      <c r="D11" s="17">
        <f>AVERAGE(D6:D10)</f>
        <v>7</v>
      </c>
      <c r="E11" s="17">
        <f>SUM(E6:E10)</f>
        <v>44598</v>
      </c>
      <c r="F11" s="17">
        <f>SUM(F6:F10)</f>
        <v>37451</v>
      </c>
      <c r="G11" s="17">
        <f>SUM(G6:G10)</f>
        <v>155</v>
      </c>
      <c r="H11" s="18">
        <f t="shared" si="0"/>
        <v>4.1387412886171263E-3</v>
      </c>
      <c r="I11" s="18"/>
      <c r="J11" s="17">
        <f>SUM(J6:J10)</f>
        <v>186540</v>
      </c>
      <c r="K11" s="19">
        <f t="shared" si="1"/>
        <v>71.15583409941371</v>
      </c>
      <c r="L11" s="19"/>
      <c r="M11" s="19">
        <f>IFERROR(SUMPRODUCT($F6:$F10,M6:M10)/$F11, 0)</f>
        <v>79.010039785319478</v>
      </c>
      <c r="N11" s="19">
        <f t="shared" si="2"/>
        <v>-7.8542056859057681</v>
      </c>
      <c r="O11" s="19">
        <f>IFERROR(SUMPRODUCT($E6:$E10,O6:O10)/$E11, 0)</f>
        <v>298.4009596842908</v>
      </c>
      <c r="P11" s="19">
        <f>IFERROR(SUMPRODUCT($E6:$E10,P6:P10)/$E11, 0)</f>
        <v>52.42903269204897</v>
      </c>
      <c r="Q11" s="19">
        <f>IFERROR(SUMPRODUCT($E6:$E10,Q6:Q10)/$E11, 0)</f>
        <v>245.97192699224181</v>
      </c>
      <c r="R11" s="17">
        <f>SUM(R6:R10)</f>
        <v>33463</v>
      </c>
      <c r="S11" s="19">
        <f>IFERROR(R11/D11/$F11*1000,0)</f>
        <v>127.64488455391235</v>
      </c>
      <c r="T11" s="20">
        <f t="shared" si="3"/>
        <v>5.5745151361204917</v>
      </c>
      <c r="U11" s="17">
        <f>SUM(U6:U10)</f>
        <v>9360</v>
      </c>
      <c r="V11" s="19">
        <f>IFERROR(U11/D11/$F11*1000,0)</f>
        <v>35.703795817010416</v>
      </c>
      <c r="W11" s="19">
        <f t="shared" si="4"/>
        <v>0.27971192062875416</v>
      </c>
      <c r="X11" s="19">
        <f>IFERROR(SUMPRODUCT(R6:R10,X6:X10)/R11,0)</f>
        <v>345.55753356585581</v>
      </c>
      <c r="Y11" s="19">
        <f>IFERROR(($F11*S11)/($F11*K11)*100,0)</f>
        <v>179.38779886351452</v>
      </c>
      <c r="Z11" s="19">
        <f t="shared" si="5"/>
        <v>61.988805327083909</v>
      </c>
      <c r="AA11" s="17"/>
      <c r="AB11" s="21">
        <f>IFERROR(SUMPRODUCT($F6:$F10,AB6:AB10)/$F11,0)</f>
        <v>0</v>
      </c>
      <c r="AC11" s="19"/>
      <c r="AD11" s="21">
        <f>AVERAGE(AD6:AD10)</f>
        <v>0</v>
      </c>
      <c r="AE11" s="19"/>
      <c r="AF11" s="19"/>
      <c r="AG11" s="17">
        <f>SUM(AG6:AG10)</f>
        <v>-20590.350000000006</v>
      </c>
      <c r="AH11" s="17">
        <f>SUM(AH6:AH10)</f>
        <v>0</v>
      </c>
      <c r="AI11" s="17">
        <f>IFERROR(SUMPRODUCT(AH6:AH10,AI6:AI10)/AH11, 0)</f>
        <v>0</v>
      </c>
      <c r="AJ11" s="19">
        <f>AVERAGE(AJ6:AJ10)</f>
        <v>0</v>
      </c>
      <c r="AK11" s="19">
        <f>AVERAGE(AK6:AK10)</f>
        <v>0</v>
      </c>
      <c r="AL11" s="19">
        <f>AVERAGE(AL6:AL10)</f>
        <v>0</v>
      </c>
      <c r="AM11" s="19">
        <f>AVERAGE(AM6:AM10)</f>
        <v>0</v>
      </c>
      <c r="AN11" s="19">
        <f>AVERAGE(AN6:AN10)</f>
        <v>0</v>
      </c>
      <c r="AO11" s="20"/>
      <c r="AP11" s="19"/>
      <c r="AQ11" s="17"/>
      <c r="AR11" s="17"/>
      <c r="AS11" s="17"/>
      <c r="AT11" s="17"/>
    </row>
    <row r="13" spans="1:46" x14ac:dyDescent="0.3">
      <c r="A13" s="4" t="s">
        <v>56</v>
      </c>
      <c r="B13" s="4">
        <v>97</v>
      </c>
      <c r="C13" s="6">
        <v>34</v>
      </c>
      <c r="D13" s="6">
        <v>7</v>
      </c>
      <c r="E13" s="6">
        <v>21388</v>
      </c>
      <c r="F13" s="6">
        <v>15448</v>
      </c>
      <c r="G13" s="6">
        <v>80</v>
      </c>
      <c r="H13" s="8">
        <f t="shared" ref="H13:H28" si="6">IFERROR(G13/F13,0)</f>
        <v>5.1786639047125844E-3</v>
      </c>
      <c r="I13" s="8">
        <f>IFERROR((21388-F13)/21388,0)</f>
        <v>0.27772582756685993</v>
      </c>
      <c r="J13" s="6">
        <v>80360</v>
      </c>
      <c r="K13" s="10">
        <f t="shared" ref="K13:K28" si="7">IFERROR(J13/D13/F13*100,0)</f>
        <v>74.313827032625582</v>
      </c>
      <c r="L13" s="10">
        <f>K13-69.1286</f>
        <v>5.1852270326255763</v>
      </c>
      <c r="M13" s="10">
        <v>72</v>
      </c>
      <c r="N13" s="10">
        <f t="shared" ref="N13:N28" si="8">K13-M13</f>
        <v>2.3138270326255821</v>
      </c>
      <c r="O13" s="10">
        <f>IFERROR(6524350/21388,0)</f>
        <v>305.04722274172434</v>
      </c>
      <c r="P13" s="10">
        <v>0</v>
      </c>
      <c r="Q13" s="10">
        <f t="shared" ref="Q13:Q27" si="9">IFERROR(O13-P13,0)</f>
        <v>305.04722274172434</v>
      </c>
      <c r="R13" s="6">
        <v>11400</v>
      </c>
      <c r="S13" s="10">
        <f t="shared" ref="S13:S27" si="10">IFERROR(R13/D13/F13*1000,0)</f>
        <v>105.42280091736332</v>
      </c>
      <c r="T13" s="12">
        <f t="shared" ref="T13:T28" si="11">IFERROR(J13/R13,0)</f>
        <v>7.049122807017544</v>
      </c>
      <c r="U13" s="6">
        <v>22920</v>
      </c>
      <c r="V13" s="10">
        <f t="shared" ref="V13:V27" si="12">IFERROR(U13/D13/F13*1000,0)</f>
        <v>211.95531552859362</v>
      </c>
      <c r="W13" s="10">
        <f t="shared" ref="W13:W28" si="13">IFERROR(V13/S13,0)</f>
        <v>2.0105263157894737</v>
      </c>
      <c r="X13" s="10">
        <v>310.78857142859999</v>
      </c>
      <c r="Y13" s="10">
        <f t="shared" ref="Y13:Y27" si="14">IFERROR((F13*S13)/(F13*K13)*100,0)</f>
        <v>141.86162269785964</v>
      </c>
      <c r="Z13" s="10">
        <f t="shared" ref="Z13:Z28" si="15">IFERROR(Y13*X13/1000,0)</f>
        <v>44.088971058810856</v>
      </c>
      <c r="AA13" s="6">
        <v>0</v>
      </c>
      <c r="AB13" s="14">
        <f>IFERROR(AA13/1580,0)</f>
        <v>0</v>
      </c>
      <c r="AC13" s="10">
        <v>0</v>
      </c>
      <c r="AD13" s="14">
        <f>IFERROR(AC13/63.7,0)</f>
        <v>0</v>
      </c>
      <c r="AE13" s="10">
        <v>17</v>
      </c>
      <c r="AF13" s="10">
        <v>26</v>
      </c>
      <c r="AG13" s="6">
        <f t="shared" ref="AG13:AG27" si="16">IF(M13=0,0,IFERROR(N13/100*7*F13,0))</f>
        <v>2502.0799999999995</v>
      </c>
      <c r="AH13" s="6">
        <v>0</v>
      </c>
      <c r="AI13" s="6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2">
        <f>IFERROR(0/F13,0)</f>
        <v>0</v>
      </c>
      <c r="AP13" s="10">
        <v>0</v>
      </c>
      <c r="AQ13" s="6"/>
      <c r="AR13" s="6"/>
      <c r="AS13" s="6">
        <v>0</v>
      </c>
      <c r="AT13" s="6"/>
    </row>
    <row r="14" spans="1:46" x14ac:dyDescent="0.3">
      <c r="A14" s="5" t="s">
        <v>58</v>
      </c>
      <c r="B14" s="5">
        <v>58</v>
      </c>
      <c r="C14" s="7"/>
      <c r="D14" s="7">
        <v>7</v>
      </c>
      <c r="E14" s="7">
        <v>10225</v>
      </c>
      <c r="F14" s="7">
        <v>7291</v>
      </c>
      <c r="G14" s="7">
        <v>138</v>
      </c>
      <c r="H14" s="9">
        <f t="shared" si="6"/>
        <v>1.8927444794952682E-2</v>
      </c>
      <c r="I14" s="9">
        <f>IFERROR((10225-F14)/10225,0)</f>
        <v>0.2869437652811736</v>
      </c>
      <c r="J14" s="7">
        <v>38780</v>
      </c>
      <c r="K14" s="11">
        <f t="shared" si="7"/>
        <v>75.98408997394047</v>
      </c>
      <c r="L14" s="11">
        <f>K14-72.8035</f>
        <v>3.1805899739404708</v>
      </c>
      <c r="M14" s="11">
        <v>86</v>
      </c>
      <c r="N14" s="11">
        <f t="shared" si="8"/>
        <v>-10.01591002605953</v>
      </c>
      <c r="O14" s="11">
        <f>IFERROR(1967570/10225,0)</f>
        <v>192.42738386308068</v>
      </c>
      <c r="P14" s="11">
        <v>246</v>
      </c>
      <c r="Q14" s="11">
        <f t="shared" si="9"/>
        <v>-53.572616136919322</v>
      </c>
      <c r="R14" s="7">
        <v>8010</v>
      </c>
      <c r="S14" s="11">
        <f t="shared" si="10"/>
        <v>156.94496149852066</v>
      </c>
      <c r="T14" s="13">
        <f t="shared" si="11"/>
        <v>4.8414481897627963</v>
      </c>
      <c r="U14" s="7">
        <v>11830</v>
      </c>
      <c r="V14" s="11">
        <f t="shared" si="12"/>
        <v>231.79262103963791</v>
      </c>
      <c r="W14" s="11">
        <f t="shared" si="13"/>
        <v>1.4769038701622974</v>
      </c>
      <c r="X14" s="11">
        <v>268.75714285710001</v>
      </c>
      <c r="Y14" s="11">
        <f t="shared" si="14"/>
        <v>206.54976792160906</v>
      </c>
      <c r="Z14" s="11">
        <f t="shared" si="15"/>
        <v>55.511725484408736</v>
      </c>
      <c r="AA14" s="7">
        <v>0</v>
      </c>
      <c r="AB14" s="15">
        <f>IFERROR(AA14/1960,0)</f>
        <v>0</v>
      </c>
      <c r="AC14" s="11">
        <v>0</v>
      </c>
      <c r="AD14" s="15">
        <f>IFERROR(AC14/63.6,0)</f>
        <v>0</v>
      </c>
      <c r="AE14" s="11">
        <v>14</v>
      </c>
      <c r="AF14" s="11">
        <v>26</v>
      </c>
      <c r="AG14" s="7">
        <f t="shared" si="16"/>
        <v>-5111.8200000000024</v>
      </c>
      <c r="AH14" s="7">
        <v>0</v>
      </c>
      <c r="AI14" s="7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3">
        <f>IFERROR(0/F14,0)</f>
        <v>0</v>
      </c>
      <c r="AP14" s="11">
        <v>0</v>
      </c>
      <c r="AQ14" s="7"/>
      <c r="AR14" s="7"/>
      <c r="AS14" s="7">
        <v>0</v>
      </c>
      <c r="AT14" s="7"/>
    </row>
    <row r="15" spans="1:46" x14ac:dyDescent="0.3">
      <c r="A15" s="5" t="s">
        <v>59</v>
      </c>
      <c r="B15" s="5">
        <v>86</v>
      </c>
      <c r="C15" s="7"/>
      <c r="D15" s="7">
        <v>7</v>
      </c>
      <c r="E15" s="7">
        <v>56050</v>
      </c>
      <c r="F15" s="7">
        <v>54117</v>
      </c>
      <c r="G15" s="7">
        <v>392</v>
      </c>
      <c r="H15" s="9">
        <f t="shared" si="6"/>
        <v>7.2435648687103867E-3</v>
      </c>
      <c r="I15" s="9">
        <f>IFERROR((56050-F15)/56050,0)</f>
        <v>3.4487065120428192E-2</v>
      </c>
      <c r="J15" s="7">
        <v>307040</v>
      </c>
      <c r="K15" s="11">
        <f t="shared" si="7"/>
        <v>81.051900775832266</v>
      </c>
      <c r="L15" s="11">
        <f>K15-80.8517</f>
        <v>0.20020077583227192</v>
      </c>
      <c r="M15" s="11">
        <v>83.15</v>
      </c>
      <c r="N15" s="11">
        <f t="shared" si="8"/>
        <v>-2.0980992241677399</v>
      </c>
      <c r="O15" s="11">
        <f>IFERROR(22273521/56050,0)</f>
        <v>397.38663693131133</v>
      </c>
      <c r="P15" s="11">
        <v>404</v>
      </c>
      <c r="Q15" s="11">
        <f t="shared" si="9"/>
        <v>-6.6133630686886704</v>
      </c>
      <c r="R15" s="7">
        <v>45080</v>
      </c>
      <c r="S15" s="11">
        <f t="shared" si="10"/>
        <v>119.00142284309921</v>
      </c>
      <c r="T15" s="13">
        <f t="shared" si="11"/>
        <v>6.8110026619343387</v>
      </c>
      <c r="U15" s="7">
        <v>73900</v>
      </c>
      <c r="V15" s="11">
        <f t="shared" si="12"/>
        <v>195.07997222948163</v>
      </c>
      <c r="W15" s="11">
        <f t="shared" si="13"/>
        <v>1.6393078970718722</v>
      </c>
      <c r="X15" s="11">
        <v>319.97714285709998</v>
      </c>
      <c r="Y15" s="11">
        <f t="shared" si="14"/>
        <v>146.82126107347574</v>
      </c>
      <c r="Z15" s="11">
        <f t="shared" si="15"/>
        <v>46.979447628967122</v>
      </c>
      <c r="AA15" s="7">
        <v>0</v>
      </c>
      <c r="AB15" s="15">
        <f>IFERROR(AA15/1725,0)</f>
        <v>0</v>
      </c>
      <c r="AC15" s="11">
        <v>0</v>
      </c>
      <c r="AD15" s="15">
        <f>IFERROR(AC15/64.4,0)</f>
        <v>0</v>
      </c>
      <c r="AE15" s="11">
        <v>21</v>
      </c>
      <c r="AF15" s="11">
        <v>26</v>
      </c>
      <c r="AG15" s="7">
        <f t="shared" si="16"/>
        <v>-7947.9984999999897</v>
      </c>
      <c r="AH15" s="7">
        <v>29</v>
      </c>
      <c r="AI15" s="7">
        <v>22.758620689699999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IFERROR(1965/F15,0)</f>
        <v>3.6310216752591606E-2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60</v>
      </c>
      <c r="B16" s="5">
        <v>79</v>
      </c>
      <c r="C16" s="7">
        <v>6</v>
      </c>
      <c r="D16" s="7">
        <v>7</v>
      </c>
      <c r="E16" s="7">
        <v>51536</v>
      </c>
      <c r="F16" s="7">
        <v>48173</v>
      </c>
      <c r="G16" s="7">
        <v>86</v>
      </c>
      <c r="H16" s="9">
        <f t="shared" si="6"/>
        <v>1.7852323915886492E-3</v>
      </c>
      <c r="I16" s="9">
        <f>IFERROR((51536-F16)/51536,0)</f>
        <v>6.5255355479664698E-2</v>
      </c>
      <c r="J16" s="7">
        <v>263700</v>
      </c>
      <c r="K16" s="11">
        <f t="shared" si="7"/>
        <v>78.200295957130706</v>
      </c>
      <c r="L16" s="11">
        <f>K16-47.2336</f>
        <v>30.966695957130703</v>
      </c>
      <c r="M16" s="11">
        <v>37</v>
      </c>
      <c r="N16" s="11">
        <f t="shared" si="8"/>
        <v>41.200295957130706</v>
      </c>
      <c r="O16" s="11">
        <f>IFERROR(17035842/51536,0)</f>
        <v>330.56197609438061</v>
      </c>
      <c r="P16" s="11">
        <v>0</v>
      </c>
      <c r="Q16" s="11">
        <f t="shared" si="9"/>
        <v>330.56197609438061</v>
      </c>
      <c r="R16" s="7">
        <v>38110</v>
      </c>
      <c r="S16" s="11">
        <f t="shared" si="10"/>
        <v>113.01529309542099</v>
      </c>
      <c r="T16" s="13">
        <f t="shared" si="11"/>
        <v>6.9194437155602202</v>
      </c>
      <c r="U16" s="7">
        <v>74527</v>
      </c>
      <c r="V16" s="11">
        <f t="shared" si="12"/>
        <v>221.00999077728784</v>
      </c>
      <c r="W16" s="11">
        <f t="shared" si="13"/>
        <v>1.9555759643138284</v>
      </c>
      <c r="X16" s="11">
        <v>292.10142857139999</v>
      </c>
      <c r="Y16" s="11">
        <f t="shared" si="14"/>
        <v>144.52028820629505</v>
      </c>
      <c r="Z16" s="11">
        <f t="shared" si="15"/>
        <v>42.21458264260923</v>
      </c>
      <c r="AA16" s="7">
        <v>0</v>
      </c>
      <c r="AB16" s="15">
        <f>IFERROR(AA16/1725,0)</f>
        <v>0</v>
      </c>
      <c r="AC16" s="11">
        <v>0</v>
      </c>
      <c r="AD16" s="15">
        <f>IFERROR(AC16/64.1,0)</f>
        <v>0</v>
      </c>
      <c r="AE16" s="11">
        <v>23</v>
      </c>
      <c r="AF16" s="11">
        <v>27</v>
      </c>
      <c r="AG16" s="7">
        <f t="shared" si="16"/>
        <v>138931.93000000002</v>
      </c>
      <c r="AH16" s="7">
        <v>25</v>
      </c>
      <c r="AI16" s="7">
        <v>25.6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IFERROR(700/F16,0)</f>
        <v>1.4530961326884355E-2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61</v>
      </c>
      <c r="B17" s="5">
        <v>26</v>
      </c>
      <c r="C17" s="7"/>
      <c r="D17" s="7">
        <v>7</v>
      </c>
      <c r="E17" s="7">
        <v>49067</v>
      </c>
      <c r="F17" s="7">
        <v>48295</v>
      </c>
      <c r="G17" s="7">
        <v>148</v>
      </c>
      <c r="H17" s="9">
        <f t="shared" si="6"/>
        <v>3.0644994305828763E-3</v>
      </c>
      <c r="I17" s="9">
        <f>IFERROR((49067-F17)/49067,0)</f>
        <v>1.5733588766380664E-2</v>
      </c>
      <c r="J17" s="7">
        <v>314640</v>
      </c>
      <c r="K17" s="11">
        <f t="shared" si="7"/>
        <v>93.070859154304642</v>
      </c>
      <c r="L17" s="11">
        <f>K17-92.3796</f>
        <v>0.69125915430464602</v>
      </c>
      <c r="M17" s="11">
        <v>94.5</v>
      </c>
      <c r="N17" s="11">
        <f t="shared" si="8"/>
        <v>-1.4291408456953576</v>
      </c>
      <c r="O17" s="11">
        <f>IFERROR(1969610/49067,0)</f>
        <v>40.141235453563496</v>
      </c>
      <c r="P17" s="11">
        <v>40</v>
      </c>
      <c r="Q17" s="11">
        <f t="shared" si="9"/>
        <v>0.14123545356349609</v>
      </c>
      <c r="R17" s="7">
        <v>38860</v>
      </c>
      <c r="S17" s="11">
        <f t="shared" si="10"/>
        <v>114.94830875719167</v>
      </c>
      <c r="T17" s="13">
        <f t="shared" si="11"/>
        <v>8.0967575913535761</v>
      </c>
      <c r="U17" s="7">
        <v>64500</v>
      </c>
      <c r="V17" s="11">
        <f t="shared" si="12"/>
        <v>190.79171165308446</v>
      </c>
      <c r="W17" s="11">
        <f t="shared" si="13"/>
        <v>1.6598044261451363</v>
      </c>
      <c r="X17" s="11">
        <v>299.68857142860003</v>
      </c>
      <c r="Y17" s="11">
        <f t="shared" si="14"/>
        <v>123.50622934146962</v>
      </c>
      <c r="Z17" s="11">
        <f t="shared" si="15"/>
        <v>37.013405433878077</v>
      </c>
      <c r="AA17" s="7">
        <v>0</v>
      </c>
      <c r="AB17" s="15">
        <f>IFERROR(AA17/1575,0)</f>
        <v>0</v>
      </c>
      <c r="AC17" s="11">
        <v>0</v>
      </c>
      <c r="AD17" s="15">
        <f>IFERROR(AC17/55.5,0)</f>
        <v>0</v>
      </c>
      <c r="AE17" s="11">
        <v>22</v>
      </c>
      <c r="AF17" s="11">
        <v>27</v>
      </c>
      <c r="AG17" s="7">
        <f t="shared" si="16"/>
        <v>-4831.4250000000102</v>
      </c>
      <c r="AH17" s="7">
        <v>18</v>
      </c>
      <c r="AI17" s="7">
        <v>31.111111111100001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62</v>
      </c>
      <c r="B18" s="5">
        <v>58</v>
      </c>
      <c r="C18" s="7"/>
      <c r="D18" s="7">
        <v>7</v>
      </c>
      <c r="E18" s="7">
        <v>52424</v>
      </c>
      <c r="F18" s="7">
        <v>44309</v>
      </c>
      <c r="G18" s="7">
        <v>543</v>
      </c>
      <c r="H18" s="9">
        <f t="shared" si="6"/>
        <v>1.2254846645151097E-2</v>
      </c>
      <c r="I18" s="9">
        <f>IFERROR((52424-F18)/52424,0)</f>
        <v>0.15479551350526477</v>
      </c>
      <c r="J18" s="7">
        <v>272100</v>
      </c>
      <c r="K18" s="11">
        <f t="shared" si="7"/>
        <v>87.728065565525227</v>
      </c>
      <c r="L18" s="11">
        <f>K18-89.0612</f>
        <v>-1.333134434474772</v>
      </c>
      <c r="M18" s="11">
        <v>91.9</v>
      </c>
      <c r="N18" s="11">
        <f t="shared" si="8"/>
        <v>-4.1719344344747782</v>
      </c>
      <c r="O18" s="11">
        <f>IFERROR(11821900/52424,0)</f>
        <v>225.50549366702273</v>
      </c>
      <c r="P18" s="11">
        <v>244</v>
      </c>
      <c r="Q18" s="11">
        <f t="shared" si="9"/>
        <v>-18.494506332977267</v>
      </c>
      <c r="R18" s="7">
        <v>36728</v>
      </c>
      <c r="S18" s="11">
        <f t="shared" si="10"/>
        <v>118.41515590189674</v>
      </c>
      <c r="T18" s="13">
        <f t="shared" si="11"/>
        <v>7.4085166630363757</v>
      </c>
      <c r="U18" s="7">
        <v>54930</v>
      </c>
      <c r="V18" s="11">
        <f t="shared" si="12"/>
        <v>177.10042783955532</v>
      </c>
      <c r="W18" s="11">
        <f t="shared" si="13"/>
        <v>1.4955891962535395</v>
      </c>
      <c r="X18" s="11">
        <v>293.48857142859998</v>
      </c>
      <c r="Y18" s="11">
        <f t="shared" si="14"/>
        <v>134.97978684307239</v>
      </c>
      <c r="Z18" s="11">
        <f t="shared" si="15"/>
        <v>39.615024812310253</v>
      </c>
      <c r="AA18" s="7">
        <v>0</v>
      </c>
      <c r="AB18" s="15">
        <f>IFERROR(AA18/1725,0)</f>
        <v>0</v>
      </c>
      <c r="AC18" s="11">
        <v>0</v>
      </c>
      <c r="AD18" s="15">
        <f>IFERROR(AC18/63.1,0)</f>
        <v>0</v>
      </c>
      <c r="AE18" s="11">
        <v>22</v>
      </c>
      <c r="AF18" s="11">
        <v>25</v>
      </c>
      <c r="AG18" s="7">
        <f t="shared" si="16"/>
        <v>-12939.797000000008</v>
      </c>
      <c r="AH18" s="7">
        <v>30</v>
      </c>
      <c r="AI18" s="7">
        <v>20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IFERROR(1400/F18,0)</f>
        <v>3.1596289692838925E-2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63</v>
      </c>
      <c r="B19" s="5">
        <v>48</v>
      </c>
      <c r="C19" s="7"/>
      <c r="D19" s="7">
        <v>7</v>
      </c>
      <c r="E19" s="7">
        <v>50525</v>
      </c>
      <c r="F19" s="7">
        <v>46540</v>
      </c>
      <c r="G19" s="7">
        <v>212</v>
      </c>
      <c r="H19" s="9">
        <f t="shared" si="6"/>
        <v>4.5552213149978515E-3</v>
      </c>
      <c r="I19" s="9">
        <f>IFERROR((50525-F19)/50525,0)</f>
        <v>7.8871845620979708E-2</v>
      </c>
      <c r="J19" s="7">
        <v>283440</v>
      </c>
      <c r="K19" s="11">
        <f t="shared" si="7"/>
        <v>87.003499294002083</v>
      </c>
      <c r="L19" s="11">
        <f>K19-89.1757</f>
        <v>-2.1722007059979234</v>
      </c>
      <c r="M19" s="11">
        <v>91</v>
      </c>
      <c r="N19" s="11">
        <f t="shared" si="8"/>
        <v>-3.9965007059979172</v>
      </c>
      <c r="O19" s="11">
        <f>IFERROR(8546070/50525,0)</f>
        <v>169.14537357743691</v>
      </c>
      <c r="P19" s="11">
        <v>183</v>
      </c>
      <c r="Q19" s="11">
        <f t="shared" si="9"/>
        <v>-13.854626422563086</v>
      </c>
      <c r="R19" s="7">
        <v>37325</v>
      </c>
      <c r="S19" s="11">
        <f t="shared" si="10"/>
        <v>114.57118300693719</v>
      </c>
      <c r="T19" s="13">
        <f t="shared" si="11"/>
        <v>7.5938379102478235</v>
      </c>
      <c r="U19" s="7">
        <v>66075</v>
      </c>
      <c r="V19" s="11">
        <f t="shared" si="12"/>
        <v>202.82092209466509</v>
      </c>
      <c r="W19" s="11">
        <f t="shared" si="13"/>
        <v>1.7702612190221032</v>
      </c>
      <c r="X19" s="11">
        <v>305.52999999999997</v>
      </c>
      <c r="Y19" s="11">
        <f t="shared" si="14"/>
        <v>131.68571831780977</v>
      </c>
      <c r="Z19" s="11">
        <f t="shared" si="15"/>
        <v>40.233937517640413</v>
      </c>
      <c r="AA19" s="7">
        <v>0</v>
      </c>
      <c r="AB19" s="15">
        <f>IFERROR(AA19/1580,0)</f>
        <v>0</v>
      </c>
      <c r="AC19" s="11">
        <v>0</v>
      </c>
      <c r="AD19" s="15">
        <f>IFERROR(AC19/62.1,0)</f>
        <v>0</v>
      </c>
      <c r="AE19" s="11">
        <v>21</v>
      </c>
      <c r="AF19" s="11">
        <v>26</v>
      </c>
      <c r="AG19" s="7">
        <f t="shared" si="16"/>
        <v>-13019.800000000014</v>
      </c>
      <c r="AH19" s="7">
        <v>28</v>
      </c>
      <c r="AI19" s="7">
        <v>23.571428571399998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>
        <f>IFERROR(1400/F19,0)</f>
        <v>3.0081650193382038E-2</v>
      </c>
      <c r="AP19" s="11">
        <v>0</v>
      </c>
      <c r="AQ19" s="7"/>
      <c r="AR19" s="7"/>
      <c r="AS19" s="7">
        <v>0</v>
      </c>
      <c r="AT19" s="7"/>
    </row>
    <row r="20" spans="1:46" x14ac:dyDescent="0.3">
      <c r="A20" s="5" t="s">
        <v>64</v>
      </c>
      <c r="B20" s="5">
        <v>67</v>
      </c>
      <c r="C20" s="7"/>
      <c r="D20" s="7">
        <v>7</v>
      </c>
      <c r="E20" s="7">
        <v>50845</v>
      </c>
      <c r="F20" s="7">
        <v>47075</v>
      </c>
      <c r="G20" s="7">
        <v>156</v>
      </c>
      <c r="H20" s="9">
        <f t="shared" si="6"/>
        <v>3.3138608603292619E-3</v>
      </c>
      <c r="I20" s="9">
        <f>IFERROR((50845-F20)/50845,0)</f>
        <v>7.414691710099322E-2</v>
      </c>
      <c r="J20" s="7">
        <v>290180</v>
      </c>
      <c r="K20" s="11">
        <f t="shared" si="7"/>
        <v>88.060086488126856</v>
      </c>
      <c r="L20" s="11">
        <f>K20-87.8055</f>
        <v>0.25458648812686135</v>
      </c>
      <c r="M20" s="11">
        <v>89.3</v>
      </c>
      <c r="N20" s="11">
        <f t="shared" si="8"/>
        <v>-1.2399135118731408</v>
      </c>
      <c r="O20" s="11">
        <f>IFERROR(14902810/50845,0)</f>
        <v>293.10276330022617</v>
      </c>
      <c r="P20" s="11">
        <v>298</v>
      </c>
      <c r="Q20" s="11">
        <f t="shared" si="9"/>
        <v>-4.8972366997738277</v>
      </c>
      <c r="R20" s="7">
        <v>39306</v>
      </c>
      <c r="S20" s="11">
        <f t="shared" si="10"/>
        <v>119.2807829451483</v>
      </c>
      <c r="T20" s="13">
        <f t="shared" si="11"/>
        <v>7.3825879000661478</v>
      </c>
      <c r="U20" s="7">
        <v>67700</v>
      </c>
      <c r="V20" s="11">
        <f t="shared" si="12"/>
        <v>205.44723465594413</v>
      </c>
      <c r="W20" s="11">
        <f t="shared" si="13"/>
        <v>1.7223833511423192</v>
      </c>
      <c r="X20" s="11">
        <v>308.95285714289997</v>
      </c>
      <c r="Y20" s="11">
        <f t="shared" si="14"/>
        <v>135.4538562271693</v>
      </c>
      <c r="Z20" s="11">
        <f t="shared" si="15"/>
        <v>41.848855892407549</v>
      </c>
      <c r="AA20" s="7">
        <v>0</v>
      </c>
      <c r="AB20" s="15">
        <f>IFERROR(AA20/1725,0)</f>
        <v>0</v>
      </c>
      <c r="AC20" s="11">
        <v>0</v>
      </c>
      <c r="AD20" s="15">
        <f>IFERROR(AC20/63.5,0)</f>
        <v>0</v>
      </c>
      <c r="AE20" s="11">
        <v>22</v>
      </c>
      <c r="AF20" s="11">
        <v>26</v>
      </c>
      <c r="AG20" s="7">
        <f t="shared" si="16"/>
        <v>-4085.8249999999675</v>
      </c>
      <c r="AH20" s="7">
        <v>31</v>
      </c>
      <c r="AI20" s="7">
        <v>20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IFERROR(1400/F20,0)</f>
        <v>2.9739776951672861E-2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65</v>
      </c>
      <c r="B21" s="5">
        <v>34</v>
      </c>
      <c r="C21" s="7"/>
      <c r="D21" s="7">
        <v>7</v>
      </c>
      <c r="E21" s="7">
        <v>21024</v>
      </c>
      <c r="F21" s="7">
        <v>20009</v>
      </c>
      <c r="G21" s="7">
        <v>74</v>
      </c>
      <c r="H21" s="9">
        <f t="shared" si="6"/>
        <v>3.698335748912989E-3</v>
      </c>
      <c r="I21" s="9">
        <f>IFERROR((21024-F21)/21024,0)</f>
        <v>4.8278158295281585E-2</v>
      </c>
      <c r="J21" s="7">
        <v>105150</v>
      </c>
      <c r="K21" s="11">
        <f t="shared" si="7"/>
        <v>75.073359845212508</v>
      </c>
      <c r="L21" s="11">
        <f>K21-68.8002</f>
        <v>6.2731598452125041</v>
      </c>
      <c r="M21" s="11">
        <v>94.5</v>
      </c>
      <c r="N21" s="11">
        <f t="shared" si="8"/>
        <v>-19.426640154787492</v>
      </c>
      <c r="O21" s="11">
        <f>IFERROR(1242810/21024,0)</f>
        <v>59.113869863013697</v>
      </c>
      <c r="P21" s="11">
        <v>98</v>
      </c>
      <c r="Q21" s="11">
        <f t="shared" si="9"/>
        <v>-38.886130136986303</v>
      </c>
      <c r="R21" s="7">
        <v>17900</v>
      </c>
      <c r="S21" s="11">
        <f t="shared" si="10"/>
        <v>127.79963302228283</v>
      </c>
      <c r="T21" s="13">
        <f t="shared" si="11"/>
        <v>5.8743016759776534</v>
      </c>
      <c r="U21" s="7">
        <v>22840</v>
      </c>
      <c r="V21" s="11">
        <f t="shared" si="12"/>
        <v>163.0694758787117</v>
      </c>
      <c r="W21" s="11">
        <f t="shared" si="13"/>
        <v>1.2759776536312848</v>
      </c>
      <c r="X21" s="11">
        <v>266.41285714290001</v>
      </c>
      <c r="Y21" s="11">
        <f t="shared" si="14"/>
        <v>170.2330004755112</v>
      </c>
      <c r="Z21" s="11">
        <f t="shared" si="15"/>
        <v>45.352260036689593</v>
      </c>
      <c r="AA21" s="7">
        <v>0</v>
      </c>
      <c r="AB21" s="15">
        <f>IFERROR(AA21/1910,0)</f>
        <v>0</v>
      </c>
      <c r="AC21" s="11">
        <v>0</v>
      </c>
      <c r="AD21" s="15">
        <f>IFERROR(AC21/61.7,0)</f>
        <v>0</v>
      </c>
      <c r="AE21" s="11">
        <v>18</v>
      </c>
      <c r="AF21" s="11">
        <v>26</v>
      </c>
      <c r="AG21" s="7">
        <f t="shared" si="16"/>
        <v>-27209.535000000003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58</v>
      </c>
      <c r="C22" s="7"/>
      <c r="D22" s="7">
        <v>7</v>
      </c>
      <c r="E22" s="7">
        <v>21875</v>
      </c>
      <c r="F22" s="7">
        <v>20458</v>
      </c>
      <c r="G22" s="7">
        <v>74</v>
      </c>
      <c r="H22" s="9">
        <f t="shared" si="6"/>
        <v>3.6171668784827451E-3</v>
      </c>
      <c r="I22" s="9">
        <f>IFERROR((21875-F22)/21875,0)</f>
        <v>6.4777142857142853E-2</v>
      </c>
      <c r="J22" s="7">
        <v>127870</v>
      </c>
      <c r="K22" s="11">
        <f t="shared" si="7"/>
        <v>89.290951496445686</v>
      </c>
      <c r="L22" s="11">
        <f>K22-89.3379</f>
        <v>-4.6948503554318677E-2</v>
      </c>
      <c r="M22" s="11">
        <v>86</v>
      </c>
      <c r="N22" s="11">
        <f t="shared" si="8"/>
        <v>3.2909514964456861</v>
      </c>
      <c r="O22" s="11">
        <f>IFERROR(5362980/21875,0)</f>
        <v>245.16480000000001</v>
      </c>
      <c r="P22" s="11">
        <v>246</v>
      </c>
      <c r="Q22" s="11">
        <f t="shared" si="9"/>
        <v>-0.83519999999998618</v>
      </c>
      <c r="R22" s="7">
        <v>17840</v>
      </c>
      <c r="S22" s="11">
        <f t="shared" si="10"/>
        <v>124.57578593075709</v>
      </c>
      <c r="T22" s="13">
        <f t="shared" si="11"/>
        <v>7.1676008968609866</v>
      </c>
      <c r="U22" s="7">
        <v>27463</v>
      </c>
      <c r="V22" s="11">
        <f t="shared" si="12"/>
        <v>191.77269108836222</v>
      </c>
      <c r="W22" s="11">
        <f t="shared" si="13"/>
        <v>1.5394058295964126</v>
      </c>
      <c r="X22" s="11">
        <v>296.03857142859999</v>
      </c>
      <c r="Y22" s="11">
        <f t="shared" si="14"/>
        <v>139.51669664503009</v>
      </c>
      <c r="Z22" s="11">
        <f t="shared" si="15"/>
        <v>41.302323565232058</v>
      </c>
      <c r="AA22" s="7">
        <v>0</v>
      </c>
      <c r="AB22" s="15">
        <f>IFERROR(AA22/1960,0)</f>
        <v>0</v>
      </c>
      <c r="AC22" s="11">
        <v>0</v>
      </c>
      <c r="AD22" s="15">
        <f>IFERROR(AC22/63.6,0)</f>
        <v>0</v>
      </c>
      <c r="AE22" s="11">
        <v>22</v>
      </c>
      <c r="AF22" s="11">
        <v>25</v>
      </c>
      <c r="AG22" s="7">
        <f t="shared" si="16"/>
        <v>4712.8400000000092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IFERROR(340/F22,0)</f>
        <v>1.6619415387623425E-2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68</v>
      </c>
      <c r="B23" s="5">
        <v>48</v>
      </c>
      <c r="C23" s="7"/>
      <c r="D23" s="7">
        <v>7</v>
      </c>
      <c r="E23" s="7">
        <v>21339</v>
      </c>
      <c r="F23" s="7">
        <v>20358</v>
      </c>
      <c r="G23" s="7">
        <v>35</v>
      </c>
      <c r="H23" s="9">
        <f t="shared" si="6"/>
        <v>1.7192258571568917E-3</v>
      </c>
      <c r="I23" s="9">
        <f>IFERROR((21339-F23)/21339,0)</f>
        <v>4.5972163644032053E-2</v>
      </c>
      <c r="J23" s="7">
        <v>126230</v>
      </c>
      <c r="K23" s="11">
        <f t="shared" si="7"/>
        <v>88.578726509760983</v>
      </c>
      <c r="L23" s="11">
        <f>K23-92.5808</f>
        <v>-4.0020734902390132</v>
      </c>
      <c r="M23" s="11">
        <v>89</v>
      </c>
      <c r="N23" s="11">
        <f t="shared" si="8"/>
        <v>-0.42127349023901672</v>
      </c>
      <c r="O23" s="11">
        <f>IFERROR(3787520/21339,0)</f>
        <v>177.49285346079947</v>
      </c>
      <c r="P23" s="11">
        <v>186</v>
      </c>
      <c r="Q23" s="11">
        <f t="shared" si="9"/>
        <v>-8.5071465392005337</v>
      </c>
      <c r="R23" s="7">
        <v>17020</v>
      </c>
      <c r="S23" s="11">
        <f t="shared" si="10"/>
        <v>119.43356770942978</v>
      </c>
      <c r="T23" s="13">
        <f t="shared" si="11"/>
        <v>7.4165687426556994</v>
      </c>
      <c r="U23" s="7">
        <v>33032</v>
      </c>
      <c r="V23" s="11">
        <f t="shared" si="12"/>
        <v>231.79374903512837</v>
      </c>
      <c r="W23" s="11">
        <f t="shared" si="13"/>
        <v>1.9407755581668626</v>
      </c>
      <c r="X23" s="11">
        <v>288.08714285709999</v>
      </c>
      <c r="Y23" s="11">
        <f t="shared" si="14"/>
        <v>134.83324090945101</v>
      </c>
      <c r="Z23" s="11">
        <f t="shared" si="15"/>
        <v>38.843723135766794</v>
      </c>
      <c r="AA23" s="7">
        <v>0</v>
      </c>
      <c r="AB23" s="15">
        <f>IFERROR(AA23/1950,0)</f>
        <v>0</v>
      </c>
      <c r="AC23" s="11">
        <v>0</v>
      </c>
      <c r="AD23" s="15">
        <f>IFERROR(AC23/63.2,0)</f>
        <v>0</v>
      </c>
      <c r="AE23" s="11">
        <v>21</v>
      </c>
      <c r="AF23" s="11">
        <v>26</v>
      </c>
      <c r="AG23" s="7">
        <f t="shared" si="16"/>
        <v>-600.34000000001322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IFERROR(490/F23,0)</f>
        <v>2.4069162000196483E-2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69</v>
      </c>
      <c r="B24" s="5">
        <v>35</v>
      </c>
      <c r="C24" s="7"/>
      <c r="D24" s="7">
        <v>7</v>
      </c>
      <c r="E24" s="7">
        <v>64976</v>
      </c>
      <c r="F24" s="7">
        <v>63037</v>
      </c>
      <c r="G24" s="7">
        <v>121</v>
      </c>
      <c r="H24" s="9">
        <f t="shared" si="6"/>
        <v>1.919507590780018E-3</v>
      </c>
      <c r="I24" s="9">
        <f>IFERROR((64976-F24)/64976,0)</f>
        <v>2.984178773701059E-2</v>
      </c>
      <c r="J24" s="7">
        <v>426820</v>
      </c>
      <c r="K24" s="11">
        <f t="shared" si="7"/>
        <v>96.727772124761202</v>
      </c>
      <c r="L24" s="11">
        <f>K24-96.2167</f>
        <v>0.51107212476119912</v>
      </c>
      <c r="M24" s="11">
        <v>94.5</v>
      </c>
      <c r="N24" s="11">
        <f t="shared" si="8"/>
        <v>2.2277721247612021</v>
      </c>
      <c r="O24" s="11">
        <f>IFERROR(6530820/64976,0)</f>
        <v>100.51126569810391</v>
      </c>
      <c r="P24" s="11">
        <v>100</v>
      </c>
      <c r="Q24" s="11">
        <f t="shared" si="9"/>
        <v>0.51126569810391231</v>
      </c>
      <c r="R24" s="7">
        <v>51240</v>
      </c>
      <c r="S24" s="11">
        <f t="shared" si="10"/>
        <v>116.12227739264242</v>
      </c>
      <c r="T24" s="13">
        <f t="shared" si="11"/>
        <v>8.3298204527712727</v>
      </c>
      <c r="U24" s="7">
        <v>99740</v>
      </c>
      <c r="V24" s="11">
        <f t="shared" si="12"/>
        <v>226.03504971003423</v>
      </c>
      <c r="W24" s="11">
        <f t="shared" si="13"/>
        <v>1.9465261514441841</v>
      </c>
      <c r="X24" s="11">
        <v>296.7357142857</v>
      </c>
      <c r="Y24" s="11">
        <f t="shared" si="14"/>
        <v>120.0506068131765</v>
      </c>
      <c r="Z24" s="11">
        <f t="shared" si="15"/>
        <v>35.623302563139653</v>
      </c>
      <c r="AA24" s="7">
        <v>0</v>
      </c>
      <c r="AB24" s="15">
        <f>IFERROR(AA24/1560,0)</f>
        <v>0</v>
      </c>
      <c r="AC24" s="11">
        <v>0</v>
      </c>
      <c r="AD24" s="15">
        <f>IFERROR(AC24/59.7,0)</f>
        <v>0</v>
      </c>
      <c r="AE24" s="11">
        <v>21</v>
      </c>
      <c r="AF24" s="11">
        <v>27</v>
      </c>
      <c r="AG24" s="7">
        <f t="shared" si="16"/>
        <v>9830.2450000000335</v>
      </c>
      <c r="AH24" s="7">
        <v>25</v>
      </c>
      <c r="AI24" s="7">
        <v>20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70</v>
      </c>
      <c r="B25" s="5">
        <v>106</v>
      </c>
      <c r="C25" s="7">
        <v>34</v>
      </c>
      <c r="D25" s="7">
        <v>7</v>
      </c>
      <c r="E25" s="7">
        <v>47224</v>
      </c>
      <c r="F25" s="7">
        <v>40150</v>
      </c>
      <c r="G25" s="7">
        <v>178</v>
      </c>
      <c r="H25" s="9">
        <f t="shared" si="6"/>
        <v>4.4333748443337482E-3</v>
      </c>
      <c r="I25" s="9">
        <f>IFERROR((47224-F25)/47224,0)</f>
        <v>0.14979671353549043</v>
      </c>
      <c r="J25" s="7">
        <v>155040</v>
      </c>
      <c r="K25" s="11">
        <f t="shared" si="7"/>
        <v>55.164561465931328</v>
      </c>
      <c r="L25" s="11">
        <f>K25-55.4312</f>
        <v>-0.26663853406866878</v>
      </c>
      <c r="M25" s="11">
        <v>70</v>
      </c>
      <c r="N25" s="11">
        <f t="shared" si="8"/>
        <v>-14.835438534068672</v>
      </c>
      <c r="O25" s="11">
        <f>IFERROR(18743180/47224,0)</f>
        <v>396.8994579027613</v>
      </c>
      <c r="P25" s="11">
        <v>0</v>
      </c>
      <c r="Q25" s="11">
        <f t="shared" si="9"/>
        <v>396.8994579027613</v>
      </c>
      <c r="R25" s="7">
        <v>35000</v>
      </c>
      <c r="S25" s="11">
        <f t="shared" si="10"/>
        <v>124.53300124533001</v>
      </c>
      <c r="T25" s="13">
        <f t="shared" si="11"/>
        <v>4.4297142857142857</v>
      </c>
      <c r="U25" s="7">
        <v>57700</v>
      </c>
      <c r="V25" s="11">
        <f t="shared" si="12"/>
        <v>205.3015477673012</v>
      </c>
      <c r="W25" s="11">
        <f t="shared" si="13"/>
        <v>1.6485714285714286</v>
      </c>
      <c r="X25" s="11">
        <v>294.52142857140001</v>
      </c>
      <c r="Y25" s="11">
        <f t="shared" si="14"/>
        <v>225.7481940144479</v>
      </c>
      <c r="Z25" s="11">
        <f t="shared" si="15"/>
        <v>66.487680598548778</v>
      </c>
      <c r="AA25" s="7">
        <v>0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14</v>
      </c>
      <c r="AF25" s="11">
        <v>26</v>
      </c>
      <c r="AG25" s="7">
        <f t="shared" si="16"/>
        <v>-41694.999999999993</v>
      </c>
      <c r="AH25" s="7">
        <v>54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IFERROR(1400/F25,0)</f>
        <v>3.4869240348692404E-2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71</v>
      </c>
      <c r="B26" s="5">
        <v>26</v>
      </c>
      <c r="C26" s="7"/>
      <c r="D26" s="7">
        <v>7</v>
      </c>
      <c r="E26" s="7">
        <v>24546</v>
      </c>
      <c r="F26" s="7">
        <v>24100</v>
      </c>
      <c r="G26" s="7">
        <v>69</v>
      </c>
      <c r="H26" s="9">
        <f t="shared" si="6"/>
        <v>2.8630705394190872E-3</v>
      </c>
      <c r="I26" s="9">
        <f>IFERROR((24546-F26)/24546,0)</f>
        <v>1.8169966593334964E-2</v>
      </c>
      <c r="J26" s="7">
        <v>154940</v>
      </c>
      <c r="K26" s="11">
        <f t="shared" si="7"/>
        <v>91.843509187907529</v>
      </c>
      <c r="L26" s="11">
        <f>K26-91.1439</f>
        <v>0.69960918790752658</v>
      </c>
      <c r="M26" s="11">
        <v>95</v>
      </c>
      <c r="N26" s="11">
        <f t="shared" si="8"/>
        <v>-3.1564908120924713</v>
      </c>
      <c r="O26" s="11">
        <f>IFERROR(939180/24546,0)</f>
        <v>38.26203862136397</v>
      </c>
      <c r="P26" s="11">
        <v>41</v>
      </c>
      <c r="Q26" s="11">
        <f t="shared" si="9"/>
        <v>-2.7379613786360295</v>
      </c>
      <c r="R26" s="7">
        <v>20220</v>
      </c>
      <c r="S26" s="11">
        <f t="shared" si="10"/>
        <v>119.85773562537047</v>
      </c>
      <c r="T26" s="13">
        <f t="shared" si="11"/>
        <v>7.6627101879327402</v>
      </c>
      <c r="U26" s="7">
        <v>30200</v>
      </c>
      <c r="V26" s="11">
        <f t="shared" si="12"/>
        <v>179.01600474214581</v>
      </c>
      <c r="W26" s="11">
        <f t="shared" si="13"/>
        <v>1.4935707220573691</v>
      </c>
      <c r="X26" s="11">
        <v>295.52714285709999</v>
      </c>
      <c r="Y26" s="11">
        <f t="shared" si="14"/>
        <v>130.50212985671871</v>
      </c>
      <c r="Z26" s="11">
        <f t="shared" si="15"/>
        <v>38.566921573322325</v>
      </c>
      <c r="AA26" s="7">
        <v>0</v>
      </c>
      <c r="AB26" s="15">
        <f>IFERROR(AA26/1510,0)</f>
        <v>0</v>
      </c>
      <c r="AC26" s="11">
        <v>0</v>
      </c>
      <c r="AD26" s="15">
        <f>IFERROR(AC26/54.7,0)</f>
        <v>0</v>
      </c>
      <c r="AE26" s="11">
        <v>15</v>
      </c>
      <c r="AF26" s="11">
        <v>27</v>
      </c>
      <c r="AG26" s="7">
        <f t="shared" si="16"/>
        <v>-5324.9999999999982</v>
      </c>
      <c r="AH26" s="7">
        <v>37</v>
      </c>
      <c r="AI26" s="7">
        <v>20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ht="15" thickBot="1" x14ac:dyDescent="0.35">
      <c r="A27" s="5" t="s">
        <v>72</v>
      </c>
      <c r="B27" s="5">
        <v>26</v>
      </c>
      <c r="C27" s="7"/>
      <c r="D27" s="7">
        <v>7</v>
      </c>
      <c r="E27" s="7">
        <v>12056</v>
      </c>
      <c r="F27" s="7">
        <v>11855</v>
      </c>
      <c r="G27" s="7">
        <v>30</v>
      </c>
      <c r="H27" s="9">
        <f t="shared" si="6"/>
        <v>2.5305778152678194E-3</v>
      </c>
      <c r="I27" s="9">
        <f>IFERROR((12056-F27)/12056,0)</f>
        <v>1.6672196416721963E-2</v>
      </c>
      <c r="J27" s="7">
        <v>77340</v>
      </c>
      <c r="K27" s="11">
        <f t="shared" si="7"/>
        <v>93.197565825149127</v>
      </c>
      <c r="L27" s="11">
        <f>K27-91.7122</f>
        <v>1.4853658251491311</v>
      </c>
      <c r="M27" s="11">
        <v>95</v>
      </c>
      <c r="N27" s="11">
        <f t="shared" si="8"/>
        <v>-1.8024341748508732</v>
      </c>
      <c r="O27" s="11">
        <f>IFERROR(553830/12056,0)</f>
        <v>45.938122096881223</v>
      </c>
      <c r="P27" s="11">
        <v>45</v>
      </c>
      <c r="Q27" s="11">
        <f t="shared" si="9"/>
        <v>0.93812209688122294</v>
      </c>
      <c r="R27" s="7">
        <v>10300</v>
      </c>
      <c r="S27" s="11">
        <f t="shared" si="10"/>
        <v>124.11881665361209</v>
      </c>
      <c r="T27" s="13">
        <f t="shared" si="11"/>
        <v>7.5087378640776699</v>
      </c>
      <c r="U27" s="7">
        <v>14900</v>
      </c>
      <c r="V27" s="11">
        <f t="shared" si="12"/>
        <v>179.55052117852625</v>
      </c>
      <c r="W27" s="11">
        <f t="shared" si="13"/>
        <v>1.4466019417475731</v>
      </c>
      <c r="X27" s="11">
        <v>292.49714285710002</v>
      </c>
      <c r="Y27" s="11">
        <f t="shared" si="14"/>
        <v>133.17817429531937</v>
      </c>
      <c r="Z27" s="11">
        <f t="shared" si="15"/>
        <v>38.954235472305797</v>
      </c>
      <c r="AA27" s="7">
        <v>0</v>
      </c>
      <c r="AB27" s="15">
        <f>IFERROR(AA27/1860,0)</f>
        <v>0</v>
      </c>
      <c r="AC27" s="11">
        <v>0</v>
      </c>
      <c r="AD27" s="15">
        <f>IFERROR(AC27/58.5,0)</f>
        <v>0</v>
      </c>
      <c r="AE27" s="11">
        <v>15</v>
      </c>
      <c r="AF27" s="11">
        <v>27</v>
      </c>
      <c r="AG27" s="7">
        <f t="shared" si="16"/>
        <v>-1495.7499999999973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16" t="s">
        <v>73</v>
      </c>
      <c r="B28" s="16"/>
      <c r="C28" s="17"/>
      <c r="D28" s="17">
        <f>AVERAGE(D13:D27)</f>
        <v>7</v>
      </c>
      <c r="E28" s="17">
        <f>SUM(E13:E27)</f>
        <v>555100</v>
      </c>
      <c r="F28" s="17">
        <f>SUM(F13:F27)</f>
        <v>511215</v>
      </c>
      <c r="G28" s="17">
        <f>SUM(G13:G27)</f>
        <v>2336</v>
      </c>
      <c r="H28" s="18">
        <f t="shared" si="6"/>
        <v>4.5695059808495446E-3</v>
      </c>
      <c r="I28" s="18"/>
      <c r="J28" s="17">
        <f>SUM(J13:J27)</f>
        <v>3023630</v>
      </c>
      <c r="K28" s="19">
        <f t="shared" si="7"/>
        <v>84.494223146257994</v>
      </c>
      <c r="L28" s="19"/>
      <c r="M28" s="19">
        <f>IFERROR(SUMPRODUCT($F13:$F27,M13:M27)/$F28, 0)</f>
        <v>83.60796465283687</v>
      </c>
      <c r="N28" s="19">
        <f t="shared" si="8"/>
        <v>0.88625849342112417</v>
      </c>
      <c r="O28" s="19">
        <f>IFERROR(SUMPRODUCT($E13:$E27,O13:O27)/$E28, 0)</f>
        <v>220.14410556656458</v>
      </c>
      <c r="P28" s="19">
        <f>IFERROR(SUMPRODUCT($E13:$E27,P13:P27)/$E28, 0)</f>
        <v>150.90746352008648</v>
      </c>
      <c r="Q28" s="19">
        <f>IFERROR(SUMPRODUCT($E13:$E27,Q13:Q27)/$E28, 0)</f>
        <v>69.23664204647811</v>
      </c>
      <c r="R28" s="17">
        <f>SUM(R13:R27)</f>
        <v>424339</v>
      </c>
      <c r="S28" s="19">
        <f>IFERROR(R28/D28/$F28*1000,0)</f>
        <v>118.57996565604911</v>
      </c>
      <c r="T28" s="20">
        <f t="shared" si="11"/>
        <v>7.1255057866469969</v>
      </c>
      <c r="U28" s="17">
        <f>SUM(U13:U27)</f>
        <v>722257</v>
      </c>
      <c r="V28" s="19">
        <f>IFERROR(U28/D28/$F28*1000,0)</f>
        <v>201.83204997617722</v>
      </c>
      <c r="W28" s="19">
        <f t="shared" si="13"/>
        <v>1.7020754632499016</v>
      </c>
      <c r="X28" s="19">
        <f>IFERROR(SUMPRODUCT(R13:R27,X13:X27)/R28,0)</f>
        <v>298.53412646492148</v>
      </c>
      <c r="Y28" s="19">
        <f>IFERROR(($F28*S28)/($F28*K28)*100,0)</f>
        <v>140.34091472832327</v>
      </c>
      <c r="Z28" s="19">
        <f t="shared" si="15"/>
        <v>41.89655238570802</v>
      </c>
      <c r="AA28" s="17"/>
      <c r="AB28" s="21">
        <f>IFERROR(SUMPRODUCT($F13:$F27,AB13:AB27)/$F28,0)</f>
        <v>0</v>
      </c>
      <c r="AC28" s="19"/>
      <c r="AD28" s="21">
        <f>AVERAGE(AD13:AD27)</f>
        <v>0</v>
      </c>
      <c r="AE28" s="19"/>
      <c r="AF28" s="19"/>
      <c r="AG28" s="17">
        <f>SUM(AG13:AG27)</f>
        <v>31714.804500000082</v>
      </c>
      <c r="AH28" s="17">
        <f>SUM(AH13:AH27)</f>
        <v>277</v>
      </c>
      <c r="AI28" s="17">
        <f>IFERROR(SUMPRODUCT(AH13:AH27,AI13:AI27)/AH28, 0)</f>
        <v>21.877256317690613</v>
      </c>
      <c r="AJ28" s="19">
        <f>AVERAGE(AJ13:AJ27)</f>
        <v>0</v>
      </c>
      <c r="AK28" s="19">
        <f>AVERAGE(AK13:AK27)</f>
        <v>0</v>
      </c>
      <c r="AL28" s="19">
        <f>AVERAGE(AL13:AL27)</f>
        <v>0</v>
      </c>
      <c r="AM28" s="19">
        <f>AVERAGE(AM13:AM27)</f>
        <v>0</v>
      </c>
      <c r="AN28" s="19">
        <f>AVERAGE(AN13:AN27)</f>
        <v>0</v>
      </c>
      <c r="AO28" s="20"/>
      <c r="AP28" s="19"/>
      <c r="AQ28" s="17"/>
      <c r="AR28" s="17"/>
      <c r="AS28" s="17"/>
      <c r="AT28" s="17"/>
    </row>
    <row r="29" spans="1:46" ht="15" thickBot="1" x14ac:dyDescent="0.35"/>
    <row r="30" spans="1:46" ht="15" thickBot="1" x14ac:dyDescent="0.35">
      <c r="A30" s="23" t="s">
        <v>74</v>
      </c>
      <c r="B30" s="23"/>
      <c r="C30" s="23"/>
      <c r="D30" s="23">
        <f>IFERROR($F$11/$F30*D$11,0)+IFERROR($F$28/$F30*D$28,0)</f>
        <v>7</v>
      </c>
      <c r="E30" s="23">
        <f>E11+E28</f>
        <v>599698</v>
      </c>
      <c r="F30" s="23">
        <f>F11+F28</f>
        <v>548666</v>
      </c>
      <c r="G30" s="23">
        <f>G11+G28</f>
        <v>2491</v>
      </c>
      <c r="H30" s="24">
        <f>IFERROR(G30/F30,0)</f>
        <v>4.5401027218745105E-3</v>
      </c>
      <c r="I30" s="23"/>
      <c r="J30" s="23">
        <f>J11+J28</f>
        <v>3210170</v>
      </c>
      <c r="K30" s="25">
        <f>IFERROR(J30/D30/F30*100,0)</f>
        <v>83.5837675900665</v>
      </c>
      <c r="L30" s="23"/>
      <c r="M30" s="25">
        <f>IFERROR($F$11/$F30*M$11,0)+IFERROR($F$28/$F30*M$28,0)</f>
        <v>83.294118188478961</v>
      </c>
      <c r="N30" s="25">
        <f>K30-M30</f>
        <v>0.28964940158753905</v>
      </c>
      <c r="O30" s="23">
        <f>IFERROR($E$11/$E30*O$11,0)+IFERROR($E$28/$E30*O$28,0)</f>
        <v>225.96386681296252</v>
      </c>
      <c r="P30" s="23">
        <f>IFERROR($E$11/$E30*P$11,0)+IFERROR($E$28/$E30*P$28,0)</f>
        <v>143.58387555069388</v>
      </c>
      <c r="Q30" s="23">
        <f>IFERROR($E$11/$E30*Q$11,0)+IFERROR($E$28/$E30*Q$28,0)</f>
        <v>82.379991262268675</v>
      </c>
      <c r="R30" s="23">
        <f>R11+R28</f>
        <v>457802</v>
      </c>
      <c r="S30" s="25">
        <f>IFERROR(R30/D30/$F30*1000,0)</f>
        <v>119.19872147041318</v>
      </c>
      <c r="T30" s="26">
        <f>IFERROR(J30/R30,0)</f>
        <v>7.0121362510430272</v>
      </c>
      <c r="U30" s="23">
        <f>U11+U28</f>
        <v>731617</v>
      </c>
      <c r="V30" s="25">
        <f>IFERROR(U30/D30/$F30*1000,0)</f>
        <v>190.4924203171224</v>
      </c>
      <c r="W30" s="25">
        <f>IFERROR(V30/S30,0)</f>
        <v>1.5981079156491231</v>
      </c>
      <c r="X30" s="25">
        <f>IFERROR($F$11/$F30*X$11,0)+IFERROR($F$28/$F30*X$28,0)</f>
        <v>301.7438635715348</v>
      </c>
      <c r="Y30" s="25">
        <f>IFERROR(($F30*S30)/($F30*K30)*100,0)</f>
        <v>142.60989293401909</v>
      </c>
      <c r="Z30" s="25">
        <f>IFERROR(Y30*X30/1000,0)</f>
        <v>43.031660077433834</v>
      </c>
      <c r="AA30" s="23"/>
      <c r="AB30" s="27"/>
      <c r="AC30" s="23"/>
      <c r="AD30" s="27"/>
      <c r="AE30" s="23"/>
      <c r="AF30" s="23"/>
      <c r="AG30" s="23">
        <f>AG11+AG28</f>
        <v>11124.454500000076</v>
      </c>
      <c r="AH30" s="23">
        <f>AH11+AH28</f>
        <v>277</v>
      </c>
      <c r="AI30" s="23">
        <f>IFERROR(AH$11/AH30*AI$11,0)+IFERROR(AH$28/AH30*AI$28,0)</f>
        <v>21.877256317690613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2" spans="1:46" x14ac:dyDescent="0.3">
      <c r="A32" s="31" t="s">
        <v>75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x14ac:dyDescent="0.3">
      <c r="A33" s="32"/>
      <c r="B33" s="32" t="s">
        <v>76</v>
      </c>
      <c r="C33" s="32"/>
      <c r="D33" s="32" t="s">
        <v>77</v>
      </c>
      <c r="E33" s="32" t="s">
        <v>78</v>
      </c>
      <c r="F33" s="32" t="s">
        <v>79</v>
      </c>
      <c r="G33" s="32" t="s">
        <v>50</v>
      </c>
      <c r="H33" s="32" t="s">
        <v>51</v>
      </c>
      <c r="I33" s="32" t="s">
        <v>49</v>
      </c>
      <c r="J33" s="32" t="s">
        <v>52</v>
      </c>
      <c r="K33" s="32" t="s">
        <v>53</v>
      </c>
      <c r="L33" s="32" t="s">
        <v>54</v>
      </c>
      <c r="M33" s="32" t="s">
        <v>56</v>
      </c>
      <c r="N33" s="32" t="s">
        <v>65</v>
      </c>
      <c r="O33" s="32" t="s">
        <v>58</v>
      </c>
      <c r="P33" s="32" t="s">
        <v>59</v>
      </c>
      <c r="Q33" s="32" t="s">
        <v>80</v>
      </c>
      <c r="R33" s="32" t="s">
        <v>60</v>
      </c>
      <c r="S33" s="32" t="s">
        <v>69</v>
      </c>
      <c r="T33" s="32" t="s">
        <v>61</v>
      </c>
      <c r="U33" s="32" t="s">
        <v>70</v>
      </c>
      <c r="V33" s="32" t="s">
        <v>71</v>
      </c>
      <c r="W33" s="32" t="s">
        <v>72</v>
      </c>
      <c r="X33" s="32" t="s">
        <v>62</v>
      </c>
      <c r="Y33" s="32" t="s">
        <v>66</v>
      </c>
      <c r="Z33" s="32" t="s">
        <v>67</v>
      </c>
      <c r="AA33" s="32" t="s">
        <v>81</v>
      </c>
      <c r="AB33" s="32" t="s">
        <v>63</v>
      </c>
      <c r="AC33" s="32" t="s">
        <v>68</v>
      </c>
      <c r="AD33" s="32" t="s">
        <v>64</v>
      </c>
    </row>
    <row r="34" spans="1:30" x14ac:dyDescent="0.3">
      <c r="B34" s="4">
        <v>202501</v>
      </c>
      <c r="C34" s="4"/>
      <c r="D34" s="8">
        <v>2.8E-3</v>
      </c>
      <c r="E34" s="8">
        <v>5.1000000000000004E-3</v>
      </c>
      <c r="F34" s="8">
        <v>2.5999999999999999E-3</v>
      </c>
      <c r="G34" s="8">
        <v>7.7999999999999996E-3</v>
      </c>
      <c r="H34" s="8">
        <v>4.4999999999999997E-3</v>
      </c>
      <c r="I34" s="8">
        <v>3.5000000000000001E-3</v>
      </c>
      <c r="J34" s="8">
        <v>3.2000000000000002E-3</v>
      </c>
      <c r="K34" s="8">
        <v>4.7999999999999996E-3</v>
      </c>
      <c r="L34" s="8">
        <v>1.9E-3</v>
      </c>
      <c r="M34" s="8">
        <v>2.3999999999999998E-3</v>
      </c>
      <c r="N34" s="8">
        <v>2E-3</v>
      </c>
      <c r="O34" s="8">
        <v>5.7999999999999996E-3</v>
      </c>
      <c r="P34" s="8">
        <v>2.3999999999999998E-3</v>
      </c>
      <c r="Q34" s="8">
        <v>3.3999999999999998E-3</v>
      </c>
      <c r="R34" s="8">
        <v>1.6999999999999999E-3</v>
      </c>
      <c r="S34" s="8"/>
      <c r="T34" s="8">
        <v>2.5000000000000001E-3</v>
      </c>
      <c r="U34" s="8">
        <v>5.3E-3</v>
      </c>
      <c r="V34" s="8">
        <v>6.3E-3</v>
      </c>
      <c r="W34" s="8">
        <v>2.7000000000000001E-3</v>
      </c>
      <c r="X34" s="8">
        <v>1.5E-3</v>
      </c>
      <c r="Y34" s="8">
        <v>1.4E-3</v>
      </c>
      <c r="Z34" s="8">
        <v>2.8E-3</v>
      </c>
      <c r="AA34" s="8">
        <v>1.6999999999999999E-3</v>
      </c>
      <c r="AB34" s="8"/>
      <c r="AC34" s="8"/>
      <c r="AD34" s="8">
        <v>6.9999999999999999E-4</v>
      </c>
    </row>
    <row r="35" spans="1:30" x14ac:dyDescent="0.3">
      <c r="B35" s="5">
        <v>202502</v>
      </c>
      <c r="C35" s="5"/>
      <c r="D35" s="9">
        <v>2.8999999999999998E-3</v>
      </c>
      <c r="E35" s="9">
        <v>4.4000000000000003E-3</v>
      </c>
      <c r="F35" s="9">
        <v>2.7000000000000001E-3</v>
      </c>
      <c r="G35" s="9">
        <v>6.3E-3</v>
      </c>
      <c r="H35" s="9">
        <v>4.4999999999999997E-3</v>
      </c>
      <c r="I35" s="9">
        <v>4.4000000000000003E-3</v>
      </c>
      <c r="J35" s="9">
        <v>3.2000000000000002E-3</v>
      </c>
      <c r="K35" s="9">
        <v>2.7000000000000001E-3</v>
      </c>
      <c r="L35" s="9">
        <v>2.0999999999999999E-3</v>
      </c>
      <c r="M35" s="9">
        <v>3.3999999999999998E-3</v>
      </c>
      <c r="N35" s="9">
        <v>1.9E-3</v>
      </c>
      <c r="O35" s="9">
        <v>1.32E-2</v>
      </c>
      <c r="P35" s="9">
        <v>2.3999999999999998E-3</v>
      </c>
      <c r="Q35" s="9">
        <v>4.1999999999999997E-3</v>
      </c>
      <c r="R35" s="9">
        <v>1.6999999999999999E-3</v>
      </c>
      <c r="S35" s="9"/>
      <c r="T35" s="9">
        <v>2.5000000000000001E-3</v>
      </c>
      <c r="U35" s="9">
        <v>5.7999999999999996E-3</v>
      </c>
      <c r="V35" s="9">
        <v>3.5999999999999999E-3</v>
      </c>
      <c r="W35" s="9">
        <v>2.3E-3</v>
      </c>
      <c r="X35" s="9">
        <v>1.5E-3</v>
      </c>
      <c r="Y35" s="9">
        <v>1E-3</v>
      </c>
      <c r="Z35" s="9">
        <v>3.0000000000000001E-3</v>
      </c>
      <c r="AA35" s="9">
        <v>1.8E-3</v>
      </c>
      <c r="AB35" s="9"/>
      <c r="AC35" s="9"/>
      <c r="AD35" s="9">
        <v>1E-3</v>
      </c>
    </row>
    <row r="36" spans="1:30" x14ac:dyDescent="0.3">
      <c r="B36" s="5">
        <v>202503</v>
      </c>
      <c r="C36" s="5"/>
      <c r="D36" s="9">
        <v>2.8E-3</v>
      </c>
      <c r="E36" s="9">
        <v>4.8999999999999998E-3</v>
      </c>
      <c r="F36" s="9">
        <v>2.5999999999999999E-3</v>
      </c>
      <c r="G36" s="9">
        <v>5.8999999999999999E-3</v>
      </c>
      <c r="H36" s="9">
        <v>5.8999999999999999E-3</v>
      </c>
      <c r="I36" s="9">
        <v>3.5999999999999999E-3</v>
      </c>
      <c r="J36" s="9">
        <v>3.3999999999999998E-3</v>
      </c>
      <c r="K36" s="9">
        <v>3.2000000000000002E-3</v>
      </c>
      <c r="L36" s="9">
        <v>3.0000000000000001E-3</v>
      </c>
      <c r="M36" s="9">
        <v>2.2000000000000001E-3</v>
      </c>
      <c r="N36" s="9">
        <v>1.6000000000000001E-3</v>
      </c>
      <c r="O36" s="9">
        <v>9.7999999999999997E-3</v>
      </c>
      <c r="P36" s="9">
        <v>2.5000000000000001E-3</v>
      </c>
      <c r="Q36" s="9">
        <v>3.3E-3</v>
      </c>
      <c r="R36" s="9">
        <v>1.8E-3</v>
      </c>
      <c r="S36" s="9"/>
      <c r="T36" s="9">
        <v>2.5000000000000001E-3</v>
      </c>
      <c r="U36" s="9">
        <v>5.4999999999999997E-3</v>
      </c>
      <c r="V36" s="9">
        <v>3.5000000000000001E-3</v>
      </c>
      <c r="W36" s="9">
        <v>2.5000000000000001E-3</v>
      </c>
      <c r="X36" s="9">
        <v>1.6999999999999999E-3</v>
      </c>
      <c r="Y36" s="9">
        <v>6.9999999999999999E-4</v>
      </c>
      <c r="Z36" s="9">
        <v>2.8E-3</v>
      </c>
      <c r="AA36" s="9">
        <v>1.4E-3</v>
      </c>
      <c r="AB36" s="9"/>
      <c r="AC36" s="9"/>
      <c r="AD36" s="9">
        <v>1.6000000000000001E-3</v>
      </c>
    </row>
    <row r="37" spans="1:30" x14ac:dyDescent="0.3">
      <c r="B37" s="5">
        <v>202504</v>
      </c>
      <c r="C37" s="5"/>
      <c r="D37" s="9">
        <v>2.5999999999999999E-3</v>
      </c>
      <c r="E37" s="9">
        <v>5.1000000000000004E-3</v>
      </c>
      <c r="F37" s="9">
        <v>2.3999999999999998E-3</v>
      </c>
      <c r="G37" s="9">
        <v>5.8999999999999999E-3</v>
      </c>
      <c r="H37" s="9">
        <v>5.7999999999999996E-3</v>
      </c>
      <c r="I37" s="9">
        <v>6.3E-3</v>
      </c>
      <c r="J37" s="9">
        <v>5.0000000000000001E-3</v>
      </c>
      <c r="K37" s="9">
        <v>4.1000000000000003E-3</v>
      </c>
      <c r="L37" s="9">
        <v>1.9E-3</v>
      </c>
      <c r="M37" s="9">
        <v>2.3999999999999998E-3</v>
      </c>
      <c r="N37" s="9">
        <v>2.2000000000000001E-3</v>
      </c>
      <c r="O37" s="9">
        <v>7.3000000000000001E-3</v>
      </c>
      <c r="P37" s="9">
        <v>2.5000000000000001E-3</v>
      </c>
      <c r="Q37" s="9">
        <v>4.1000000000000003E-3</v>
      </c>
      <c r="R37" s="9">
        <v>1.6999999999999999E-3</v>
      </c>
      <c r="S37" s="9"/>
      <c r="T37" s="9">
        <v>2.5999999999999999E-3</v>
      </c>
      <c r="U37" s="9">
        <v>3.2000000000000002E-3</v>
      </c>
      <c r="V37" s="9">
        <v>3.7000000000000002E-3</v>
      </c>
      <c r="W37" s="9">
        <v>2.5000000000000001E-3</v>
      </c>
      <c r="X37" s="9">
        <v>1.6000000000000001E-3</v>
      </c>
      <c r="Y37" s="9">
        <v>8.9999999999999998E-4</v>
      </c>
      <c r="Z37" s="9">
        <v>3.5000000000000001E-3</v>
      </c>
      <c r="AA37" s="9">
        <v>1.6000000000000001E-3</v>
      </c>
      <c r="AB37" s="9"/>
      <c r="AC37" s="9"/>
      <c r="AD37" s="9">
        <v>8.9999999999999998E-4</v>
      </c>
    </row>
    <row r="38" spans="1:30" x14ac:dyDescent="0.3">
      <c r="B38" s="5">
        <v>202505</v>
      </c>
      <c r="C38" s="5"/>
      <c r="D38" s="9">
        <v>2.5999999999999999E-3</v>
      </c>
      <c r="E38" s="9">
        <v>4.1000000000000003E-3</v>
      </c>
      <c r="F38" s="9">
        <v>2.5000000000000001E-3</v>
      </c>
      <c r="G38" s="9">
        <v>5.3E-3</v>
      </c>
      <c r="H38" s="9">
        <v>4.7000000000000002E-3</v>
      </c>
      <c r="I38" s="9">
        <v>2.7000000000000001E-3</v>
      </c>
      <c r="J38" s="9">
        <v>1.6000000000000001E-3</v>
      </c>
      <c r="K38" s="9">
        <v>3.0000000000000001E-3</v>
      </c>
      <c r="L38" s="9">
        <v>2.8E-3</v>
      </c>
      <c r="M38" s="9">
        <v>2.5000000000000001E-3</v>
      </c>
      <c r="N38" s="9">
        <v>2.7000000000000001E-3</v>
      </c>
      <c r="O38" s="9">
        <v>4.5999999999999999E-3</v>
      </c>
      <c r="P38" s="9">
        <v>4.1000000000000003E-3</v>
      </c>
      <c r="Q38" s="9">
        <v>4.1000000000000003E-3</v>
      </c>
      <c r="R38" s="9">
        <v>1.6999999999999999E-3</v>
      </c>
      <c r="S38" s="9"/>
      <c r="T38" s="9">
        <v>2.3E-3</v>
      </c>
      <c r="U38" s="9">
        <v>2.2000000000000001E-3</v>
      </c>
      <c r="V38" s="9">
        <v>4.4000000000000003E-3</v>
      </c>
      <c r="W38" s="9">
        <v>2.3E-3</v>
      </c>
      <c r="X38" s="9">
        <v>1.6000000000000001E-3</v>
      </c>
      <c r="Y38" s="9">
        <v>8.9999999999999998E-4</v>
      </c>
      <c r="Z38" s="9">
        <v>3.0999999999999999E-3</v>
      </c>
      <c r="AA38" s="9">
        <v>1.5E-3</v>
      </c>
      <c r="AB38" s="9"/>
      <c r="AC38" s="9"/>
      <c r="AD38" s="9">
        <v>8.9999999999999998E-4</v>
      </c>
    </row>
    <row r="39" spans="1:30" x14ac:dyDescent="0.3">
      <c r="B39" s="5">
        <v>202506</v>
      </c>
      <c r="C39" s="5"/>
      <c r="D39" s="9">
        <v>1.9E-3</v>
      </c>
      <c r="E39" s="9">
        <v>4.4999999999999997E-3</v>
      </c>
      <c r="F39" s="9">
        <v>1.6999999999999999E-3</v>
      </c>
      <c r="G39" s="9">
        <v>5.8999999999999999E-3</v>
      </c>
      <c r="H39" s="9">
        <v>5.4000000000000003E-3</v>
      </c>
      <c r="I39" s="9">
        <v>4.4999999999999997E-3</v>
      </c>
      <c r="J39" s="9">
        <v>2.5000000000000001E-3</v>
      </c>
      <c r="K39" s="9">
        <v>3.0000000000000001E-3</v>
      </c>
      <c r="L39" s="9">
        <v>1.2999999999999999E-3</v>
      </c>
      <c r="M39" s="9">
        <v>3.7000000000000002E-3</v>
      </c>
      <c r="N39" s="9">
        <v>2.5000000000000001E-3</v>
      </c>
      <c r="O39" s="9">
        <v>4.0000000000000001E-3</v>
      </c>
      <c r="P39" s="9">
        <v>2.7000000000000001E-3</v>
      </c>
      <c r="Q39" s="9">
        <v>3.8E-3</v>
      </c>
      <c r="R39" s="9">
        <v>1.5E-3</v>
      </c>
      <c r="S39" s="9"/>
      <c r="T39" s="9">
        <v>1.6999999999999999E-3</v>
      </c>
      <c r="U39" s="9">
        <v>3.0000000000000001E-3</v>
      </c>
      <c r="V39" s="9">
        <v>3.5999999999999999E-3</v>
      </c>
      <c r="W39" s="9">
        <v>1.8E-3</v>
      </c>
      <c r="X39" s="9">
        <v>8.9999999999999998E-4</v>
      </c>
      <c r="Y39" s="9">
        <v>5.9999999999999995E-4</v>
      </c>
      <c r="Z39" s="9">
        <v>1.6999999999999999E-3</v>
      </c>
      <c r="AA39" s="9">
        <v>1E-3</v>
      </c>
      <c r="AB39" s="9">
        <v>0</v>
      </c>
      <c r="AC39" s="9">
        <v>0</v>
      </c>
      <c r="AD39" s="9">
        <v>5.0000000000000001E-4</v>
      </c>
    </row>
    <row r="40" spans="1:30" x14ac:dyDescent="0.3">
      <c r="B40" s="5">
        <v>202507</v>
      </c>
      <c r="C40" s="5"/>
      <c r="D40" s="9">
        <v>2.3999999999999998E-3</v>
      </c>
      <c r="E40" s="9">
        <v>4.5999999999999999E-3</v>
      </c>
      <c r="F40" s="9">
        <v>2.2000000000000001E-3</v>
      </c>
      <c r="G40" s="9">
        <v>5.7999999999999996E-3</v>
      </c>
      <c r="H40" s="9">
        <v>4.3E-3</v>
      </c>
      <c r="I40" s="9">
        <v>4.4999999999999997E-3</v>
      </c>
      <c r="J40" s="9">
        <v>2.5000000000000001E-3</v>
      </c>
      <c r="K40" s="9">
        <v>5.1000000000000004E-3</v>
      </c>
      <c r="L40" s="9">
        <v>3.8E-3</v>
      </c>
      <c r="M40" s="9">
        <v>8.0999999999999996E-3</v>
      </c>
      <c r="N40" s="9">
        <v>2.8E-3</v>
      </c>
      <c r="O40" s="9">
        <v>4.4999999999999997E-3</v>
      </c>
      <c r="P40" s="9">
        <v>2E-3</v>
      </c>
      <c r="Q40" s="9">
        <v>4.8999999999999998E-3</v>
      </c>
      <c r="R40" s="9">
        <v>1.4E-3</v>
      </c>
      <c r="S40" s="9"/>
      <c r="T40" s="9">
        <v>1.9E-3</v>
      </c>
      <c r="U40" s="9">
        <v>4.3E-3</v>
      </c>
      <c r="V40" s="9">
        <v>4.1999999999999997E-3</v>
      </c>
      <c r="W40" s="9">
        <v>4.4000000000000003E-3</v>
      </c>
      <c r="X40" s="9">
        <v>1.1000000000000001E-3</v>
      </c>
      <c r="Y40" s="9">
        <v>5.0000000000000001E-4</v>
      </c>
      <c r="Z40" s="9">
        <v>2.0999999999999999E-3</v>
      </c>
      <c r="AA40" s="9">
        <v>1.1999999999999999E-3</v>
      </c>
      <c r="AB40" s="9">
        <v>8.9999999999999998E-4</v>
      </c>
      <c r="AC40" s="9">
        <v>8.0000000000000004E-4</v>
      </c>
      <c r="AD40" s="9">
        <v>6.9999999999999999E-4</v>
      </c>
    </row>
    <row r="41" spans="1:30" x14ac:dyDescent="0.3">
      <c r="B41" s="5">
        <v>202508</v>
      </c>
      <c r="C41" s="5"/>
      <c r="D41" s="9">
        <v>2E-3</v>
      </c>
      <c r="E41" s="9">
        <v>4.4000000000000003E-3</v>
      </c>
      <c r="F41" s="9">
        <v>1.8E-3</v>
      </c>
      <c r="G41" s="9">
        <v>6.6E-3</v>
      </c>
      <c r="H41" s="9">
        <v>3.8E-3</v>
      </c>
      <c r="I41" s="9">
        <v>2.7000000000000001E-3</v>
      </c>
      <c r="J41" s="9">
        <v>3.2000000000000002E-3</v>
      </c>
      <c r="K41" s="9">
        <v>4.1999999999999997E-3</v>
      </c>
      <c r="L41" s="9">
        <v>2.0999999999999999E-3</v>
      </c>
      <c r="M41" s="9">
        <v>2.5999999999999999E-3</v>
      </c>
      <c r="N41" s="9">
        <v>2.8999999999999998E-3</v>
      </c>
      <c r="O41" s="9">
        <v>5.1999999999999998E-3</v>
      </c>
      <c r="P41" s="9">
        <v>1.9E-3</v>
      </c>
      <c r="Q41" s="9">
        <v>2.3999999999999998E-3</v>
      </c>
      <c r="R41" s="9">
        <v>1.2999999999999999E-3</v>
      </c>
      <c r="S41" s="9"/>
      <c r="T41" s="9">
        <v>1.9E-3</v>
      </c>
      <c r="U41" s="9">
        <v>3.0999999999999999E-3</v>
      </c>
      <c r="V41" s="9">
        <v>3.2000000000000002E-3</v>
      </c>
      <c r="W41" s="9">
        <v>2.3E-3</v>
      </c>
      <c r="X41" s="9">
        <v>1.1000000000000001E-3</v>
      </c>
      <c r="Y41" s="9">
        <v>5.0000000000000001E-4</v>
      </c>
      <c r="Z41" s="9">
        <v>2.8E-3</v>
      </c>
      <c r="AA41" s="9">
        <v>1.2999999999999999E-3</v>
      </c>
      <c r="AB41" s="9">
        <v>1.1999999999999999E-3</v>
      </c>
      <c r="AC41" s="9">
        <v>6.9999999999999999E-4</v>
      </c>
      <c r="AD41" s="9">
        <v>5.9999999999999995E-4</v>
      </c>
    </row>
    <row r="42" spans="1:30" x14ac:dyDescent="0.3">
      <c r="B42" s="5">
        <v>202509</v>
      </c>
      <c r="C42" s="5"/>
      <c r="D42" s="9">
        <v>3.0000000000000001E-3</v>
      </c>
      <c r="E42" s="9">
        <v>8.8000000000000005E-3</v>
      </c>
      <c r="F42" s="9">
        <v>2.5000000000000001E-3</v>
      </c>
      <c r="G42" s="9">
        <v>1.7299999999999999E-2</v>
      </c>
      <c r="H42" s="9">
        <v>5.7000000000000002E-3</v>
      </c>
      <c r="I42" s="9">
        <v>9.1999999999999998E-3</v>
      </c>
      <c r="J42" s="9">
        <v>5.1000000000000004E-3</v>
      </c>
      <c r="K42" s="9">
        <v>4.4000000000000003E-3</v>
      </c>
      <c r="L42" s="9">
        <v>3.8999999999999998E-3</v>
      </c>
      <c r="M42" s="9">
        <v>2.0999999999999999E-3</v>
      </c>
      <c r="N42" s="9">
        <v>5.1999999999999998E-3</v>
      </c>
      <c r="O42" s="9">
        <v>5.0000000000000001E-3</v>
      </c>
      <c r="P42" s="9">
        <v>2.7000000000000001E-3</v>
      </c>
      <c r="Q42" s="9">
        <v>4.8999999999999998E-3</v>
      </c>
      <c r="R42" s="9">
        <v>2E-3</v>
      </c>
      <c r="S42" s="9"/>
      <c r="T42" s="9">
        <v>2.5000000000000001E-3</v>
      </c>
      <c r="U42" s="9">
        <v>3.0999999999999999E-3</v>
      </c>
      <c r="V42" s="9">
        <v>4.5999999999999999E-3</v>
      </c>
      <c r="W42" s="9">
        <v>2.8E-3</v>
      </c>
      <c r="X42" s="9">
        <v>1.6999999999999999E-3</v>
      </c>
      <c r="Y42" s="9">
        <v>1E-3</v>
      </c>
      <c r="Z42" s="9">
        <v>3.5999999999999999E-3</v>
      </c>
      <c r="AA42" s="9">
        <v>1.6000000000000001E-3</v>
      </c>
      <c r="AB42" s="9">
        <v>2.3E-3</v>
      </c>
      <c r="AC42" s="9">
        <v>1.1999999999999999E-3</v>
      </c>
      <c r="AD42" s="9">
        <v>1.1999999999999999E-3</v>
      </c>
    </row>
    <row r="43" spans="1:30" x14ac:dyDescent="0.3">
      <c r="B43" s="5">
        <v>202510</v>
      </c>
      <c r="C43" s="5"/>
      <c r="D43" s="9">
        <v>2.8E-3</v>
      </c>
      <c r="E43" s="9">
        <v>8.0000000000000002E-3</v>
      </c>
      <c r="F43" s="9">
        <v>2.3999999999999998E-3</v>
      </c>
      <c r="G43" s="9">
        <v>1.47E-2</v>
      </c>
      <c r="H43" s="9">
        <v>7.1000000000000004E-3</v>
      </c>
      <c r="I43" s="9">
        <v>1.12E-2</v>
      </c>
      <c r="J43" s="9">
        <v>2.8E-3</v>
      </c>
      <c r="K43" s="9">
        <v>2.0999999999999999E-3</v>
      </c>
      <c r="L43" s="9">
        <v>3.0000000000000001E-3</v>
      </c>
      <c r="M43" s="9">
        <v>2.5000000000000001E-3</v>
      </c>
      <c r="N43" s="9">
        <v>3.3999999999999998E-3</v>
      </c>
      <c r="O43" s="9">
        <v>5.5999999999999999E-3</v>
      </c>
      <c r="P43" s="9">
        <v>2.8999999999999998E-3</v>
      </c>
      <c r="Q43" s="9">
        <v>4.1999999999999997E-3</v>
      </c>
      <c r="R43" s="9">
        <v>2.3E-3</v>
      </c>
      <c r="S43" s="9"/>
      <c r="T43" s="9">
        <v>2.5000000000000001E-3</v>
      </c>
      <c r="U43" s="9">
        <v>2.5999999999999999E-3</v>
      </c>
      <c r="V43" s="9">
        <v>3.3999999999999998E-3</v>
      </c>
      <c r="W43" s="9">
        <v>2.5000000000000001E-3</v>
      </c>
      <c r="X43" s="9">
        <v>2E-3</v>
      </c>
      <c r="Y43" s="9">
        <v>1E-3</v>
      </c>
      <c r="Z43" s="9">
        <v>3.5000000000000001E-3</v>
      </c>
      <c r="AA43" s="9">
        <v>1.6999999999999999E-3</v>
      </c>
      <c r="AB43" s="9">
        <v>1.6999999999999999E-3</v>
      </c>
      <c r="AC43" s="9">
        <v>1.6000000000000001E-3</v>
      </c>
      <c r="AD43" s="9">
        <v>1.2999999999999999E-3</v>
      </c>
    </row>
    <row r="44" spans="1:30" x14ac:dyDescent="0.3">
      <c r="B44" s="5">
        <v>202511</v>
      </c>
      <c r="C44" s="5"/>
      <c r="D44" s="9">
        <v>2.3E-3</v>
      </c>
      <c r="E44" s="9">
        <v>3.5999999999999999E-3</v>
      </c>
      <c r="F44" s="9">
        <v>2.2000000000000001E-3</v>
      </c>
      <c r="G44" s="9">
        <v>5.0000000000000001E-3</v>
      </c>
      <c r="H44" s="9">
        <v>4.1000000000000003E-3</v>
      </c>
      <c r="I44" s="9">
        <v>6.6E-3</v>
      </c>
      <c r="J44" s="9">
        <v>1.9E-3</v>
      </c>
      <c r="K44" s="9">
        <v>2.0999999999999999E-3</v>
      </c>
      <c r="L44" s="9">
        <v>1.2999999999999999E-3</v>
      </c>
      <c r="M44" s="9">
        <v>2E-3</v>
      </c>
      <c r="N44" s="9">
        <v>2.5999999999999999E-3</v>
      </c>
      <c r="O44" s="9">
        <v>3.5000000000000001E-3</v>
      </c>
      <c r="P44" s="9">
        <v>2.5000000000000001E-3</v>
      </c>
      <c r="Q44" s="9">
        <v>3.5000000000000001E-3</v>
      </c>
      <c r="R44" s="9">
        <v>2.3E-3</v>
      </c>
      <c r="S44" s="9"/>
      <c r="T44" s="9">
        <v>3.0000000000000001E-3</v>
      </c>
      <c r="U44" s="9">
        <v>2.3E-3</v>
      </c>
      <c r="V44" s="9">
        <v>3.0999999999999999E-3</v>
      </c>
      <c r="W44" s="9">
        <v>2.8E-3</v>
      </c>
      <c r="X44" s="9">
        <v>1.9E-3</v>
      </c>
      <c r="Y44" s="9">
        <v>8.9999999999999998E-4</v>
      </c>
      <c r="Z44" s="9">
        <v>3.5000000000000001E-3</v>
      </c>
      <c r="AA44" s="9">
        <v>1.5E-3</v>
      </c>
      <c r="AB44" s="9">
        <v>1.1000000000000001E-3</v>
      </c>
      <c r="AC44" s="9">
        <v>1.1999999999999999E-3</v>
      </c>
      <c r="AD44" s="9">
        <v>1.4E-3</v>
      </c>
    </row>
    <row r="45" spans="1:30" x14ac:dyDescent="0.3">
      <c r="B45" s="5">
        <v>202512</v>
      </c>
      <c r="C45" s="5"/>
      <c r="D45" s="9">
        <v>2.5000000000000001E-3</v>
      </c>
      <c r="E45" s="9">
        <v>3.0999999999999999E-3</v>
      </c>
      <c r="F45" s="9">
        <v>2.3999999999999998E-3</v>
      </c>
      <c r="G45" s="9">
        <v>3.3999999999999998E-3</v>
      </c>
      <c r="H45" s="9">
        <v>3.2000000000000002E-3</v>
      </c>
      <c r="I45" s="9">
        <v>4.7000000000000002E-3</v>
      </c>
      <c r="J45" s="9">
        <v>8.9999999999999998E-4</v>
      </c>
      <c r="K45" s="9">
        <v>4.1999999999999997E-3</v>
      </c>
      <c r="L45" s="9">
        <v>2.5999999999999999E-3</v>
      </c>
      <c r="M45" s="9">
        <v>1.9E-3</v>
      </c>
      <c r="N45" s="9">
        <v>3.2000000000000002E-3</v>
      </c>
      <c r="O45" s="9">
        <v>4.4000000000000003E-3</v>
      </c>
      <c r="P45" s="9">
        <v>3.7000000000000002E-3</v>
      </c>
      <c r="Q45" s="9">
        <v>3.2000000000000002E-3</v>
      </c>
      <c r="R45" s="9">
        <v>2.5999999999999999E-3</v>
      </c>
      <c r="S45" s="9"/>
      <c r="T45" s="9">
        <v>3.3999999999999998E-3</v>
      </c>
      <c r="U45" s="9">
        <v>2.5000000000000001E-3</v>
      </c>
      <c r="V45" s="9">
        <v>3.0999999999999999E-3</v>
      </c>
      <c r="W45" s="9">
        <v>3.2000000000000002E-3</v>
      </c>
      <c r="X45" s="9">
        <v>1.5E-3</v>
      </c>
      <c r="Y45" s="9">
        <v>8.0000000000000004E-4</v>
      </c>
      <c r="Z45" s="9">
        <v>3.8999999999999998E-3</v>
      </c>
      <c r="AA45" s="9">
        <v>3.5999999999999999E-3</v>
      </c>
      <c r="AB45" s="9">
        <v>1.1000000000000001E-3</v>
      </c>
      <c r="AC45" s="9">
        <v>1E-3</v>
      </c>
      <c r="AD45" s="9">
        <v>8.9999999999999998E-4</v>
      </c>
    </row>
    <row r="46" spans="1:30" x14ac:dyDescent="0.3">
      <c r="B46" s="5">
        <v>202513</v>
      </c>
      <c r="C46" s="5"/>
      <c r="D46" s="9">
        <v>2.5000000000000001E-3</v>
      </c>
      <c r="E46" s="9">
        <v>3.0000000000000001E-3</v>
      </c>
      <c r="F46" s="9">
        <v>2.5000000000000001E-3</v>
      </c>
      <c r="G46" s="9">
        <v>3.0000000000000001E-3</v>
      </c>
      <c r="H46" s="9">
        <v>2.8999999999999998E-3</v>
      </c>
      <c r="I46" s="9">
        <v>4.7000000000000002E-3</v>
      </c>
      <c r="J46" s="9">
        <v>2.5999999999999999E-3</v>
      </c>
      <c r="K46" s="9">
        <v>4.4999999999999997E-3</v>
      </c>
      <c r="L46" s="9">
        <v>1.6999999999999999E-3</v>
      </c>
      <c r="M46" s="9">
        <v>2E-3</v>
      </c>
      <c r="N46" s="9">
        <v>3.5999999999999999E-3</v>
      </c>
      <c r="O46" s="9">
        <v>5.3E-3</v>
      </c>
      <c r="P46" s="9">
        <v>2.5000000000000001E-3</v>
      </c>
      <c r="Q46" s="9">
        <v>3.8E-3</v>
      </c>
      <c r="R46" s="9">
        <v>3.0000000000000001E-3</v>
      </c>
      <c r="S46" s="9"/>
      <c r="T46" s="9">
        <v>3.5999999999999999E-3</v>
      </c>
      <c r="U46" s="9">
        <v>2.5000000000000001E-3</v>
      </c>
      <c r="V46" s="9">
        <v>3.5000000000000001E-3</v>
      </c>
      <c r="W46" s="9">
        <v>3.0999999999999999E-3</v>
      </c>
      <c r="X46" s="9">
        <v>2E-3</v>
      </c>
      <c r="Y46" s="9">
        <v>1.1000000000000001E-3</v>
      </c>
      <c r="Z46" s="9">
        <v>3.7000000000000002E-3</v>
      </c>
      <c r="AA46" s="9">
        <v>1.8E-3</v>
      </c>
      <c r="AB46" s="9">
        <v>1.6999999999999999E-3</v>
      </c>
      <c r="AC46" s="9">
        <v>8.9999999999999998E-4</v>
      </c>
      <c r="AD46" s="9">
        <v>1E-3</v>
      </c>
    </row>
    <row r="47" spans="1:30" x14ac:dyDescent="0.3">
      <c r="B47" s="5">
        <v>202514</v>
      </c>
      <c r="C47" s="5"/>
      <c r="D47" s="9">
        <v>2.5999999999999999E-3</v>
      </c>
      <c r="E47" s="9">
        <v>4.1999999999999997E-3</v>
      </c>
      <c r="F47" s="9">
        <v>2.5000000000000001E-3</v>
      </c>
      <c r="G47" s="9">
        <v>4.8999999999999998E-3</v>
      </c>
      <c r="H47" s="9">
        <v>3.2000000000000002E-3</v>
      </c>
      <c r="I47" s="9">
        <v>2.8E-3</v>
      </c>
      <c r="J47" s="9">
        <v>6.1000000000000004E-3</v>
      </c>
      <c r="K47" s="9">
        <v>7.1000000000000004E-3</v>
      </c>
      <c r="L47" s="9">
        <v>8.9999999999999998E-4</v>
      </c>
      <c r="M47" s="9">
        <v>2.0999999999999999E-3</v>
      </c>
      <c r="N47" s="9">
        <v>3.7000000000000002E-3</v>
      </c>
      <c r="O47" s="9">
        <v>3.8999999999999998E-3</v>
      </c>
      <c r="P47" s="9">
        <v>2.5000000000000001E-3</v>
      </c>
      <c r="Q47" s="9">
        <v>-1</v>
      </c>
      <c r="R47" s="9">
        <v>2.8E-3</v>
      </c>
      <c r="S47" s="9"/>
      <c r="T47" s="9">
        <v>3.5999999999999999E-3</v>
      </c>
      <c r="U47" s="9">
        <v>2.0999999999999999E-3</v>
      </c>
      <c r="V47" s="9">
        <v>3.2000000000000002E-3</v>
      </c>
      <c r="W47" s="9">
        <v>3.2000000000000002E-3</v>
      </c>
      <c r="X47" s="9">
        <v>2.3999999999999998E-3</v>
      </c>
      <c r="Y47" s="9">
        <v>1.1999999999999999E-3</v>
      </c>
      <c r="Z47" s="9">
        <v>4.7999999999999996E-3</v>
      </c>
      <c r="AA47" s="9">
        <v>1.6999999999999999E-3</v>
      </c>
      <c r="AB47" s="9">
        <v>1.6999999999999999E-3</v>
      </c>
      <c r="AC47" s="9">
        <v>1.1000000000000001E-3</v>
      </c>
      <c r="AD47" s="9">
        <v>1.1000000000000001E-3</v>
      </c>
    </row>
    <row r="48" spans="1:30" x14ac:dyDescent="0.3">
      <c r="B48" s="5">
        <v>202515</v>
      </c>
      <c r="C48" s="5"/>
      <c r="D48" s="9">
        <v>2.5000000000000001E-3</v>
      </c>
      <c r="E48" s="9">
        <v>3.3E-3</v>
      </c>
      <c r="F48" s="9">
        <v>2.3999999999999998E-3</v>
      </c>
      <c r="G48" s="9">
        <v>5.1000000000000004E-3</v>
      </c>
      <c r="H48" s="9">
        <v>2.8E-3</v>
      </c>
      <c r="I48" s="9">
        <v>1.9E-3</v>
      </c>
      <c r="J48" s="9">
        <v>2.3999999999999998E-3</v>
      </c>
      <c r="K48" s="9">
        <v>3.0999999999999999E-3</v>
      </c>
      <c r="L48" s="9">
        <v>1.5E-3</v>
      </c>
      <c r="M48" s="9">
        <v>1.8E-3</v>
      </c>
      <c r="N48" s="9"/>
      <c r="O48" s="9">
        <v>5.3E-3</v>
      </c>
      <c r="P48" s="9">
        <v>2.5000000000000001E-3</v>
      </c>
      <c r="Q48" s="9"/>
      <c r="R48" s="9">
        <v>2.5000000000000001E-3</v>
      </c>
      <c r="S48" s="9"/>
      <c r="T48" s="9">
        <v>3.7000000000000002E-3</v>
      </c>
      <c r="U48" s="9">
        <v>2.5999999999999999E-3</v>
      </c>
      <c r="V48" s="9">
        <v>2.8999999999999998E-3</v>
      </c>
      <c r="W48" s="9">
        <v>3.5999999999999999E-3</v>
      </c>
      <c r="X48" s="9">
        <v>2.5999999999999999E-3</v>
      </c>
      <c r="Y48" s="9">
        <v>8.0000000000000004E-4</v>
      </c>
      <c r="Z48" s="9">
        <v>3.7000000000000002E-3</v>
      </c>
      <c r="AA48" s="9">
        <v>1.9E-3</v>
      </c>
      <c r="AB48" s="9">
        <v>1.4E-3</v>
      </c>
      <c r="AC48" s="9">
        <v>8.9999999999999998E-4</v>
      </c>
      <c r="AD48" s="9">
        <v>1.4E-3</v>
      </c>
    </row>
    <row r="49" spans="2:30" x14ac:dyDescent="0.3">
      <c r="B49" s="5">
        <v>202516</v>
      </c>
      <c r="C49" s="5"/>
      <c r="D49" s="9">
        <v>2.7000000000000001E-3</v>
      </c>
      <c r="E49" s="9">
        <v>2.8E-3</v>
      </c>
      <c r="F49" s="9">
        <v>2.5999999999999999E-3</v>
      </c>
      <c r="G49" s="9">
        <v>3.8999999999999998E-3</v>
      </c>
      <c r="H49" s="9">
        <v>2.5000000000000001E-3</v>
      </c>
      <c r="I49" s="9">
        <v>2.8999999999999998E-3</v>
      </c>
      <c r="J49" s="9">
        <v>1.9E-3</v>
      </c>
      <c r="K49" s="9">
        <v>2.2000000000000001E-3</v>
      </c>
      <c r="L49" s="9">
        <v>2.5999999999999999E-3</v>
      </c>
      <c r="M49" s="9">
        <v>1.9E-3</v>
      </c>
      <c r="N49" s="9"/>
      <c r="O49" s="9">
        <v>5.0000000000000001E-3</v>
      </c>
      <c r="P49" s="9">
        <v>2.5000000000000001E-3</v>
      </c>
      <c r="Q49" s="9"/>
      <c r="R49" s="9">
        <v>2.8E-3</v>
      </c>
      <c r="S49" s="9"/>
      <c r="T49" s="9">
        <v>4.0000000000000001E-3</v>
      </c>
      <c r="U49" s="9">
        <v>2.3E-3</v>
      </c>
      <c r="V49" s="9">
        <v>3.0999999999999999E-3</v>
      </c>
      <c r="W49" s="9">
        <v>3.5999999999999999E-3</v>
      </c>
      <c r="X49" s="9">
        <v>3.3999999999999998E-3</v>
      </c>
      <c r="Y49" s="9">
        <v>1.1999999999999999E-3</v>
      </c>
      <c r="Z49" s="9">
        <v>4.3E-3</v>
      </c>
      <c r="AA49" s="9">
        <v>2.2000000000000001E-3</v>
      </c>
      <c r="AB49" s="9">
        <v>1.6000000000000001E-3</v>
      </c>
      <c r="AC49" s="9">
        <v>1.2999999999999999E-3</v>
      </c>
      <c r="AD49" s="9">
        <v>1.2999999999999999E-3</v>
      </c>
    </row>
    <row r="50" spans="2:30" x14ac:dyDescent="0.3">
      <c r="B50" s="5">
        <v>202517</v>
      </c>
      <c r="C50" s="5"/>
      <c r="D50" s="9">
        <v>2.8E-3</v>
      </c>
      <c r="E50" s="9">
        <v>2.5999999999999999E-3</v>
      </c>
      <c r="F50" s="9">
        <v>2.8E-3</v>
      </c>
      <c r="G50" s="9">
        <v>2.8E-3</v>
      </c>
      <c r="H50" s="9">
        <v>2.8999999999999998E-3</v>
      </c>
      <c r="I50" s="9">
        <v>3.8E-3</v>
      </c>
      <c r="J50" s="9">
        <v>1.4E-3</v>
      </c>
      <c r="K50" s="9">
        <v>2.3999999999999998E-3</v>
      </c>
      <c r="L50" s="9">
        <v>1.6999999999999999E-3</v>
      </c>
      <c r="M50" s="9">
        <v>1.2999999999999999E-3</v>
      </c>
      <c r="N50" s="9"/>
      <c r="O50" s="9">
        <v>8.2000000000000007E-3</v>
      </c>
      <c r="P50" s="9">
        <v>3.0999999999999999E-3</v>
      </c>
      <c r="Q50" s="9"/>
      <c r="R50" s="9">
        <v>2.8E-3</v>
      </c>
      <c r="S50" s="9"/>
      <c r="T50" s="9">
        <v>3.8999999999999998E-3</v>
      </c>
      <c r="U50" s="9">
        <v>2.8999999999999998E-3</v>
      </c>
      <c r="V50" s="9">
        <v>3.5999999999999999E-3</v>
      </c>
      <c r="W50" s="9">
        <v>2.7000000000000001E-3</v>
      </c>
      <c r="X50" s="9">
        <v>3.3E-3</v>
      </c>
      <c r="Y50" s="9">
        <v>8.9999999999999998E-4</v>
      </c>
      <c r="Z50" s="9">
        <v>4.1999999999999997E-3</v>
      </c>
      <c r="AA50" s="9">
        <v>2E-3</v>
      </c>
      <c r="AB50" s="9">
        <v>2.2000000000000001E-3</v>
      </c>
      <c r="AC50" s="9">
        <v>8.9999999999999998E-4</v>
      </c>
      <c r="AD50" s="9">
        <v>1.2999999999999999E-3</v>
      </c>
    </row>
    <row r="51" spans="2:30" x14ac:dyDescent="0.3">
      <c r="B51" s="5">
        <v>202518</v>
      </c>
      <c r="C51" s="5"/>
      <c r="D51" s="9">
        <v>3.7000000000000002E-3</v>
      </c>
      <c r="E51" s="9">
        <v>2.5999999999999999E-3</v>
      </c>
      <c r="F51" s="9">
        <v>3.7000000000000002E-3</v>
      </c>
      <c r="G51" s="9">
        <v>3.0999999999999999E-3</v>
      </c>
      <c r="H51" s="9">
        <v>2.2000000000000001E-3</v>
      </c>
      <c r="I51" s="9">
        <v>8.6999999999999994E-3</v>
      </c>
      <c r="J51" s="9">
        <v>2.5999999999999999E-3</v>
      </c>
      <c r="K51" s="9">
        <v>2.3999999999999998E-3</v>
      </c>
      <c r="L51" s="9">
        <v>1.6999999999999999E-3</v>
      </c>
      <c r="M51" s="9">
        <v>1.4E-3</v>
      </c>
      <c r="N51" s="9"/>
      <c r="O51" s="9">
        <v>4.8999999999999998E-3</v>
      </c>
      <c r="P51" s="9">
        <v>4.1999999999999997E-3</v>
      </c>
      <c r="Q51" s="9"/>
      <c r="R51" s="9">
        <v>3.0000000000000001E-3</v>
      </c>
      <c r="S51" s="9"/>
      <c r="T51" s="9">
        <v>4.1999999999999997E-3</v>
      </c>
      <c r="U51" s="9">
        <v>2.0999999999999999E-3</v>
      </c>
      <c r="V51" s="9">
        <v>3.3E-3</v>
      </c>
      <c r="W51" s="9">
        <v>3.7000000000000002E-3</v>
      </c>
      <c r="X51" s="9">
        <v>4.1999999999999997E-3</v>
      </c>
      <c r="Y51" s="9">
        <v>9.1999999999999998E-3</v>
      </c>
      <c r="Z51" s="9">
        <v>9.4000000000000004E-3</v>
      </c>
      <c r="AA51" s="9">
        <v>1.9E-3</v>
      </c>
      <c r="AB51" s="9">
        <v>1.8E-3</v>
      </c>
      <c r="AC51" s="9">
        <v>1.6000000000000001E-3</v>
      </c>
      <c r="AD51" s="9">
        <v>1.8E-3</v>
      </c>
    </row>
    <row r="52" spans="2:30" x14ac:dyDescent="0.3">
      <c r="B52" s="5">
        <v>202519</v>
      </c>
      <c r="C52" s="5"/>
      <c r="D52" s="9">
        <v>2.8999999999999998E-3</v>
      </c>
      <c r="E52" s="9">
        <v>2.3E-3</v>
      </c>
      <c r="F52" s="9">
        <v>2.8999999999999998E-3</v>
      </c>
      <c r="G52" s="9">
        <v>2.5000000000000001E-3</v>
      </c>
      <c r="H52" s="9">
        <v>2.0999999999999999E-3</v>
      </c>
      <c r="I52" s="9">
        <v>1E-3</v>
      </c>
      <c r="J52" s="9">
        <v>2.0999999999999999E-3</v>
      </c>
      <c r="K52" s="9">
        <v>4.3E-3</v>
      </c>
      <c r="L52" s="9">
        <v>1.2999999999999999E-3</v>
      </c>
      <c r="M52" s="9">
        <v>1.6999999999999999E-3</v>
      </c>
      <c r="N52" s="9"/>
      <c r="O52" s="9">
        <v>5.1999999999999998E-3</v>
      </c>
      <c r="P52" s="9">
        <v>3.2000000000000002E-3</v>
      </c>
      <c r="Q52" s="9"/>
      <c r="R52" s="9">
        <v>2.5999999999999999E-3</v>
      </c>
      <c r="S52" s="9">
        <v>1.1999999999999999E-3</v>
      </c>
      <c r="T52" s="9">
        <v>3.8999999999999998E-3</v>
      </c>
      <c r="U52" s="9">
        <v>3.3999999999999998E-3</v>
      </c>
      <c r="V52" s="9">
        <v>4.1000000000000003E-3</v>
      </c>
      <c r="W52" s="9">
        <v>3.5000000000000001E-3</v>
      </c>
      <c r="X52" s="9">
        <v>4.4999999999999997E-3</v>
      </c>
      <c r="Y52" s="9">
        <v>2E-3</v>
      </c>
      <c r="Z52" s="9">
        <v>4.8999999999999998E-3</v>
      </c>
      <c r="AA52" s="9">
        <v>3.0000000000000001E-3</v>
      </c>
      <c r="AB52" s="9">
        <v>1.9E-3</v>
      </c>
      <c r="AC52" s="9">
        <v>1E-3</v>
      </c>
      <c r="AD52" s="9">
        <v>2E-3</v>
      </c>
    </row>
    <row r="53" spans="2:30" x14ac:dyDescent="0.3">
      <c r="B53" s="5">
        <v>202520</v>
      </c>
      <c r="C53" s="5"/>
      <c r="D53" s="9">
        <v>2.7000000000000001E-3</v>
      </c>
      <c r="E53" s="9">
        <v>2.2000000000000001E-3</v>
      </c>
      <c r="F53" s="9">
        <v>2.7000000000000001E-3</v>
      </c>
      <c r="G53" s="9">
        <v>2.8E-3</v>
      </c>
      <c r="H53" s="9">
        <v>1.8E-3</v>
      </c>
      <c r="I53" s="9">
        <v>2.8999999999999998E-3</v>
      </c>
      <c r="J53" s="9">
        <v>2.0999999999999999E-3</v>
      </c>
      <c r="K53" s="9">
        <v>3.3999999999999998E-3</v>
      </c>
      <c r="L53" s="9">
        <v>8.9999999999999998E-4</v>
      </c>
      <c r="M53" s="9">
        <v>3.5000000000000001E-3</v>
      </c>
      <c r="N53" s="9">
        <v>6.9999999999999999E-4</v>
      </c>
      <c r="O53" s="9">
        <v>4.4000000000000003E-3</v>
      </c>
      <c r="P53" s="9">
        <v>3.5999999999999999E-3</v>
      </c>
      <c r="Q53" s="9"/>
      <c r="R53" s="9">
        <v>2.7000000000000001E-3</v>
      </c>
      <c r="S53" s="9">
        <v>1.1999999999999999E-3</v>
      </c>
      <c r="T53" s="9">
        <v>3.8E-3</v>
      </c>
      <c r="U53" s="9">
        <v>2.8E-3</v>
      </c>
      <c r="V53" s="9">
        <v>4.0000000000000001E-3</v>
      </c>
      <c r="W53" s="9">
        <v>2.3E-3</v>
      </c>
      <c r="X53" s="9">
        <v>4.3E-3</v>
      </c>
      <c r="Y53" s="9">
        <v>1.1999999999999999E-3</v>
      </c>
      <c r="Z53" s="9">
        <v>4.0000000000000001E-3</v>
      </c>
      <c r="AA53" s="9">
        <v>2.5000000000000001E-3</v>
      </c>
      <c r="AB53" s="9">
        <v>1.9E-3</v>
      </c>
      <c r="AC53" s="9">
        <v>1.4E-3</v>
      </c>
      <c r="AD53" s="9">
        <v>1.8E-3</v>
      </c>
    </row>
    <row r="54" spans="2:30" x14ac:dyDescent="0.3">
      <c r="B54" s="5">
        <v>202521</v>
      </c>
      <c r="C54" s="5"/>
      <c r="D54" s="9">
        <v>3.8E-3</v>
      </c>
      <c r="E54" s="9">
        <v>2.0999999999999999E-3</v>
      </c>
      <c r="F54" s="9">
        <v>3.8999999999999998E-3</v>
      </c>
      <c r="G54" s="9">
        <v>2.8999999999999998E-3</v>
      </c>
      <c r="H54" s="9">
        <v>1.9E-3</v>
      </c>
      <c r="I54" s="9">
        <v>2.8999999999999998E-3</v>
      </c>
      <c r="J54" s="9">
        <v>2.0000000000000001E-4</v>
      </c>
      <c r="K54" s="9">
        <v>2.7000000000000001E-3</v>
      </c>
      <c r="L54" s="9">
        <v>1.5E-3</v>
      </c>
      <c r="M54" s="9">
        <v>2E-3</v>
      </c>
      <c r="N54" s="9">
        <v>8.9999999999999998E-4</v>
      </c>
      <c r="O54" s="9">
        <v>5.7000000000000002E-3</v>
      </c>
      <c r="P54" s="9">
        <v>3.7000000000000002E-3</v>
      </c>
      <c r="Q54" s="9"/>
      <c r="R54" s="9">
        <v>3.0999999999999999E-3</v>
      </c>
      <c r="S54" s="9">
        <v>1.5E-3</v>
      </c>
      <c r="T54" s="9">
        <v>4.1000000000000003E-3</v>
      </c>
      <c r="U54" s="9">
        <v>2.3999999999999998E-3</v>
      </c>
      <c r="V54" s="9">
        <v>0</v>
      </c>
      <c r="W54" s="9">
        <v>0</v>
      </c>
      <c r="X54" s="9">
        <v>1.4200000000000001E-2</v>
      </c>
      <c r="Y54" s="9">
        <v>1.4E-3</v>
      </c>
      <c r="Z54" s="9">
        <v>3.8E-3</v>
      </c>
      <c r="AA54" s="9">
        <v>1.6999999999999999E-3</v>
      </c>
      <c r="AB54" s="9">
        <v>2.0999999999999999E-3</v>
      </c>
      <c r="AC54" s="9">
        <v>1.1000000000000001E-3</v>
      </c>
      <c r="AD54" s="9">
        <v>4.4000000000000003E-3</v>
      </c>
    </row>
    <row r="55" spans="2:30" x14ac:dyDescent="0.3">
      <c r="B55" s="5">
        <v>202522</v>
      </c>
      <c r="C55" s="5"/>
      <c r="D55" s="9">
        <v>2.7000000000000001E-3</v>
      </c>
      <c r="E55" s="9">
        <v>2.2000000000000001E-3</v>
      </c>
      <c r="F55" s="9">
        <v>2.8E-3</v>
      </c>
      <c r="G55" s="9">
        <v>2.3999999999999998E-3</v>
      </c>
      <c r="H55" s="9">
        <v>2E-3</v>
      </c>
      <c r="I55" s="9">
        <v>3.8999999999999998E-3</v>
      </c>
      <c r="J55" s="9">
        <v>6.9999999999999999E-4</v>
      </c>
      <c r="K55" s="9">
        <v>3.7000000000000002E-3</v>
      </c>
      <c r="L55" s="9">
        <v>2.2000000000000001E-3</v>
      </c>
      <c r="M55" s="9">
        <v>2.5000000000000001E-3</v>
      </c>
      <c r="N55" s="9">
        <v>2.2000000000000001E-3</v>
      </c>
      <c r="O55" s="9">
        <v>8.3999999999999995E-3</v>
      </c>
      <c r="P55" s="9">
        <v>3.3999999999999998E-3</v>
      </c>
      <c r="Q55" s="9"/>
      <c r="R55" s="9">
        <v>3.0000000000000001E-3</v>
      </c>
      <c r="S55" s="9">
        <v>1.6999999999999999E-3</v>
      </c>
      <c r="T55" s="9">
        <v>2.9999999999999997E-4</v>
      </c>
      <c r="U55" s="9">
        <v>3.2000000000000002E-3</v>
      </c>
      <c r="V55" s="9"/>
      <c r="W55" s="9"/>
      <c r="X55" s="9">
        <v>5.7999999999999996E-3</v>
      </c>
      <c r="Y55" s="9">
        <v>1.2999999999999999E-3</v>
      </c>
      <c r="Z55" s="9">
        <v>4.1000000000000003E-3</v>
      </c>
      <c r="AA55" s="9">
        <v>2.5000000000000001E-3</v>
      </c>
      <c r="AB55" s="9">
        <v>1.9E-3</v>
      </c>
      <c r="AC55" s="9">
        <v>1.1999999999999999E-3</v>
      </c>
      <c r="AD55" s="9">
        <v>2.3E-3</v>
      </c>
    </row>
    <row r="56" spans="2:30" x14ac:dyDescent="0.3">
      <c r="B56" s="5">
        <v>202523</v>
      </c>
      <c r="C56" s="5"/>
      <c r="D56" s="9">
        <v>3.0000000000000001E-3</v>
      </c>
      <c r="E56" s="9">
        <v>1.9E-3</v>
      </c>
      <c r="F56" s="9">
        <v>3.0999999999999999E-3</v>
      </c>
      <c r="G56" s="9">
        <v>1.6999999999999999E-3</v>
      </c>
      <c r="H56" s="9">
        <v>1.1000000000000001E-3</v>
      </c>
      <c r="I56" s="9">
        <v>1E-3</v>
      </c>
      <c r="J56" s="9">
        <v>2.2000000000000001E-3</v>
      </c>
      <c r="K56" s="9">
        <v>1.6999999999999999E-3</v>
      </c>
      <c r="L56" s="9">
        <v>4.7999999999999996E-3</v>
      </c>
      <c r="M56" s="9">
        <v>2.5000000000000001E-3</v>
      </c>
      <c r="N56" s="9">
        <v>5.1999999999999998E-3</v>
      </c>
      <c r="O56" s="9">
        <v>9.4999999999999998E-3</v>
      </c>
      <c r="P56" s="9">
        <v>3.5000000000000001E-3</v>
      </c>
      <c r="Q56" s="9"/>
      <c r="R56" s="9">
        <v>3.0000000000000001E-3</v>
      </c>
      <c r="S56" s="9">
        <v>1.9E-3</v>
      </c>
      <c r="T56" s="9"/>
      <c r="U56" s="9">
        <v>2.5999999999999999E-3</v>
      </c>
      <c r="V56" s="9"/>
      <c r="W56" s="9"/>
      <c r="X56" s="9">
        <v>3.8E-3</v>
      </c>
      <c r="Y56" s="9">
        <v>1.6000000000000001E-3</v>
      </c>
      <c r="Z56" s="9">
        <v>6.1999999999999998E-3</v>
      </c>
      <c r="AA56" s="9">
        <v>3.5000000000000001E-3</v>
      </c>
      <c r="AB56" s="9">
        <v>1.9E-3</v>
      </c>
      <c r="AC56" s="9">
        <v>1.4E-3</v>
      </c>
      <c r="AD56" s="9">
        <v>2.3999999999999998E-3</v>
      </c>
    </row>
    <row r="57" spans="2:30" x14ac:dyDescent="0.3">
      <c r="B57" s="5">
        <v>202524</v>
      </c>
      <c r="C57" s="5"/>
      <c r="D57" s="9">
        <v>3.3E-3</v>
      </c>
      <c r="E57" s="9">
        <v>2.5999999999999999E-3</v>
      </c>
      <c r="F57" s="9">
        <v>3.3E-3</v>
      </c>
      <c r="G57" s="9">
        <v>2.3999999999999998E-3</v>
      </c>
      <c r="H57" s="9">
        <v>2.0999999999999999E-3</v>
      </c>
      <c r="I57" s="9">
        <v>5.8999999999999999E-3</v>
      </c>
      <c r="J57" s="9">
        <v>3.0999999999999999E-3</v>
      </c>
      <c r="K57" s="9">
        <v>2.3999999999999998E-3</v>
      </c>
      <c r="L57" s="9">
        <v>3.3E-3</v>
      </c>
      <c r="M57" s="9">
        <v>5.1999999999999998E-3</v>
      </c>
      <c r="N57" s="9">
        <v>5.1000000000000004E-3</v>
      </c>
      <c r="O57" s="9">
        <v>8.9999999999999993E-3</v>
      </c>
      <c r="P57" s="9">
        <v>4.1999999999999997E-3</v>
      </c>
      <c r="Q57" s="9"/>
      <c r="R57" s="9">
        <v>2.8999999999999998E-3</v>
      </c>
      <c r="S57" s="9">
        <v>1.9E-3</v>
      </c>
      <c r="T57" s="9"/>
      <c r="U57" s="9">
        <v>2.5000000000000001E-3</v>
      </c>
      <c r="V57" s="9"/>
      <c r="W57" s="9"/>
      <c r="X57" s="9">
        <v>4.1999999999999997E-3</v>
      </c>
      <c r="Y57" s="9">
        <v>1.6000000000000001E-3</v>
      </c>
      <c r="Z57" s="9">
        <v>6.3E-3</v>
      </c>
      <c r="AA57" s="9">
        <v>3.0000000000000001E-3</v>
      </c>
      <c r="AB57" s="9">
        <v>2.3E-3</v>
      </c>
      <c r="AC57" s="9">
        <v>1.8E-3</v>
      </c>
      <c r="AD57" s="9">
        <v>2.0999999999999999E-3</v>
      </c>
    </row>
    <row r="58" spans="2:30" x14ac:dyDescent="0.3">
      <c r="B58" s="5">
        <v>202525</v>
      </c>
      <c r="C58" s="5"/>
      <c r="D58" s="9">
        <v>3.2000000000000002E-3</v>
      </c>
      <c r="E58" s="9">
        <v>2.8999999999999998E-3</v>
      </c>
      <c r="F58" s="9">
        <v>3.2000000000000002E-3</v>
      </c>
      <c r="G58" s="9">
        <v>2.0999999999999999E-3</v>
      </c>
      <c r="H58" s="9">
        <v>2.0999999999999999E-3</v>
      </c>
      <c r="I58" s="9">
        <v>6.8999999999999999E-3</v>
      </c>
      <c r="J58" s="9">
        <v>4.3E-3</v>
      </c>
      <c r="K58" s="9">
        <v>3.8999999999999998E-3</v>
      </c>
      <c r="L58" s="9">
        <v>4.4000000000000003E-3</v>
      </c>
      <c r="M58" s="9">
        <v>6.4000000000000003E-3</v>
      </c>
      <c r="N58" s="9">
        <v>4.4999999999999997E-3</v>
      </c>
      <c r="O58" s="9">
        <v>9.7000000000000003E-3</v>
      </c>
      <c r="P58" s="9">
        <v>3.3999999999999998E-3</v>
      </c>
      <c r="Q58" s="9"/>
      <c r="R58" s="9">
        <v>3.0000000000000001E-3</v>
      </c>
      <c r="S58" s="9">
        <v>1.9E-3</v>
      </c>
      <c r="T58" s="9"/>
      <c r="U58" s="9">
        <v>3.3999999999999998E-3</v>
      </c>
      <c r="V58" s="9"/>
      <c r="W58" s="9"/>
      <c r="X58" s="9">
        <v>5.0000000000000001E-3</v>
      </c>
      <c r="Y58" s="9">
        <v>1.1999999999999999E-3</v>
      </c>
      <c r="Z58" s="9">
        <v>3.5999999999999999E-3</v>
      </c>
      <c r="AA58" s="9">
        <v>3.0999999999999999E-3</v>
      </c>
      <c r="AB58" s="9">
        <v>2.8E-3</v>
      </c>
      <c r="AC58" s="9">
        <v>1.6999999999999999E-3</v>
      </c>
      <c r="AD58" s="9">
        <v>1.8E-3</v>
      </c>
    </row>
    <row r="59" spans="2:30" x14ac:dyDescent="0.3">
      <c r="B59" s="5">
        <v>202526</v>
      </c>
      <c r="C59" s="5"/>
      <c r="D59" s="9">
        <v>3.5000000000000001E-3</v>
      </c>
      <c r="E59" s="9">
        <v>2.3E-3</v>
      </c>
      <c r="F59" s="9">
        <v>3.5999999999999999E-3</v>
      </c>
      <c r="G59" s="9">
        <v>2E-3</v>
      </c>
      <c r="H59" s="9">
        <v>1.6000000000000001E-3</v>
      </c>
      <c r="I59" s="9">
        <v>7.0000000000000001E-3</v>
      </c>
      <c r="J59" s="9">
        <v>3.3999999999999998E-3</v>
      </c>
      <c r="K59" s="9">
        <v>2.5000000000000001E-3</v>
      </c>
      <c r="L59" s="9">
        <v>3.3E-3</v>
      </c>
      <c r="M59" s="9">
        <v>6.0000000000000001E-3</v>
      </c>
      <c r="N59" s="9">
        <v>2.7000000000000001E-3</v>
      </c>
      <c r="O59" s="9">
        <v>1.9300000000000001E-2</v>
      </c>
      <c r="P59" s="9">
        <v>3.2000000000000002E-3</v>
      </c>
      <c r="Q59" s="9"/>
      <c r="R59" s="9">
        <v>3.3E-3</v>
      </c>
      <c r="S59" s="9">
        <v>1.9E-3</v>
      </c>
      <c r="T59" s="9"/>
      <c r="U59" s="9">
        <v>3.5999999999999999E-3</v>
      </c>
      <c r="V59" s="9"/>
      <c r="W59" s="9"/>
      <c r="X59" s="9">
        <v>5.4999999999999997E-3</v>
      </c>
      <c r="Y59" s="9">
        <v>1.1999999999999999E-3</v>
      </c>
      <c r="Z59" s="9">
        <v>5.4999999999999997E-3</v>
      </c>
      <c r="AA59" s="9">
        <v>3.3E-3</v>
      </c>
      <c r="AB59" s="9">
        <v>3.0999999999999999E-3</v>
      </c>
      <c r="AC59" s="9">
        <v>1.6999999999999999E-3</v>
      </c>
      <c r="AD59" s="9">
        <v>2.2000000000000001E-3</v>
      </c>
    </row>
    <row r="60" spans="2:30" x14ac:dyDescent="0.3">
      <c r="B60" s="5">
        <v>202527</v>
      </c>
      <c r="C60" s="5"/>
      <c r="D60" s="9">
        <v>3.5000000000000001E-3</v>
      </c>
      <c r="E60" s="9">
        <v>2.7000000000000001E-3</v>
      </c>
      <c r="F60" s="9">
        <v>3.5999999999999999E-3</v>
      </c>
      <c r="G60" s="9">
        <v>1.5E-3</v>
      </c>
      <c r="H60" s="9">
        <v>2.2000000000000001E-3</v>
      </c>
      <c r="I60" s="9">
        <v>5.0000000000000001E-3</v>
      </c>
      <c r="J60" s="9">
        <v>4.4000000000000003E-3</v>
      </c>
      <c r="K60" s="9">
        <v>4.4999999999999997E-3</v>
      </c>
      <c r="L60" s="9">
        <v>3.5999999999999999E-3</v>
      </c>
      <c r="M60" s="9">
        <v>4.4000000000000003E-3</v>
      </c>
      <c r="N60" s="9">
        <v>1.4E-3</v>
      </c>
      <c r="O60" s="9">
        <v>2.12E-2</v>
      </c>
      <c r="P60" s="9">
        <v>4.1999999999999997E-3</v>
      </c>
      <c r="Q60" s="9"/>
      <c r="R60" s="9">
        <v>3.2000000000000002E-3</v>
      </c>
      <c r="S60" s="9">
        <v>1.9E-3</v>
      </c>
      <c r="T60" s="9"/>
      <c r="U60" s="9">
        <v>3.3999999999999998E-3</v>
      </c>
      <c r="V60" s="9"/>
      <c r="W60" s="9"/>
      <c r="X60" s="9">
        <v>5.7999999999999996E-3</v>
      </c>
      <c r="Y60" s="9">
        <v>1.1999999999999999E-3</v>
      </c>
      <c r="Z60" s="9">
        <v>6.3E-3</v>
      </c>
      <c r="AA60" s="9">
        <v>3.8999999999999998E-3</v>
      </c>
      <c r="AB60" s="9">
        <v>2.7000000000000001E-3</v>
      </c>
      <c r="AC60" s="9">
        <v>1.1999999999999999E-3</v>
      </c>
      <c r="AD60" s="9">
        <v>1.9E-3</v>
      </c>
    </row>
    <row r="61" spans="2:30" x14ac:dyDescent="0.3">
      <c r="B61" s="5">
        <v>202528</v>
      </c>
      <c r="C61" s="5"/>
      <c r="D61" s="9">
        <v>3.8E-3</v>
      </c>
      <c r="E61" s="9">
        <v>2.0999999999999999E-3</v>
      </c>
      <c r="F61" s="9">
        <v>3.8999999999999998E-3</v>
      </c>
      <c r="G61" s="9">
        <v>1.8E-3</v>
      </c>
      <c r="H61" s="9">
        <v>1.8E-3</v>
      </c>
      <c r="I61" s="9">
        <v>3.0000000000000001E-3</v>
      </c>
      <c r="J61" s="9">
        <v>1.9E-3</v>
      </c>
      <c r="K61" s="9">
        <v>2.5000000000000001E-3</v>
      </c>
      <c r="L61" s="9">
        <v>3.0999999999999999E-3</v>
      </c>
      <c r="M61" s="9">
        <v>5.7999999999999996E-3</v>
      </c>
      <c r="N61" s="9">
        <v>1.5E-3</v>
      </c>
      <c r="O61" s="9">
        <v>1.24E-2</v>
      </c>
      <c r="P61" s="9">
        <v>4.7000000000000002E-3</v>
      </c>
      <c r="Q61" s="9"/>
      <c r="R61" s="9">
        <v>8.6999999999999994E-3</v>
      </c>
      <c r="S61" s="9">
        <v>2.0999999999999999E-3</v>
      </c>
      <c r="T61" s="9">
        <v>1.5E-3</v>
      </c>
      <c r="U61" s="9">
        <v>4.5999999999999999E-3</v>
      </c>
      <c r="V61" s="9">
        <v>8.0000000000000004E-4</v>
      </c>
      <c r="W61" s="9">
        <v>2.2000000000000001E-3</v>
      </c>
      <c r="X61" s="9">
        <v>6.4000000000000003E-3</v>
      </c>
      <c r="Y61" s="9">
        <v>1.8E-3</v>
      </c>
      <c r="Z61" s="9">
        <v>6.4000000000000003E-3</v>
      </c>
      <c r="AA61" s="9">
        <v>3.7000000000000002E-3</v>
      </c>
      <c r="AB61" s="9">
        <v>3.0999999999999999E-3</v>
      </c>
      <c r="AC61" s="9">
        <v>2.0999999999999999E-3</v>
      </c>
      <c r="AD61" s="9">
        <v>2.3999999999999998E-3</v>
      </c>
    </row>
    <row r="62" spans="2:30" x14ac:dyDescent="0.3">
      <c r="B62" s="5">
        <v>202529</v>
      </c>
      <c r="C62" s="5"/>
      <c r="D62" s="9">
        <v>3.3E-3</v>
      </c>
      <c r="E62" s="9">
        <v>2.8E-3</v>
      </c>
      <c r="F62" s="9">
        <v>3.3E-3</v>
      </c>
      <c r="G62" s="9">
        <v>2.8999999999999998E-3</v>
      </c>
      <c r="H62" s="9">
        <v>1.6000000000000001E-3</v>
      </c>
      <c r="I62" s="9">
        <v>6.1000000000000004E-3</v>
      </c>
      <c r="J62" s="9">
        <v>3.3999999999999998E-3</v>
      </c>
      <c r="K62" s="9">
        <v>3.2000000000000002E-3</v>
      </c>
      <c r="L62" s="9">
        <v>4.3E-3</v>
      </c>
      <c r="M62" s="9">
        <v>3.8E-3</v>
      </c>
      <c r="N62" s="9">
        <v>1.4E-3</v>
      </c>
      <c r="O62" s="9">
        <v>1.5800000000000002E-2</v>
      </c>
      <c r="P62" s="9">
        <v>3.3999999999999998E-3</v>
      </c>
      <c r="Q62" s="9"/>
      <c r="R62" s="9">
        <v>3.5000000000000001E-3</v>
      </c>
      <c r="S62" s="9">
        <v>2.0999999999999999E-3</v>
      </c>
      <c r="T62" s="9">
        <v>1.6000000000000001E-3</v>
      </c>
      <c r="U62" s="9">
        <v>4.1999999999999997E-3</v>
      </c>
      <c r="V62" s="9">
        <v>1.1000000000000001E-3</v>
      </c>
      <c r="W62" s="9">
        <v>1.6999999999999999E-3</v>
      </c>
      <c r="X62" s="9">
        <v>5.8999999999999999E-3</v>
      </c>
      <c r="Y62" s="9">
        <v>1.6999999999999999E-3</v>
      </c>
      <c r="Z62" s="9">
        <v>7.3000000000000001E-3</v>
      </c>
      <c r="AA62" s="9">
        <v>3.3999999999999998E-3</v>
      </c>
      <c r="AB62" s="9">
        <v>3.3E-3</v>
      </c>
      <c r="AC62" s="9">
        <v>1.6000000000000001E-3</v>
      </c>
      <c r="AD62" s="9">
        <v>2E-3</v>
      </c>
    </row>
    <row r="63" spans="2:30" x14ac:dyDescent="0.3">
      <c r="B63" s="5">
        <v>202530</v>
      </c>
      <c r="C63" s="5"/>
      <c r="D63" s="9">
        <v>4.0000000000000001E-3</v>
      </c>
      <c r="E63" s="9">
        <v>2.5000000000000001E-3</v>
      </c>
      <c r="F63" s="9">
        <v>4.1000000000000003E-3</v>
      </c>
      <c r="G63" s="9">
        <v>2.0999999999999999E-3</v>
      </c>
      <c r="H63" s="9">
        <v>2E-3</v>
      </c>
      <c r="I63" s="9">
        <v>4.1000000000000003E-3</v>
      </c>
      <c r="J63" s="9">
        <v>2.7000000000000001E-3</v>
      </c>
      <c r="K63" s="9">
        <v>3.0000000000000001E-3</v>
      </c>
      <c r="L63" s="9">
        <v>3.8E-3</v>
      </c>
      <c r="M63" s="9">
        <v>5.7000000000000002E-3</v>
      </c>
      <c r="N63" s="9">
        <v>1.5E-3</v>
      </c>
      <c r="O63" s="9">
        <v>1.2500000000000001E-2</v>
      </c>
      <c r="P63" s="9">
        <v>3.7000000000000002E-3</v>
      </c>
      <c r="Q63" s="9"/>
      <c r="R63" s="9">
        <v>1.0800000000000001E-2</v>
      </c>
      <c r="S63" s="9">
        <v>2E-3</v>
      </c>
      <c r="T63" s="9">
        <v>1.6999999999999999E-3</v>
      </c>
      <c r="U63" s="9">
        <v>4.7000000000000002E-3</v>
      </c>
      <c r="V63" s="9">
        <v>1.1000000000000001E-3</v>
      </c>
      <c r="W63" s="9">
        <v>1.5E-3</v>
      </c>
      <c r="X63" s="9">
        <v>7.7999999999999996E-3</v>
      </c>
      <c r="Y63" s="9">
        <v>2.3999999999999998E-3</v>
      </c>
      <c r="Z63" s="9">
        <v>5.7000000000000002E-3</v>
      </c>
      <c r="AA63" s="9">
        <v>3.0999999999999999E-3</v>
      </c>
      <c r="AB63" s="9">
        <v>3.3E-3</v>
      </c>
      <c r="AC63" s="9">
        <v>1.6000000000000001E-3</v>
      </c>
      <c r="AD63" s="9">
        <v>2.3999999999999998E-3</v>
      </c>
    </row>
    <row r="64" spans="2:30" x14ac:dyDescent="0.3">
      <c r="B64" s="5">
        <v>202531</v>
      </c>
      <c r="C64" s="5"/>
      <c r="D64" s="9">
        <v>4.7999999999999996E-3</v>
      </c>
      <c r="E64" s="9">
        <v>3.5000000000000001E-3</v>
      </c>
      <c r="F64" s="9">
        <v>4.7999999999999996E-3</v>
      </c>
      <c r="G64" s="9">
        <v>3.3E-3</v>
      </c>
      <c r="H64" s="9">
        <v>3.5999999999999999E-3</v>
      </c>
      <c r="I64" s="9">
        <v>7.1000000000000004E-3</v>
      </c>
      <c r="J64" s="9">
        <v>4.8999999999999998E-3</v>
      </c>
      <c r="K64" s="9">
        <v>1.5E-3</v>
      </c>
      <c r="L64" s="9">
        <v>3.3999999999999998E-3</v>
      </c>
      <c r="M64" s="9">
        <v>7.4999999999999997E-3</v>
      </c>
      <c r="N64" s="9">
        <v>5.7999999999999996E-3</v>
      </c>
      <c r="O64" s="9">
        <v>1.3299999999999999E-2</v>
      </c>
      <c r="P64" s="9">
        <v>4.1999999999999997E-3</v>
      </c>
      <c r="Q64" s="9"/>
      <c r="R64" s="9">
        <v>1.0800000000000001E-2</v>
      </c>
      <c r="S64" s="9">
        <v>2.3999999999999998E-3</v>
      </c>
      <c r="T64" s="9">
        <v>1.8E-3</v>
      </c>
      <c r="U64" s="9">
        <v>7.7999999999999996E-3</v>
      </c>
      <c r="V64" s="9">
        <v>1.6000000000000001E-3</v>
      </c>
      <c r="W64" s="9">
        <v>2.3E-3</v>
      </c>
      <c r="X64" s="9">
        <v>7.9000000000000008E-3</v>
      </c>
      <c r="Y64" s="9">
        <v>1.9E-3</v>
      </c>
      <c r="Z64" s="9">
        <v>6.4000000000000003E-3</v>
      </c>
      <c r="AA64" s="9">
        <v>3.5999999999999999E-3</v>
      </c>
      <c r="AB64" s="9">
        <v>4.4000000000000003E-3</v>
      </c>
      <c r="AC64" s="9">
        <v>2.5000000000000001E-3</v>
      </c>
      <c r="AD64" s="9">
        <v>2E-3</v>
      </c>
    </row>
    <row r="65" spans="2:30" x14ac:dyDescent="0.3">
      <c r="B65" s="5">
        <v>202532</v>
      </c>
      <c r="C65" s="5"/>
      <c r="D65" s="9">
        <v>4.4000000000000003E-3</v>
      </c>
      <c r="E65" s="9">
        <v>3.8E-3</v>
      </c>
      <c r="F65" s="9">
        <v>4.4999999999999997E-3</v>
      </c>
      <c r="G65" s="9">
        <v>4.7999999999999996E-3</v>
      </c>
      <c r="H65" s="9">
        <v>2.5999999999999999E-3</v>
      </c>
      <c r="I65" s="9">
        <v>8.2000000000000007E-3</v>
      </c>
      <c r="J65" s="9">
        <v>4.7000000000000002E-3</v>
      </c>
      <c r="K65" s="9">
        <v>3.8E-3</v>
      </c>
      <c r="L65" s="9">
        <v>3.2000000000000002E-3</v>
      </c>
      <c r="M65" s="9">
        <v>6.4000000000000003E-3</v>
      </c>
      <c r="N65" s="9">
        <v>4.4000000000000003E-3</v>
      </c>
      <c r="O65" s="9">
        <v>1.2699999999999999E-2</v>
      </c>
      <c r="P65" s="9">
        <v>4.8999999999999998E-3</v>
      </c>
      <c r="Q65" s="9"/>
      <c r="R65" s="9">
        <v>5.0000000000000001E-3</v>
      </c>
      <c r="S65" s="9">
        <v>1.6000000000000001E-3</v>
      </c>
      <c r="T65" s="9">
        <v>1.6999999999999999E-3</v>
      </c>
      <c r="U65" s="9">
        <v>5.4000000000000003E-3</v>
      </c>
      <c r="V65" s="9">
        <v>3.2000000000000002E-3</v>
      </c>
      <c r="W65" s="9">
        <v>2.3E-3</v>
      </c>
      <c r="X65" s="9">
        <v>9.2999999999999992E-3</v>
      </c>
      <c r="Y65" s="9">
        <v>2E-3</v>
      </c>
      <c r="Z65" s="9">
        <v>5.4999999999999997E-3</v>
      </c>
      <c r="AA65" s="9">
        <v>4.1999999999999997E-3</v>
      </c>
      <c r="AB65" s="9">
        <v>7.4000000000000003E-3</v>
      </c>
      <c r="AC65" s="9">
        <v>2.0999999999999999E-3</v>
      </c>
      <c r="AD65" s="9">
        <v>2.7000000000000001E-3</v>
      </c>
    </row>
    <row r="66" spans="2:30" x14ac:dyDescent="0.3">
      <c r="B66" s="5">
        <v>202533</v>
      </c>
      <c r="C66" s="5"/>
      <c r="D66" s="9">
        <v>5.0000000000000001E-3</v>
      </c>
      <c r="E66" s="9">
        <v>3.5999999999999999E-3</v>
      </c>
      <c r="F66" s="9">
        <v>5.1000000000000004E-3</v>
      </c>
      <c r="G66" s="9">
        <v>4.7999999999999996E-3</v>
      </c>
      <c r="H66" s="9">
        <v>3.0000000000000001E-3</v>
      </c>
      <c r="I66" s="9">
        <v>6.1999999999999998E-3</v>
      </c>
      <c r="J66" s="9">
        <v>4.1999999999999997E-3</v>
      </c>
      <c r="K66" s="9">
        <v>2E-3</v>
      </c>
      <c r="L66" s="9">
        <v>2.5000000000000001E-3</v>
      </c>
      <c r="M66" s="9">
        <v>5.3E-3</v>
      </c>
      <c r="N66" s="9">
        <v>4.7000000000000002E-3</v>
      </c>
      <c r="O66" s="9">
        <v>1.66E-2</v>
      </c>
      <c r="P66" s="9">
        <v>8.5000000000000006E-3</v>
      </c>
      <c r="Q66" s="9"/>
      <c r="R66" s="9">
        <v>2.3999999999999998E-3</v>
      </c>
      <c r="S66" s="9">
        <v>1.5E-3</v>
      </c>
      <c r="T66" s="9">
        <v>1.8E-3</v>
      </c>
      <c r="U66" s="9">
        <v>6.6E-3</v>
      </c>
      <c r="V66" s="9">
        <v>2.5999999999999999E-3</v>
      </c>
      <c r="W66" s="9">
        <v>1.6999999999999999E-3</v>
      </c>
      <c r="X66" s="9">
        <v>1.04E-2</v>
      </c>
      <c r="Y66" s="9">
        <v>3.2000000000000002E-3</v>
      </c>
      <c r="Z66" s="9">
        <v>0</v>
      </c>
      <c r="AA66" s="9">
        <v>2.5000000000000001E-3</v>
      </c>
      <c r="AB66" s="9">
        <v>8.8000000000000005E-3</v>
      </c>
      <c r="AC66" s="9">
        <v>3.3999999999999998E-3</v>
      </c>
      <c r="AD66" s="9">
        <v>3.0000000000000001E-3</v>
      </c>
    </row>
    <row r="67" spans="2:30" x14ac:dyDescent="0.3">
      <c r="B67" s="5">
        <v>202534</v>
      </c>
      <c r="C67" s="5"/>
      <c r="D67" s="9">
        <v>4.4999999999999997E-3</v>
      </c>
      <c r="E67" s="9">
        <v>3.8999999999999998E-3</v>
      </c>
      <c r="F67" s="9">
        <v>4.5999999999999999E-3</v>
      </c>
      <c r="G67" s="9">
        <v>5.0000000000000001E-3</v>
      </c>
      <c r="H67" s="9">
        <v>3.3E-3</v>
      </c>
      <c r="I67" s="9">
        <v>5.5999999999999999E-3</v>
      </c>
      <c r="J67" s="9">
        <v>4.0000000000000001E-3</v>
      </c>
      <c r="K67" s="9">
        <v>1E-3</v>
      </c>
      <c r="L67" s="9">
        <v>3.3999999999999998E-3</v>
      </c>
      <c r="M67" s="9">
        <v>5.0000000000000001E-3</v>
      </c>
      <c r="N67" s="9">
        <v>3.8999999999999998E-3</v>
      </c>
      <c r="O67" s="9">
        <v>1.9199999999999998E-2</v>
      </c>
      <c r="P67" s="9">
        <v>6.1999999999999998E-3</v>
      </c>
      <c r="Q67" s="9"/>
      <c r="R67" s="9">
        <v>2.3999999999999998E-3</v>
      </c>
      <c r="S67" s="9">
        <v>1.5E-3</v>
      </c>
      <c r="T67" s="9">
        <v>2.7000000000000001E-3</v>
      </c>
      <c r="U67" s="9">
        <v>4.4000000000000003E-3</v>
      </c>
      <c r="V67" s="9">
        <v>5.1000000000000004E-3</v>
      </c>
      <c r="W67" s="9">
        <v>2.5000000000000001E-3</v>
      </c>
      <c r="X67" s="9">
        <v>1.09E-2</v>
      </c>
      <c r="Y67" s="9">
        <v>3.3E-3</v>
      </c>
      <c r="Z67" s="9"/>
      <c r="AA67" s="9"/>
      <c r="AB67" s="9">
        <v>6.4999999999999997E-3</v>
      </c>
      <c r="AC67" s="9">
        <v>2.8E-3</v>
      </c>
      <c r="AD67" s="9">
        <v>2.8E-3</v>
      </c>
    </row>
    <row r="68" spans="2:30" ht="15" thickBot="1" x14ac:dyDescent="0.35">
      <c r="B68" s="5">
        <v>202535</v>
      </c>
      <c r="C68" s="5"/>
      <c r="D68" s="9">
        <v>4.4999999999999997E-3</v>
      </c>
      <c r="E68" s="9">
        <v>4.1000000000000003E-3</v>
      </c>
      <c r="F68" s="9">
        <v>4.5999999999999999E-3</v>
      </c>
      <c r="G68" s="9">
        <v>3.3E-3</v>
      </c>
      <c r="H68" s="9">
        <v>4.0000000000000001E-3</v>
      </c>
      <c r="I68" s="9">
        <v>6.6E-3</v>
      </c>
      <c r="J68" s="9">
        <v>4.3E-3</v>
      </c>
      <c r="K68" s="9"/>
      <c r="L68" s="9">
        <v>3.3999999999999998E-3</v>
      </c>
      <c r="M68" s="9">
        <v>5.1999999999999998E-3</v>
      </c>
      <c r="N68" s="9">
        <v>3.7000000000000002E-3</v>
      </c>
      <c r="O68" s="9">
        <v>1.89E-2</v>
      </c>
      <c r="P68" s="9">
        <v>7.1999999999999998E-3</v>
      </c>
      <c r="Q68" s="9"/>
      <c r="R68" s="9">
        <v>1.8E-3</v>
      </c>
      <c r="S68" s="9">
        <v>1.9E-3</v>
      </c>
      <c r="T68" s="9">
        <v>3.0999999999999999E-3</v>
      </c>
      <c r="U68" s="9">
        <v>4.4000000000000003E-3</v>
      </c>
      <c r="V68" s="9">
        <v>2.8999999999999998E-3</v>
      </c>
      <c r="W68" s="9">
        <v>2.5000000000000001E-3</v>
      </c>
      <c r="X68" s="9">
        <v>1.23E-2</v>
      </c>
      <c r="Y68" s="9">
        <v>3.5999999999999999E-3</v>
      </c>
      <c r="Z68" s="9"/>
      <c r="AA68" s="9"/>
      <c r="AB68" s="9">
        <v>4.5999999999999999E-3</v>
      </c>
      <c r="AC68" s="9">
        <v>1.6999999999999999E-3</v>
      </c>
      <c r="AD68" s="9">
        <v>3.3E-3</v>
      </c>
    </row>
    <row r="69" spans="2:30" ht="15" thickBot="1" x14ac:dyDescent="0.35">
      <c r="B69" s="22" t="s">
        <v>82</v>
      </c>
      <c r="C69" s="22"/>
      <c r="D69" s="24">
        <f t="shared" ref="D69:AD69" si="17">AVERAGE(D34:D68)</f>
        <v>3.1514285714285715E-3</v>
      </c>
      <c r="E69" s="24">
        <f t="shared" si="17"/>
        <v>3.617142857142857E-3</v>
      </c>
      <c r="F69" s="24">
        <f t="shared" si="17"/>
        <v>3.0999999999999995E-3</v>
      </c>
      <c r="G69" s="24">
        <f t="shared" si="17"/>
        <v>4.6000000000000008E-3</v>
      </c>
      <c r="H69" s="24">
        <f t="shared" si="17"/>
        <v>3.2657142857142863E-3</v>
      </c>
      <c r="I69" s="24">
        <f t="shared" si="17"/>
        <v>4.9171428571428569E-3</v>
      </c>
      <c r="J69" s="24">
        <f t="shared" si="17"/>
        <v>2.9971428571428566E-3</v>
      </c>
      <c r="K69" s="24">
        <f t="shared" si="17"/>
        <v>3.2558823529411757E-3</v>
      </c>
      <c r="L69" s="24">
        <f t="shared" si="17"/>
        <v>2.6342857142857144E-3</v>
      </c>
      <c r="M69" s="24">
        <f t="shared" si="17"/>
        <v>3.5771428571428573E-3</v>
      </c>
      <c r="N69" s="24">
        <f t="shared" si="17"/>
        <v>2.9966666666666666E-3</v>
      </c>
      <c r="O69" s="24">
        <f t="shared" si="17"/>
        <v>9.1228571428571444E-3</v>
      </c>
      <c r="P69" s="24">
        <f t="shared" si="17"/>
        <v>3.5657142857142849E-3</v>
      </c>
      <c r="Q69" s="24">
        <f t="shared" si="17"/>
        <v>-6.7871428571428569E-2</v>
      </c>
      <c r="R69" s="24">
        <f t="shared" si="17"/>
        <v>3.1742857142857146E-3</v>
      </c>
      <c r="S69" s="24">
        <f t="shared" si="17"/>
        <v>1.7764705882352945E-3</v>
      </c>
      <c r="T69" s="24">
        <f t="shared" si="17"/>
        <v>2.6766666666666662E-3</v>
      </c>
      <c r="U69" s="24">
        <f t="shared" si="17"/>
        <v>3.6228571428571421E-3</v>
      </c>
      <c r="V69" s="24">
        <f t="shared" si="17"/>
        <v>3.2000000000000002E-3</v>
      </c>
      <c r="W69" s="24">
        <f t="shared" si="17"/>
        <v>2.5689655172413794E-3</v>
      </c>
      <c r="X69" s="24">
        <f t="shared" si="17"/>
        <v>4.5714285714285718E-3</v>
      </c>
      <c r="Y69" s="24">
        <f t="shared" si="17"/>
        <v>1.6342857142857142E-3</v>
      </c>
      <c r="Z69" s="24">
        <f t="shared" si="17"/>
        <v>4.3151515151515158E-3</v>
      </c>
      <c r="AA69" s="24">
        <f t="shared" si="17"/>
        <v>2.3757575757575762E-3</v>
      </c>
      <c r="AB69" s="24">
        <f t="shared" si="17"/>
        <v>2.6899999999999997E-3</v>
      </c>
      <c r="AC69" s="24">
        <f t="shared" si="17"/>
        <v>1.4499999999999997E-3</v>
      </c>
      <c r="AD69" s="24">
        <f t="shared" si="17"/>
        <v>1.7457142857142858E-3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T71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7.33203125" bestFit="1" customWidth="1"/>
    <col min="16" max="16" width="11.109375" bestFit="1" customWidth="1"/>
    <col min="17" max="17" width="8.664062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44140625" bestFit="1" customWidth="1"/>
    <col min="23" max="23" width="8.6640625" bestFit="1" customWidth="1"/>
    <col min="24" max="24" width="10.6640625" bestFit="1" customWidth="1"/>
    <col min="25" max="25" width="8.33203125" bestFit="1" customWidth="1"/>
    <col min="26" max="26" width="11.33203125" bestFit="1" customWidth="1"/>
    <col min="27" max="27" width="9.109375" bestFit="1" customWidth="1"/>
    <col min="28" max="28" width="11.109375" bestFit="1" customWidth="1"/>
    <col min="30" max="30" width="11.109375" bestFit="1" customWidth="1"/>
    <col min="31" max="31" width="7.44140625" bestFit="1" customWidth="1"/>
    <col min="32" max="32" width="6.33203125" bestFit="1" customWidth="1"/>
    <col min="33" max="33" width="8.4414062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45900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45906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13</v>
      </c>
      <c r="C6" s="7"/>
      <c r="D6" s="7">
        <v>7</v>
      </c>
      <c r="E6" s="7">
        <v>4590</v>
      </c>
      <c r="F6" s="7">
        <v>5454</v>
      </c>
      <c r="G6" s="7">
        <v>35</v>
      </c>
      <c r="H6" s="9">
        <f t="shared" ref="H6:H11" si="0">IFERROR(G6/F6,0)</f>
        <v>6.4173083975064176E-3</v>
      </c>
      <c r="I6" s="9">
        <f>IFERROR((4590-F6)/4590,0)</f>
        <v>-0.18823529411764706</v>
      </c>
      <c r="J6" s="7">
        <v>24000</v>
      </c>
      <c r="K6" s="11">
        <f t="shared" ref="K6:K11" si="1">IFERROR(J6/D6/F6*100,0)</f>
        <v>62.863429200062861</v>
      </c>
      <c r="L6" s="11">
        <f>K6-60.2764</f>
        <v>2.5870292000628581</v>
      </c>
      <c r="M6" s="11">
        <v>0</v>
      </c>
      <c r="N6" s="11">
        <f t="shared" ref="N6:N11" si="2">K6-M6</f>
        <v>62.863429200062861</v>
      </c>
      <c r="O6" s="11">
        <f>IFERROR(61950/4590,0)</f>
        <v>13.496732026143791</v>
      </c>
      <c r="P6" s="11">
        <v>0</v>
      </c>
      <c r="Q6" s="11">
        <f>IFERROR(O6-P6,0)</f>
        <v>13.496732026143791</v>
      </c>
      <c r="R6" s="7">
        <v>4830</v>
      </c>
      <c r="S6" s="11">
        <f>IFERROR(R6/D6/F6*1000,0)</f>
        <v>126.51265126512651</v>
      </c>
      <c r="T6" s="13">
        <f t="shared" ref="T6:T11" si="3">IFERROR(J6/R6,0)</f>
        <v>4.9689440993788816</v>
      </c>
      <c r="U6" s="7">
        <v>0</v>
      </c>
      <c r="V6" s="11">
        <f>IFERROR(U6/D6/F6*1000,0)</f>
        <v>0</v>
      </c>
      <c r="W6" s="11">
        <f t="shared" ref="W6:W11" si="4">IFERROR(V6/S6,0)</f>
        <v>0</v>
      </c>
      <c r="X6" s="11">
        <v>296.88</v>
      </c>
      <c r="Y6" s="11">
        <f>IFERROR((F6*S6)/(F6*K6)*100,0)</f>
        <v>201.25000000000003</v>
      </c>
      <c r="Z6" s="11">
        <f t="shared" ref="Z6:Z11" si="5">IFERROR(Y6*X6/1000,0)</f>
        <v>59.747100000000003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9</v>
      </c>
      <c r="AF6" s="11">
        <v>24</v>
      </c>
      <c r="AG6" s="7">
        <f>IF(M6=0,0,IFERROR(N6/100*7*F6,0))</f>
        <v>0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>IFERROR(0/F6,0)</f>
        <v>0</v>
      </c>
      <c r="AP6" s="11">
        <v>0</v>
      </c>
      <c r="AQ6" s="7"/>
      <c r="AR6" s="7"/>
      <c r="AS6" s="7">
        <v>15</v>
      </c>
      <c r="AT6" s="7"/>
    </row>
    <row r="7" spans="1:46" x14ac:dyDescent="0.3">
      <c r="A7" s="5" t="s">
        <v>50</v>
      </c>
      <c r="B7" s="5">
        <v>98</v>
      </c>
      <c r="C7" s="7"/>
      <c r="D7" s="7">
        <v>7</v>
      </c>
      <c r="E7" s="7">
        <v>14440</v>
      </c>
      <c r="F7" s="7">
        <v>10800</v>
      </c>
      <c r="G7" s="7">
        <v>35</v>
      </c>
      <c r="H7" s="9">
        <f t="shared" si="0"/>
        <v>3.2407407407407406E-3</v>
      </c>
      <c r="I7" s="9">
        <f>IFERROR((14440-F7)/14440,0)</f>
        <v>0.25207756232686979</v>
      </c>
      <c r="J7" s="7">
        <v>52230</v>
      </c>
      <c r="K7" s="11">
        <f t="shared" si="1"/>
        <v>69.087301587301582</v>
      </c>
      <c r="L7" s="11">
        <f>K7-68.8246</f>
        <v>0.26270158730157789</v>
      </c>
      <c r="M7" s="11">
        <v>70</v>
      </c>
      <c r="N7" s="11">
        <f t="shared" si="2"/>
        <v>-0.91269841269841834</v>
      </c>
      <c r="O7" s="11">
        <f>IFERROR(5446690/14440,0)</f>
        <v>377.19459833795014</v>
      </c>
      <c r="P7" s="11">
        <v>451</v>
      </c>
      <c r="Q7" s="11">
        <f>IFERROR(O7-P7,0)</f>
        <v>-73.80540166204986</v>
      </c>
      <c r="R7" s="7">
        <v>9730</v>
      </c>
      <c r="S7" s="11">
        <f>IFERROR(R7/D7/F7*1000,0)</f>
        <v>128.7037037037037</v>
      </c>
      <c r="T7" s="13">
        <f t="shared" si="3"/>
        <v>5.367934224049332</v>
      </c>
      <c r="U7" s="7">
        <v>0</v>
      </c>
      <c r="V7" s="11">
        <f>IFERROR(U7/D7/F7*1000,0)</f>
        <v>0</v>
      </c>
      <c r="W7" s="11">
        <f t="shared" si="4"/>
        <v>0</v>
      </c>
      <c r="X7" s="11">
        <v>373.15</v>
      </c>
      <c r="Y7" s="11">
        <f>IFERROR((F7*S7)/(F7*K7)*100,0)</f>
        <v>186.29140340800311</v>
      </c>
      <c r="Z7" s="11">
        <f t="shared" si="5"/>
        <v>69.514637181696358</v>
      </c>
      <c r="AA7" s="7">
        <v>2084</v>
      </c>
      <c r="AB7" s="15">
        <f>IFERROR(AA7/1980,0)</f>
        <v>1.0525252525252524</v>
      </c>
      <c r="AC7" s="11">
        <v>0</v>
      </c>
      <c r="AD7" s="15">
        <f>IFERROR(AC7/65.3,0)</f>
        <v>0</v>
      </c>
      <c r="AE7" s="11">
        <v>11</v>
      </c>
      <c r="AF7" s="11">
        <v>23</v>
      </c>
      <c r="AG7" s="7">
        <f>IF(M7=0,0,IFERROR(N7/100*7*F7,0))</f>
        <v>-690.00000000000432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>IFERROR(0/F7,0)</f>
        <v>0</v>
      </c>
      <c r="AP7" s="11">
        <v>0</v>
      </c>
      <c r="AQ7" s="7"/>
      <c r="AR7" s="7"/>
      <c r="AS7" s="7">
        <v>15</v>
      </c>
      <c r="AT7" s="7"/>
    </row>
    <row r="8" spans="1:46" x14ac:dyDescent="0.3">
      <c r="A8" s="5" t="s">
        <v>51</v>
      </c>
      <c r="B8" s="5">
        <v>98</v>
      </c>
      <c r="C8" s="7">
        <v>28</v>
      </c>
      <c r="D8" s="7">
        <v>7</v>
      </c>
      <c r="E8" s="7">
        <v>16063</v>
      </c>
      <c r="F8" s="7">
        <v>12733</v>
      </c>
      <c r="G8" s="7">
        <v>41</v>
      </c>
      <c r="H8" s="9">
        <f t="shared" si="0"/>
        <v>3.2199795806172938E-3</v>
      </c>
      <c r="I8" s="9">
        <f>IFERROR((16063-F8)/16063,0)</f>
        <v>0.20730872190748925</v>
      </c>
      <c r="J8" s="7">
        <v>56340</v>
      </c>
      <c r="K8" s="11">
        <f t="shared" si="1"/>
        <v>63.210330861316486</v>
      </c>
      <c r="L8" s="11">
        <f>K8-62.5713</f>
        <v>0.63903086131648479</v>
      </c>
      <c r="M8" s="11">
        <v>73</v>
      </c>
      <c r="N8" s="11">
        <f t="shared" si="2"/>
        <v>-9.7896691386835144</v>
      </c>
      <c r="O8" s="11">
        <f>IFERROR(5683350/16063,0)</f>
        <v>353.8162236194982</v>
      </c>
      <c r="P8" s="11">
        <v>0</v>
      </c>
      <c r="Q8" s="11">
        <f>IFERROR(O8-P8,0)</f>
        <v>353.8162236194982</v>
      </c>
      <c r="R8" s="7">
        <v>10360</v>
      </c>
      <c r="S8" s="11">
        <f>IFERROR(R8/D8/F8*1000,0)</f>
        <v>116.23340925155108</v>
      </c>
      <c r="T8" s="13">
        <f t="shared" si="3"/>
        <v>5.4382239382239383</v>
      </c>
      <c r="U8" s="7">
        <v>0</v>
      </c>
      <c r="V8" s="11">
        <f>IFERROR(U8/D8/F8*1000,0)</f>
        <v>0</v>
      </c>
      <c r="W8" s="11">
        <f t="shared" si="4"/>
        <v>0</v>
      </c>
      <c r="X8" s="11">
        <v>370</v>
      </c>
      <c r="Y8" s="11">
        <f>IFERROR((F8*S8)/(F8*K8)*100,0)</f>
        <v>183.88356407525737</v>
      </c>
      <c r="Z8" s="11">
        <f t="shared" si="5"/>
        <v>68.036918707845217</v>
      </c>
      <c r="AA8" s="7">
        <v>1740</v>
      </c>
      <c r="AB8" s="15">
        <f>IFERROR(AA8/1580,0)</f>
        <v>1.1012658227848102</v>
      </c>
      <c r="AC8" s="11">
        <v>0</v>
      </c>
      <c r="AD8" s="15">
        <f>IFERROR(AC8/63.7,0)</f>
        <v>0</v>
      </c>
      <c r="AE8" s="11">
        <v>9</v>
      </c>
      <c r="AF8" s="11">
        <v>24</v>
      </c>
      <c r="AG8" s="7">
        <f>IF(M8=0,0,IFERROR(N8/100*7*F8,0))</f>
        <v>-8725.6300000000028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>IFERROR(0/F8,0)</f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59</v>
      </c>
      <c r="C9" s="7"/>
      <c r="D9" s="7">
        <v>7</v>
      </c>
      <c r="E9" s="7">
        <v>4686</v>
      </c>
      <c r="F9" s="7">
        <v>3985</v>
      </c>
      <c r="G9" s="7">
        <v>12</v>
      </c>
      <c r="H9" s="9">
        <f t="shared" si="0"/>
        <v>3.01129234629862E-3</v>
      </c>
      <c r="I9" s="9">
        <f>IFERROR((4686-F9)/4686,0)</f>
        <v>0.14959453691848057</v>
      </c>
      <c r="J9" s="7">
        <v>27480</v>
      </c>
      <c r="K9" s="11">
        <f t="shared" si="1"/>
        <v>98.512278186054843</v>
      </c>
      <c r="L9" s="11">
        <f>K9-99.5032</f>
        <v>-0.99092181394516388</v>
      </c>
      <c r="M9" s="11">
        <v>86</v>
      </c>
      <c r="N9" s="11">
        <f t="shared" si="2"/>
        <v>12.512278186054843</v>
      </c>
      <c r="O9" s="11">
        <f>IFERROR(1130700/4686,0)</f>
        <v>241.29321382842511</v>
      </c>
      <c r="P9" s="11">
        <v>252</v>
      </c>
      <c r="Q9" s="11">
        <f>IFERROR(O9-P9,0)</f>
        <v>-10.70678617157489</v>
      </c>
      <c r="R9" s="7">
        <v>4525</v>
      </c>
      <c r="S9" s="11">
        <f>IFERROR(R9/D9/F9*1000,0)</f>
        <v>162.21545079763399</v>
      </c>
      <c r="T9" s="13">
        <f t="shared" si="3"/>
        <v>6.0729281767955801</v>
      </c>
      <c r="U9" s="7">
        <v>5040</v>
      </c>
      <c r="V9" s="11">
        <f>IFERROR(U9/D9/F9*1000,0)</f>
        <v>180.67754077791719</v>
      </c>
      <c r="W9" s="11">
        <f t="shared" si="4"/>
        <v>1.1138121546961326</v>
      </c>
      <c r="X9" s="11">
        <v>362.76</v>
      </c>
      <c r="Y9" s="11">
        <f>IFERROR((F9*S9)/(F9*K9)*100,0)</f>
        <v>164.665211062591</v>
      </c>
      <c r="Z9" s="11">
        <f t="shared" si="5"/>
        <v>59.733951965065508</v>
      </c>
      <c r="AA9" s="7">
        <v>0</v>
      </c>
      <c r="AB9" s="15">
        <f>IFERROR(AA9/1960,0)</f>
        <v>0</v>
      </c>
      <c r="AC9" s="11">
        <v>0</v>
      </c>
      <c r="AD9" s="15">
        <f>IFERROR(AC9/63.7,0)</f>
        <v>0</v>
      </c>
      <c r="AE9" s="11">
        <v>14</v>
      </c>
      <c r="AF9" s="11">
        <v>24</v>
      </c>
      <c r="AG9" s="7">
        <f>IF(M9=0,0,IFERROR(N9/100*7*F9,0))</f>
        <v>3490.2999999999984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>IFERROR(0/F9,0)</f>
        <v>0</v>
      </c>
      <c r="AP9" s="11">
        <v>0</v>
      </c>
      <c r="AQ9" s="7"/>
      <c r="AR9" s="7"/>
      <c r="AS9" s="7">
        <v>0</v>
      </c>
      <c r="AT9" s="7"/>
    </row>
    <row r="10" spans="1:46" ht="15" thickBot="1" x14ac:dyDescent="0.35">
      <c r="A10" s="5" t="s">
        <v>54</v>
      </c>
      <c r="B10" s="5">
        <v>59</v>
      </c>
      <c r="C10" s="7"/>
      <c r="D10" s="7">
        <v>7</v>
      </c>
      <c r="E10" s="7">
        <v>4819</v>
      </c>
      <c r="F10" s="7">
        <v>4336</v>
      </c>
      <c r="G10" s="7">
        <v>20</v>
      </c>
      <c r="H10" s="9">
        <f t="shared" si="0"/>
        <v>4.6125461254612546E-3</v>
      </c>
      <c r="I10" s="9">
        <f>IFERROR((4819-F10)/4819,0)</f>
        <v>0.1002282631251297</v>
      </c>
      <c r="J10" s="7">
        <v>27150</v>
      </c>
      <c r="K10" s="11">
        <f t="shared" si="1"/>
        <v>89.450448075909321</v>
      </c>
      <c r="L10" s="11">
        <f>K10-89.8268</f>
        <v>-0.37635192409068452</v>
      </c>
      <c r="M10" s="11">
        <v>86</v>
      </c>
      <c r="N10" s="11">
        <f t="shared" si="2"/>
        <v>3.4504480759093212</v>
      </c>
      <c r="O10" s="11">
        <f>IFERROR(1172596/4819,0)</f>
        <v>243.32766134052707</v>
      </c>
      <c r="P10" s="11">
        <v>252</v>
      </c>
      <c r="Q10" s="11">
        <f>IFERROR(O10-P10,0)</f>
        <v>-8.6723386594729277</v>
      </c>
      <c r="R10" s="7">
        <v>4256</v>
      </c>
      <c r="S10" s="11">
        <f>IFERROR(R10/D10/F10*1000,0)</f>
        <v>140.22140221402213</v>
      </c>
      <c r="T10" s="13">
        <f t="shared" si="3"/>
        <v>6.3792293233082704</v>
      </c>
      <c r="U10" s="7">
        <v>5040</v>
      </c>
      <c r="V10" s="11">
        <f>IFERROR(U10/D10/F10*1000,0)</f>
        <v>166.05166051660515</v>
      </c>
      <c r="W10" s="11">
        <f t="shared" si="4"/>
        <v>1.1842105263157894</v>
      </c>
      <c r="X10" s="11">
        <v>362.76</v>
      </c>
      <c r="Y10" s="11">
        <f>IFERROR((F10*S10)/(F10*K10)*100,0)</f>
        <v>156.75874769797423</v>
      </c>
      <c r="Z10" s="11">
        <f t="shared" si="5"/>
        <v>56.86580331491713</v>
      </c>
      <c r="AA10" s="7">
        <v>0</v>
      </c>
      <c r="AB10" s="15">
        <f>IFERROR(AA10/1960,0)</f>
        <v>0</v>
      </c>
      <c r="AC10" s="11">
        <v>0</v>
      </c>
      <c r="AD10" s="15">
        <f>IFERROR(AC10/63.7,0)</f>
        <v>0</v>
      </c>
      <c r="AE10" s="11">
        <v>15</v>
      </c>
      <c r="AF10" s="11">
        <v>26</v>
      </c>
      <c r="AG10" s="7">
        <f>IF(M10=0,0,IFERROR(N10/100*7*F10,0))</f>
        <v>1047.279999999997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>IFERROR(0/F10,0)</f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16" t="s">
        <v>55</v>
      </c>
      <c r="B11" s="16"/>
      <c r="C11" s="17"/>
      <c r="D11" s="17">
        <f>AVERAGE(D6:D10)</f>
        <v>7</v>
      </c>
      <c r="E11" s="17">
        <f>SUM(E6:E10)</f>
        <v>44598</v>
      </c>
      <c r="F11" s="17">
        <f>SUM(F6:F10)</f>
        <v>37308</v>
      </c>
      <c r="G11" s="17">
        <f>SUM(G6:G10)</f>
        <v>143</v>
      </c>
      <c r="H11" s="18">
        <f t="shared" si="0"/>
        <v>3.8329580786962583E-3</v>
      </c>
      <c r="I11" s="18"/>
      <c r="J11" s="17">
        <f>SUM(J6:J10)</f>
        <v>187200</v>
      </c>
      <c r="K11" s="19">
        <f t="shared" si="1"/>
        <v>71.681293939254701</v>
      </c>
      <c r="L11" s="19"/>
      <c r="M11" s="19">
        <f>IFERROR(SUMPRODUCT($F6:$F10,M6:M10)/$F11, 0)</f>
        <v>64.359252707194173</v>
      </c>
      <c r="N11" s="19">
        <f t="shared" si="2"/>
        <v>7.3220412320605277</v>
      </c>
      <c r="O11" s="19">
        <f>IFERROR(SUMPRODUCT($E6:$E10,O6:O10)/$E11, 0)</f>
        <v>302.59845732992511</v>
      </c>
      <c r="P11" s="19">
        <f>IFERROR(SUMPRODUCT($E6:$E10,P6:P10)/$E11, 0)</f>
        <v>199.7331718911162</v>
      </c>
      <c r="Q11" s="19">
        <f>IFERROR(SUMPRODUCT($E6:$E10,Q6:Q10)/$E11, 0)</f>
        <v>102.86528543880891</v>
      </c>
      <c r="R11" s="17">
        <f>SUM(R6:R10)</f>
        <v>33701</v>
      </c>
      <c r="S11" s="19">
        <f>IFERROR(R11/D11/$F11*1000,0)</f>
        <v>129.0454747354072</v>
      </c>
      <c r="T11" s="20">
        <f t="shared" si="3"/>
        <v>5.5547313136108718</v>
      </c>
      <c r="U11" s="17">
        <f>SUM(U6:U10)</f>
        <v>10080</v>
      </c>
      <c r="V11" s="19">
        <f>IFERROR(U11/D11/$F11*1000,0)</f>
        <v>38.597619813444837</v>
      </c>
      <c r="W11" s="19">
        <f t="shared" si="4"/>
        <v>0.29910091688673923</v>
      </c>
      <c r="X11" s="19">
        <f>IFERROR(SUMPRODUCT(R6:R10,X6:X10)/R11,0)</f>
        <v>358.54352867867425</v>
      </c>
      <c r="Y11" s="19">
        <f>IFERROR(($F11*S11)/($F11*K11)*100,0)</f>
        <v>180.02670940170938</v>
      </c>
      <c r="Z11" s="19">
        <f t="shared" si="5"/>
        <v>64.54741164529915</v>
      </c>
      <c r="AA11" s="17"/>
      <c r="AB11" s="21">
        <f>IFERROR(SUMPRODUCT($F6:$F10,AB6:AB10)/$F11,0)</f>
        <v>0.68054279105799598</v>
      </c>
      <c r="AC11" s="19"/>
      <c r="AD11" s="21">
        <f>AVERAGE(AD6:AD10)</f>
        <v>0</v>
      </c>
      <c r="AE11" s="19"/>
      <c r="AF11" s="19"/>
      <c r="AG11" s="17">
        <f>SUM(AG6:AG10)</f>
        <v>-4878.0500000000111</v>
      </c>
      <c r="AH11" s="17">
        <f>SUM(AH6:AH10)</f>
        <v>0</v>
      </c>
      <c r="AI11" s="17">
        <f>IFERROR(SUMPRODUCT(AH6:AH10,AI6:AI10)/AH11, 0)</f>
        <v>0</v>
      </c>
      <c r="AJ11" s="19">
        <f>AVERAGE(AJ6:AJ10)</f>
        <v>0</v>
      </c>
      <c r="AK11" s="19">
        <f>AVERAGE(AK6:AK10)</f>
        <v>0</v>
      </c>
      <c r="AL11" s="19">
        <f>AVERAGE(AL6:AL10)</f>
        <v>0</v>
      </c>
      <c r="AM11" s="19">
        <f>AVERAGE(AM6:AM10)</f>
        <v>0</v>
      </c>
      <c r="AN11" s="19">
        <f>AVERAGE(AN6:AN10)</f>
        <v>0</v>
      </c>
      <c r="AO11" s="20"/>
      <c r="AP11" s="19"/>
      <c r="AQ11" s="17"/>
      <c r="AR11" s="17"/>
      <c r="AS11" s="17"/>
      <c r="AT11" s="17"/>
    </row>
    <row r="13" spans="1:46" x14ac:dyDescent="0.3">
      <c r="A13" s="4" t="s">
        <v>56</v>
      </c>
      <c r="B13" s="4">
        <v>98</v>
      </c>
      <c r="C13" s="6"/>
      <c r="D13" s="6">
        <v>6</v>
      </c>
      <c r="E13" s="6">
        <v>21388</v>
      </c>
      <c r="F13" s="6">
        <v>15414</v>
      </c>
      <c r="G13" s="6">
        <v>34</v>
      </c>
      <c r="H13" s="8">
        <f t="shared" ref="H13:H29" si="6">IFERROR(G13/F13,0)</f>
        <v>2.205786946931361E-3</v>
      </c>
      <c r="I13" s="8">
        <f>IFERROR((21388-F13)/21388,0)</f>
        <v>0.27931550402094635</v>
      </c>
      <c r="J13" s="6">
        <v>42440</v>
      </c>
      <c r="K13" s="10">
        <f t="shared" ref="K13:K29" si="7">IFERROR(J13/D13/F13*100,0)</f>
        <v>45.889018641062236</v>
      </c>
      <c r="L13" s="10">
        <f>K13-74.3138</f>
        <v>-28.424781358937764</v>
      </c>
      <c r="M13" s="10">
        <v>69.5</v>
      </c>
      <c r="N13" s="10">
        <f t="shared" ref="N13:N29" si="8">K13-M13</f>
        <v>-23.610981358937764</v>
      </c>
      <c r="O13" s="10">
        <f>IFERROR(6566790/21388,0)</f>
        <v>307.0315129979428</v>
      </c>
      <c r="P13" s="10">
        <v>455</v>
      </c>
      <c r="Q13" s="10">
        <f t="shared" ref="Q13:Q28" si="9">IFERROR(O13-P13,0)</f>
        <v>-147.9684870020572</v>
      </c>
      <c r="R13" s="6">
        <v>5071</v>
      </c>
      <c r="S13" s="10">
        <f t="shared" ref="S13:S28" si="10">IFERROR(R13/D13/F13*1000,0)</f>
        <v>54.831105921024175</v>
      </c>
      <c r="T13" s="12">
        <f t="shared" ref="T13:T29" si="11">IFERROR(J13/R13,0)</f>
        <v>8.3691579570104508</v>
      </c>
      <c r="U13" s="6">
        <v>12800</v>
      </c>
      <c r="V13" s="10">
        <f t="shared" ref="V13:V28" si="12">IFERROR(U13/D13/F13*1000,0)</f>
        <v>138.4023182388305</v>
      </c>
      <c r="W13" s="10">
        <f t="shared" ref="W13:W29" si="13">IFERROR(V13/S13,0)</f>
        <v>2.5241569710116347</v>
      </c>
      <c r="X13" s="10">
        <v>296.91250000000002</v>
      </c>
      <c r="Y13" s="10">
        <f t="shared" ref="Y13:Y28" si="14">IFERROR((F13*S13)/(F13*K13)*100,0)</f>
        <v>119.48633364750236</v>
      </c>
      <c r="Z13" s="10">
        <f t="shared" ref="Z13:Z29" si="15">IFERROR(Y13*X13/1000,0)</f>
        <v>35.476986039114045</v>
      </c>
      <c r="AA13" s="6">
        <v>0</v>
      </c>
      <c r="AB13" s="14">
        <f>IFERROR(AA13/1580,0)</f>
        <v>0</v>
      </c>
      <c r="AC13" s="10">
        <v>0</v>
      </c>
      <c r="AD13" s="14">
        <f>IFERROR(AC13/63.7,0)</f>
        <v>0</v>
      </c>
      <c r="AE13" s="10">
        <v>19</v>
      </c>
      <c r="AF13" s="10">
        <v>25</v>
      </c>
      <c r="AG13" s="6">
        <f t="shared" ref="AG13:AG28" si="16">IF(M13=0,0,IFERROR(N13/100*7*F13,0))</f>
        <v>-25475.776666666668</v>
      </c>
      <c r="AH13" s="6">
        <v>0</v>
      </c>
      <c r="AI13" s="6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2">
        <f>IFERROR(0/F13,0)</f>
        <v>0</v>
      </c>
      <c r="AP13" s="10">
        <v>0</v>
      </c>
      <c r="AQ13" s="6"/>
      <c r="AR13" s="6"/>
      <c r="AS13" s="6">
        <v>0</v>
      </c>
      <c r="AT13" s="6"/>
    </row>
    <row r="14" spans="1:46" x14ac:dyDescent="0.3">
      <c r="A14" s="5" t="s">
        <v>57</v>
      </c>
      <c r="B14" s="5">
        <v>99</v>
      </c>
      <c r="C14" s="7"/>
      <c r="D14" s="7">
        <v>2</v>
      </c>
      <c r="E14" s="7">
        <v>3499</v>
      </c>
      <c r="F14" s="7">
        <v>3559</v>
      </c>
      <c r="G14" s="7">
        <v>2</v>
      </c>
      <c r="H14" s="9">
        <f t="shared" si="6"/>
        <v>5.6195560550716497E-4</v>
      </c>
      <c r="I14" s="9">
        <f>IFERROR((3499-F14)/3499,0)</f>
        <v>-1.7147756501857674E-2</v>
      </c>
      <c r="J14" s="7">
        <v>2490</v>
      </c>
      <c r="K14" s="11">
        <f t="shared" si="7"/>
        <v>34.981736442821017</v>
      </c>
      <c r="L14" s="11">
        <f>K14-0</f>
        <v>34.981736442821017</v>
      </c>
      <c r="M14" s="11">
        <v>69.5</v>
      </c>
      <c r="N14" s="11">
        <f t="shared" si="8"/>
        <v>-34.518263557178983</v>
      </c>
      <c r="O14" s="11">
        <f>IFERROR(1079720/3499,0)</f>
        <v>308.5795941697628</v>
      </c>
      <c r="P14" s="11">
        <v>459</v>
      </c>
      <c r="Q14" s="11">
        <f t="shared" si="9"/>
        <v>-150.4204058302372</v>
      </c>
      <c r="R14" s="7">
        <v>650</v>
      </c>
      <c r="S14" s="11">
        <f t="shared" si="10"/>
        <v>91.317785894914309</v>
      </c>
      <c r="T14" s="13">
        <f t="shared" si="11"/>
        <v>3.8307692307692309</v>
      </c>
      <c r="U14" s="7">
        <v>0</v>
      </c>
      <c r="V14" s="11">
        <f t="shared" si="12"/>
        <v>0</v>
      </c>
      <c r="W14" s="11">
        <f t="shared" si="13"/>
        <v>0</v>
      </c>
      <c r="X14" s="11">
        <v>286.19</v>
      </c>
      <c r="Y14" s="11">
        <f t="shared" si="14"/>
        <v>261.04417670682733</v>
      </c>
      <c r="Z14" s="11">
        <f t="shared" si="15"/>
        <v>74.708232931726911</v>
      </c>
      <c r="AA14" s="7">
        <v>0</v>
      </c>
      <c r="AB14" s="15">
        <f>IFERROR(AA14/1580,0)</f>
        <v>0</v>
      </c>
      <c r="AC14" s="11">
        <v>0</v>
      </c>
      <c r="AD14" s="15">
        <f>IFERROR(AC14/63.7,0)</f>
        <v>0</v>
      </c>
      <c r="AE14" s="11">
        <v>15</v>
      </c>
      <c r="AF14" s="11">
        <v>25</v>
      </c>
      <c r="AG14" s="7">
        <f t="shared" si="16"/>
        <v>-8599.5350000000017</v>
      </c>
      <c r="AH14" s="7">
        <v>0</v>
      </c>
      <c r="AI14" s="7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3">
        <f>IFERROR(0/F14,0)</f>
        <v>0</v>
      </c>
      <c r="AP14" s="11">
        <v>0</v>
      </c>
      <c r="AQ14" s="7"/>
      <c r="AR14" s="7"/>
      <c r="AS14" s="7">
        <v>0</v>
      </c>
      <c r="AT14" s="7"/>
    </row>
    <row r="15" spans="1:46" x14ac:dyDescent="0.3">
      <c r="A15" s="5" t="s">
        <v>58</v>
      </c>
      <c r="B15" s="5">
        <v>39</v>
      </c>
      <c r="C15" s="7"/>
      <c r="D15" s="7">
        <v>7</v>
      </c>
      <c r="E15" s="7">
        <v>10225</v>
      </c>
      <c r="F15" s="7">
        <v>7191</v>
      </c>
      <c r="G15" s="7">
        <v>100</v>
      </c>
      <c r="H15" s="9">
        <f t="shared" si="6"/>
        <v>1.3906271728549576E-2</v>
      </c>
      <c r="I15" s="9">
        <f>IFERROR((10225-F15)/10225,0)</f>
        <v>0.29672371638141809</v>
      </c>
      <c r="J15" s="7">
        <v>37650</v>
      </c>
      <c r="K15" s="11">
        <f t="shared" si="7"/>
        <v>74.795875797127366</v>
      </c>
      <c r="L15" s="11">
        <f>K15-75.9841</f>
        <v>-1.1882242028726324</v>
      </c>
      <c r="M15" s="11">
        <v>92.5</v>
      </c>
      <c r="N15" s="11">
        <f t="shared" si="8"/>
        <v>-17.704124202872634</v>
      </c>
      <c r="O15" s="11">
        <f>IFERROR(2005220/10225,0)</f>
        <v>196.10953545232275</v>
      </c>
      <c r="P15" s="11">
        <v>130</v>
      </c>
      <c r="Q15" s="11">
        <f t="shared" si="9"/>
        <v>66.109535452322746</v>
      </c>
      <c r="R15" s="7">
        <v>7060</v>
      </c>
      <c r="S15" s="11">
        <f t="shared" si="10"/>
        <v>140.25468343365716</v>
      </c>
      <c r="T15" s="13">
        <f t="shared" si="11"/>
        <v>5.3328611898017</v>
      </c>
      <c r="U15" s="7">
        <v>12510</v>
      </c>
      <c r="V15" s="11">
        <f t="shared" si="12"/>
        <v>248.52494189165029</v>
      </c>
      <c r="W15" s="11">
        <f t="shared" si="13"/>
        <v>1.7719546742209631</v>
      </c>
      <c r="X15" s="11">
        <v>285.46142857140001</v>
      </c>
      <c r="Y15" s="11">
        <f t="shared" si="14"/>
        <v>187.51660026560427</v>
      </c>
      <c r="Z15" s="11">
        <f t="shared" si="15"/>
        <v>53.528756592671563</v>
      </c>
      <c r="AA15" s="7">
        <v>0</v>
      </c>
      <c r="AB15" s="15">
        <f>IFERROR(AA15/1930,0)</f>
        <v>0</v>
      </c>
      <c r="AC15" s="11">
        <v>0</v>
      </c>
      <c r="AD15" s="15">
        <f>IFERROR(AC15/62.4,0)</f>
        <v>0</v>
      </c>
      <c r="AE15" s="11">
        <v>14</v>
      </c>
      <c r="AF15" s="11">
        <v>25</v>
      </c>
      <c r="AG15" s="7">
        <f t="shared" si="16"/>
        <v>-8911.7249999999967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59</v>
      </c>
      <c r="B16" s="5">
        <v>87</v>
      </c>
      <c r="C16" s="7"/>
      <c r="D16" s="7">
        <v>7</v>
      </c>
      <c r="E16" s="7">
        <v>56050</v>
      </c>
      <c r="F16" s="7">
        <v>53793</v>
      </c>
      <c r="G16" s="7">
        <v>296</v>
      </c>
      <c r="H16" s="9">
        <f t="shared" si="6"/>
        <v>5.502574684438496E-3</v>
      </c>
      <c r="I16" s="9">
        <f>IFERROR((56050-F16)/56050,0)</f>
        <v>4.0267618198037466E-2</v>
      </c>
      <c r="J16" s="7">
        <v>300880</v>
      </c>
      <c r="K16" s="11">
        <f t="shared" si="7"/>
        <v>79.904182965919617</v>
      </c>
      <c r="L16" s="11">
        <f>K16-81.0519</f>
        <v>-1.1477170340803866</v>
      </c>
      <c r="M16" s="11">
        <v>82.8</v>
      </c>
      <c r="N16" s="11">
        <f t="shared" si="8"/>
        <v>-2.8958170340803804</v>
      </c>
      <c r="O16" s="11">
        <f>IFERROR(22574401/56050,0)</f>
        <v>402.75470115967886</v>
      </c>
      <c r="P16" s="11">
        <v>409</v>
      </c>
      <c r="Q16" s="11">
        <f t="shared" si="9"/>
        <v>-6.2452988403211407</v>
      </c>
      <c r="R16" s="7">
        <v>43660</v>
      </c>
      <c r="S16" s="11">
        <f t="shared" si="10"/>
        <v>115.94710942209686</v>
      </c>
      <c r="T16" s="13">
        <f t="shared" si="11"/>
        <v>6.8914338066880436</v>
      </c>
      <c r="U16" s="7">
        <v>68200</v>
      </c>
      <c r="V16" s="11">
        <f t="shared" si="12"/>
        <v>181.11756442022462</v>
      </c>
      <c r="W16" s="11">
        <f t="shared" si="13"/>
        <v>1.5620705451213928</v>
      </c>
      <c r="X16" s="11">
        <v>301.93</v>
      </c>
      <c r="Y16" s="11">
        <f t="shared" si="14"/>
        <v>145.10768412656211</v>
      </c>
      <c r="Z16" s="11">
        <f t="shared" si="15"/>
        <v>43.812363068332893</v>
      </c>
      <c r="AA16" s="7">
        <v>0</v>
      </c>
      <c r="AB16" s="15">
        <f>IFERROR(AA16/1725,0)</f>
        <v>0</v>
      </c>
      <c r="AC16" s="11">
        <v>0</v>
      </c>
      <c r="AD16" s="15">
        <f>IFERROR(AC16/64.95,0)</f>
        <v>0</v>
      </c>
      <c r="AE16" s="11">
        <v>20</v>
      </c>
      <c r="AF16" s="11">
        <v>26</v>
      </c>
      <c r="AG16" s="7">
        <f t="shared" si="16"/>
        <v>-10904.228000000014</v>
      </c>
      <c r="AH16" s="7">
        <v>28</v>
      </c>
      <c r="AI16" s="7">
        <v>18.571428571399998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IFERROR(1925/F16,0)</f>
        <v>3.5785325228189543E-2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60</v>
      </c>
      <c r="B17" s="5">
        <v>80</v>
      </c>
      <c r="C17" s="7">
        <v>7</v>
      </c>
      <c r="D17" s="7">
        <v>7</v>
      </c>
      <c r="E17" s="7">
        <v>51536</v>
      </c>
      <c r="F17" s="7">
        <v>48067</v>
      </c>
      <c r="G17" s="7">
        <v>71</v>
      </c>
      <c r="H17" s="9">
        <f t="shared" si="6"/>
        <v>1.4771048744460858E-3</v>
      </c>
      <c r="I17" s="9">
        <f>IFERROR((51536-F17)/51536,0)</f>
        <v>6.7312170133498911E-2</v>
      </c>
      <c r="J17" s="7">
        <v>271360</v>
      </c>
      <c r="K17" s="11">
        <f t="shared" si="7"/>
        <v>80.649331736356089</v>
      </c>
      <c r="L17" s="11">
        <f>K17-78.2003</f>
        <v>2.4490317363560905</v>
      </c>
      <c r="M17" s="11">
        <v>59</v>
      </c>
      <c r="N17" s="11">
        <f t="shared" si="8"/>
        <v>21.649331736356089</v>
      </c>
      <c r="O17" s="11">
        <f>IFERROR(17307202/51536,0)</f>
        <v>335.82742160819623</v>
      </c>
      <c r="P17" s="11">
        <v>0</v>
      </c>
      <c r="Q17" s="11">
        <f t="shared" si="9"/>
        <v>335.82742160819623</v>
      </c>
      <c r="R17" s="7">
        <v>40240</v>
      </c>
      <c r="S17" s="11">
        <f t="shared" si="10"/>
        <v>119.59497011611768</v>
      </c>
      <c r="T17" s="13">
        <f t="shared" si="11"/>
        <v>6.7435387673956262</v>
      </c>
      <c r="U17" s="7">
        <v>76469</v>
      </c>
      <c r="V17" s="11">
        <f t="shared" si="12"/>
        <v>227.26907976663526</v>
      </c>
      <c r="W17" s="11">
        <f t="shared" si="13"/>
        <v>1.9003230616302187</v>
      </c>
      <c r="X17" s="11">
        <v>299.67</v>
      </c>
      <c r="Y17" s="11">
        <f t="shared" si="14"/>
        <v>148.29009433962264</v>
      </c>
      <c r="Z17" s="11">
        <f t="shared" si="15"/>
        <v>44.438092570754719</v>
      </c>
      <c r="AA17" s="7">
        <v>1705</v>
      </c>
      <c r="AB17" s="15">
        <f>IFERROR(AA17/1725,0)</f>
        <v>0.98840579710144927</v>
      </c>
      <c r="AC17" s="11">
        <v>0</v>
      </c>
      <c r="AD17" s="15">
        <f>IFERROR(AC17/64.15,0)</f>
        <v>0</v>
      </c>
      <c r="AE17" s="11">
        <v>22</v>
      </c>
      <c r="AF17" s="11">
        <v>25</v>
      </c>
      <c r="AG17" s="7">
        <f t="shared" si="16"/>
        <v>72843.289999999979</v>
      </c>
      <c r="AH17" s="7">
        <v>55</v>
      </c>
      <c r="AI17" s="7">
        <v>20</v>
      </c>
      <c r="AJ17" s="11">
        <v>14</v>
      </c>
      <c r="AK17" s="11">
        <v>14</v>
      </c>
      <c r="AL17" s="11">
        <v>0</v>
      </c>
      <c r="AM17" s="11">
        <v>0</v>
      </c>
      <c r="AN17" s="11">
        <v>0</v>
      </c>
      <c r="AO17" s="13">
        <f>IFERROR(1050/F17,0)</f>
        <v>2.1844508706597043E-2</v>
      </c>
      <c r="AP17" s="11">
        <v>1500</v>
      </c>
      <c r="AQ17" s="7"/>
      <c r="AR17" s="7"/>
      <c r="AS17" s="7">
        <v>14</v>
      </c>
      <c r="AT17" s="7"/>
    </row>
    <row r="18" spans="1:46" x14ac:dyDescent="0.3">
      <c r="A18" s="5" t="s">
        <v>61</v>
      </c>
      <c r="B18" s="5">
        <v>27</v>
      </c>
      <c r="C18" s="7"/>
      <c r="D18" s="7">
        <v>7</v>
      </c>
      <c r="E18" s="7">
        <v>49067</v>
      </c>
      <c r="F18" s="7">
        <v>48101</v>
      </c>
      <c r="G18" s="7">
        <v>194</v>
      </c>
      <c r="H18" s="9">
        <f t="shared" si="6"/>
        <v>4.033180183364171E-3</v>
      </c>
      <c r="I18" s="9">
        <f>IFERROR((49067-F18)/49067,0)</f>
        <v>1.9687366254305338E-2</v>
      </c>
      <c r="J18" s="7">
        <v>326360</v>
      </c>
      <c r="K18" s="11">
        <f t="shared" si="7"/>
        <v>96.927001814634096</v>
      </c>
      <c r="L18" s="11">
        <f>K18-93.0709</f>
        <v>3.8561018146341013</v>
      </c>
      <c r="M18" s="11">
        <v>95.25</v>
      </c>
      <c r="N18" s="11">
        <f t="shared" si="8"/>
        <v>1.6770018146340959</v>
      </c>
      <c r="O18" s="11">
        <f>IFERROR(2295970/49067,0)</f>
        <v>46.792548963661929</v>
      </c>
      <c r="P18" s="11">
        <v>46</v>
      </c>
      <c r="Q18" s="11">
        <f t="shared" si="9"/>
        <v>0.79254896366192895</v>
      </c>
      <c r="R18" s="7">
        <v>37490</v>
      </c>
      <c r="S18" s="11">
        <f t="shared" si="10"/>
        <v>111.34309652011986</v>
      </c>
      <c r="T18" s="13">
        <f t="shared" si="11"/>
        <v>8.7052547345958917</v>
      </c>
      <c r="U18" s="7">
        <v>62540</v>
      </c>
      <c r="V18" s="11">
        <f t="shared" si="12"/>
        <v>185.74012420294201</v>
      </c>
      <c r="W18" s="11">
        <f t="shared" si="13"/>
        <v>1.6681781808482263</v>
      </c>
      <c r="X18" s="11">
        <v>299.09571428570001</v>
      </c>
      <c r="Y18" s="11">
        <f t="shared" si="14"/>
        <v>114.87314621889936</v>
      </c>
      <c r="Z18" s="11">
        <f t="shared" si="15"/>
        <v>34.358065720587362</v>
      </c>
      <c r="AA18" s="7">
        <v>1559</v>
      </c>
      <c r="AB18" s="15">
        <f>IFERROR(AA18/1590,0)</f>
        <v>0.98050314465408805</v>
      </c>
      <c r="AC18" s="11">
        <v>0</v>
      </c>
      <c r="AD18" s="15">
        <f>IFERROR(AC18/56.55,0)</f>
        <v>0</v>
      </c>
      <c r="AE18" s="11">
        <v>23</v>
      </c>
      <c r="AF18" s="11">
        <v>25</v>
      </c>
      <c r="AG18" s="7">
        <f t="shared" si="16"/>
        <v>5646.582500000025</v>
      </c>
      <c r="AH18" s="7">
        <v>25</v>
      </c>
      <c r="AI18" s="7">
        <v>20</v>
      </c>
      <c r="AJ18" s="11">
        <v>8</v>
      </c>
      <c r="AK18" s="11">
        <v>8</v>
      </c>
      <c r="AL18" s="11">
        <v>0</v>
      </c>
      <c r="AM18" s="11">
        <v>0</v>
      </c>
      <c r="AN18" s="11">
        <v>0</v>
      </c>
      <c r="AO18" s="13">
        <f>IFERROR(0/F18,0)</f>
        <v>0</v>
      </c>
      <c r="AP18" s="11">
        <v>1500</v>
      </c>
      <c r="AQ18" s="7"/>
      <c r="AR18" s="7"/>
      <c r="AS18" s="7">
        <v>14.3</v>
      </c>
      <c r="AT18" s="7"/>
    </row>
    <row r="19" spans="1:46" x14ac:dyDescent="0.3">
      <c r="A19" s="5" t="s">
        <v>62</v>
      </c>
      <c r="B19" s="5">
        <v>59</v>
      </c>
      <c r="C19" s="7"/>
      <c r="D19" s="7">
        <v>7</v>
      </c>
      <c r="E19" s="7">
        <v>52424</v>
      </c>
      <c r="F19" s="7">
        <v>43772</v>
      </c>
      <c r="G19" s="7">
        <v>537</v>
      </c>
      <c r="H19" s="9">
        <f t="shared" si="6"/>
        <v>1.2268116604221876E-2</v>
      </c>
      <c r="I19" s="9">
        <f>IFERROR((52424-F19)/52424,0)</f>
        <v>0.16503891347474439</v>
      </c>
      <c r="J19" s="7">
        <v>290680</v>
      </c>
      <c r="K19" s="11">
        <f t="shared" si="7"/>
        <v>94.868213208704844</v>
      </c>
      <c r="L19" s="11">
        <f>K19-87.7281</f>
        <v>7.1401132087048467</v>
      </c>
      <c r="M19" s="11">
        <v>91.65</v>
      </c>
      <c r="N19" s="11">
        <f t="shared" si="8"/>
        <v>3.2182132087048387</v>
      </c>
      <c r="O19" s="11">
        <f>IFERROR(12112580/52424,0)</f>
        <v>231.05028231344423</v>
      </c>
      <c r="P19" s="11">
        <v>250</v>
      </c>
      <c r="Q19" s="11">
        <f t="shared" si="9"/>
        <v>-18.949717686555772</v>
      </c>
      <c r="R19" s="7">
        <v>37702</v>
      </c>
      <c r="S19" s="11">
        <f t="shared" si="10"/>
        <v>123.04669651832222</v>
      </c>
      <c r="T19" s="13">
        <f t="shared" si="11"/>
        <v>7.709935812423744</v>
      </c>
      <c r="U19" s="7">
        <v>55198</v>
      </c>
      <c r="V19" s="11">
        <f t="shared" si="12"/>
        <v>180.14777874962468</v>
      </c>
      <c r="W19" s="11">
        <f t="shared" si="13"/>
        <v>1.4640602620550633</v>
      </c>
      <c r="X19" s="11">
        <v>293.72571428570001</v>
      </c>
      <c r="Y19" s="11">
        <f t="shared" si="14"/>
        <v>129.70276592816842</v>
      </c>
      <c r="Z19" s="11">
        <f t="shared" si="15"/>
        <v>38.097037567082225</v>
      </c>
      <c r="AA19" s="7">
        <v>1691</v>
      </c>
      <c r="AB19" s="15">
        <f>IFERROR(AA19/1725,0)</f>
        <v>0.9802898550724638</v>
      </c>
      <c r="AC19" s="11">
        <v>61.33</v>
      </c>
      <c r="AD19" s="15">
        <f>IFERROR(AC19/63.15,0)</f>
        <v>0.97117973079968334</v>
      </c>
      <c r="AE19" s="11">
        <v>22</v>
      </c>
      <c r="AF19" s="11">
        <v>25</v>
      </c>
      <c r="AG19" s="7">
        <f t="shared" si="16"/>
        <v>9860.7339999999731</v>
      </c>
      <c r="AH19" s="7">
        <v>32</v>
      </c>
      <c r="AI19" s="7">
        <v>20</v>
      </c>
      <c r="AJ19" s="11">
        <v>13</v>
      </c>
      <c r="AK19" s="11">
        <v>11</v>
      </c>
      <c r="AL19" s="11">
        <v>0</v>
      </c>
      <c r="AM19" s="11">
        <v>0</v>
      </c>
      <c r="AN19" s="11">
        <v>0</v>
      </c>
      <c r="AO19" s="13">
        <f>IFERROR(1400/F19,0)</f>
        <v>3.1983916659051446E-2</v>
      </c>
      <c r="AP19" s="11">
        <v>1800</v>
      </c>
      <c r="AQ19" s="7"/>
      <c r="AR19" s="7"/>
      <c r="AS19" s="7">
        <v>14.45</v>
      </c>
      <c r="AT19" s="7"/>
    </row>
    <row r="20" spans="1:46" x14ac:dyDescent="0.3">
      <c r="A20" s="5" t="s">
        <v>63</v>
      </c>
      <c r="B20" s="5">
        <v>49</v>
      </c>
      <c r="C20" s="7"/>
      <c r="D20" s="7">
        <v>7</v>
      </c>
      <c r="E20" s="7">
        <v>50525</v>
      </c>
      <c r="F20" s="7">
        <v>46355</v>
      </c>
      <c r="G20" s="7">
        <v>185</v>
      </c>
      <c r="H20" s="9">
        <f t="shared" si="6"/>
        <v>3.9909394887282928E-3</v>
      </c>
      <c r="I20" s="9">
        <f>IFERROR((50525-F20)/50525,0)</f>
        <v>8.253339930727363E-2</v>
      </c>
      <c r="J20" s="7">
        <v>284460</v>
      </c>
      <c r="K20" s="11">
        <f t="shared" si="7"/>
        <v>87.665069263602319</v>
      </c>
      <c r="L20" s="11">
        <f>K20-87.0035</f>
        <v>0.66156926360231694</v>
      </c>
      <c r="M20" s="11">
        <v>91</v>
      </c>
      <c r="N20" s="11">
        <f t="shared" si="8"/>
        <v>-3.3349307363976806</v>
      </c>
      <c r="O20" s="11">
        <f>IFERROR(8830530/50525,0)</f>
        <v>174.77545769421079</v>
      </c>
      <c r="P20" s="11">
        <v>190</v>
      </c>
      <c r="Q20" s="11">
        <f t="shared" si="9"/>
        <v>-15.224542305789214</v>
      </c>
      <c r="R20" s="7">
        <v>36980</v>
      </c>
      <c r="S20" s="11">
        <f t="shared" si="10"/>
        <v>113.96520640399403</v>
      </c>
      <c r="T20" s="13">
        <f t="shared" si="11"/>
        <v>7.6922660897782587</v>
      </c>
      <c r="U20" s="7">
        <v>64347</v>
      </c>
      <c r="V20" s="11">
        <f t="shared" si="12"/>
        <v>198.30500639474857</v>
      </c>
      <c r="W20" s="11">
        <f t="shared" si="13"/>
        <v>1.740048674959437</v>
      </c>
      <c r="X20" s="11">
        <v>307.66714285709998</v>
      </c>
      <c r="Y20" s="11">
        <f t="shared" si="14"/>
        <v>130.00070308654998</v>
      </c>
      <c r="Z20" s="11">
        <f t="shared" si="15"/>
        <v>39.996944888053008</v>
      </c>
      <c r="AA20" s="7">
        <v>1707</v>
      </c>
      <c r="AB20" s="15">
        <f>IFERROR(AA20/1580,0)</f>
        <v>1.080379746835443</v>
      </c>
      <c r="AC20" s="11">
        <v>61.01</v>
      </c>
      <c r="AD20" s="15">
        <f>IFERROR(AC20/62.2,0)</f>
        <v>0.98086816720257231</v>
      </c>
      <c r="AE20" s="11">
        <v>20</v>
      </c>
      <c r="AF20" s="11">
        <v>26</v>
      </c>
      <c r="AG20" s="7">
        <f t="shared" si="16"/>
        <v>-10821.350000000015</v>
      </c>
      <c r="AH20" s="7">
        <v>30</v>
      </c>
      <c r="AI20" s="7">
        <v>20</v>
      </c>
      <c r="AJ20" s="11">
        <v>11</v>
      </c>
      <c r="AK20" s="11">
        <v>11</v>
      </c>
      <c r="AL20" s="11">
        <v>0</v>
      </c>
      <c r="AM20" s="11">
        <v>0</v>
      </c>
      <c r="AN20" s="11">
        <v>0</v>
      </c>
      <c r="AO20" s="13">
        <f>IFERROR(1400/F20,0)</f>
        <v>3.0201704239024917E-2</v>
      </c>
      <c r="AP20" s="11">
        <v>1800</v>
      </c>
      <c r="AQ20" s="7"/>
      <c r="AR20" s="7"/>
      <c r="AS20" s="7">
        <v>14.45</v>
      </c>
      <c r="AT20" s="7"/>
    </row>
    <row r="21" spans="1:46" x14ac:dyDescent="0.3">
      <c r="A21" s="5" t="s">
        <v>64</v>
      </c>
      <c r="B21" s="5">
        <v>68</v>
      </c>
      <c r="C21" s="7"/>
      <c r="D21" s="7">
        <v>7</v>
      </c>
      <c r="E21" s="7">
        <v>50845</v>
      </c>
      <c r="F21" s="7">
        <v>46929</v>
      </c>
      <c r="G21" s="7">
        <v>146</v>
      </c>
      <c r="H21" s="9">
        <f t="shared" si="6"/>
        <v>3.1110826993969612E-3</v>
      </c>
      <c r="I21" s="9">
        <f>IFERROR((50845-F21)/50845,0)</f>
        <v>7.7018389222145739E-2</v>
      </c>
      <c r="J21" s="7">
        <v>288380</v>
      </c>
      <c r="K21" s="11">
        <f t="shared" si="7"/>
        <v>87.786108498248112</v>
      </c>
      <c r="L21" s="11">
        <f>K21-88.0601</f>
        <v>-0.27399150175189391</v>
      </c>
      <c r="M21" s="11">
        <v>89</v>
      </c>
      <c r="N21" s="11">
        <f t="shared" si="8"/>
        <v>-1.2138915017518883</v>
      </c>
      <c r="O21" s="11">
        <f>IFERROR(15191190/50845,0)</f>
        <v>298.77451076802043</v>
      </c>
      <c r="P21" s="11">
        <v>304</v>
      </c>
      <c r="Q21" s="11">
        <f t="shared" si="9"/>
        <v>-5.2254892319795658</v>
      </c>
      <c r="R21" s="7">
        <v>37707</v>
      </c>
      <c r="S21" s="11">
        <f t="shared" si="10"/>
        <v>114.78433986904228</v>
      </c>
      <c r="T21" s="13">
        <f t="shared" si="11"/>
        <v>7.6479168324183835</v>
      </c>
      <c r="U21" s="7">
        <v>65300</v>
      </c>
      <c r="V21" s="11">
        <f t="shared" si="12"/>
        <v>198.78052864052995</v>
      </c>
      <c r="W21" s="11">
        <f t="shared" si="13"/>
        <v>1.7317739411780311</v>
      </c>
      <c r="X21" s="11">
        <v>313.27142857140001</v>
      </c>
      <c r="Y21" s="11">
        <f t="shared" si="14"/>
        <v>130.75455995561413</v>
      </c>
      <c r="Z21" s="11">
        <f t="shared" si="15"/>
        <v>40.961667789520014</v>
      </c>
      <c r="AA21" s="7">
        <v>1716</v>
      </c>
      <c r="AB21" s="15">
        <f>IFERROR(AA21/1725,0)</f>
        <v>0.99478260869565216</v>
      </c>
      <c r="AC21" s="11">
        <v>61.61</v>
      </c>
      <c r="AD21" s="15">
        <f>IFERROR(AC21/63.6,0)</f>
        <v>0.96871069182389935</v>
      </c>
      <c r="AE21" s="11">
        <v>20</v>
      </c>
      <c r="AF21" s="11">
        <v>25</v>
      </c>
      <c r="AG21" s="7">
        <f t="shared" si="16"/>
        <v>-3987.6700000000055</v>
      </c>
      <c r="AH21" s="7">
        <v>36</v>
      </c>
      <c r="AI21" s="7">
        <v>17.222222222199999</v>
      </c>
      <c r="AJ21" s="11">
        <v>15</v>
      </c>
      <c r="AK21" s="11">
        <v>14</v>
      </c>
      <c r="AL21" s="11">
        <v>0</v>
      </c>
      <c r="AM21" s="11">
        <v>0</v>
      </c>
      <c r="AN21" s="11">
        <v>0</v>
      </c>
      <c r="AO21" s="13">
        <f>IFERROR(1400/F21,0)</f>
        <v>2.9832299857231136E-2</v>
      </c>
      <c r="AP21" s="11">
        <v>1800</v>
      </c>
      <c r="AQ21" s="7"/>
      <c r="AR21" s="7"/>
      <c r="AS21" s="7">
        <v>15</v>
      </c>
      <c r="AT21" s="7"/>
    </row>
    <row r="22" spans="1:46" x14ac:dyDescent="0.3">
      <c r="A22" s="5" t="s">
        <v>65</v>
      </c>
      <c r="B22" s="5">
        <v>35</v>
      </c>
      <c r="C22" s="7"/>
      <c r="D22" s="7">
        <v>7</v>
      </c>
      <c r="E22" s="7">
        <v>21024</v>
      </c>
      <c r="F22" s="7">
        <v>19942</v>
      </c>
      <c r="G22" s="7">
        <v>67</v>
      </c>
      <c r="H22" s="9">
        <f t="shared" si="6"/>
        <v>3.3597432554407784E-3</v>
      </c>
      <c r="I22" s="9">
        <f>IFERROR((21024-F22)/21024,0)</f>
        <v>5.1464992389649925E-2</v>
      </c>
      <c r="J22" s="7">
        <v>111510</v>
      </c>
      <c r="K22" s="11">
        <f t="shared" si="7"/>
        <v>79.881656804733723</v>
      </c>
      <c r="L22" s="11">
        <f>K22-75.0734</f>
        <v>4.8082568047337162</v>
      </c>
      <c r="M22" s="11">
        <v>94.5</v>
      </c>
      <c r="N22" s="11">
        <f t="shared" si="8"/>
        <v>-14.618343195266277</v>
      </c>
      <c r="O22" s="11">
        <f>IFERROR(1354320/21024,0)</f>
        <v>64.417808219178085</v>
      </c>
      <c r="P22" s="11">
        <v>104</v>
      </c>
      <c r="Q22" s="11">
        <f t="shared" si="9"/>
        <v>-39.582191780821915</v>
      </c>
      <c r="R22" s="7">
        <v>17780</v>
      </c>
      <c r="S22" s="11">
        <f t="shared" si="10"/>
        <v>127.36937117641159</v>
      </c>
      <c r="T22" s="13">
        <f t="shared" si="11"/>
        <v>6.271653543307087</v>
      </c>
      <c r="U22" s="7">
        <v>22870</v>
      </c>
      <c r="V22" s="11">
        <f t="shared" si="12"/>
        <v>163.83225640070492</v>
      </c>
      <c r="W22" s="11">
        <f t="shared" si="13"/>
        <v>1.2862767154105739</v>
      </c>
      <c r="X22" s="11">
        <v>294.40285714290002</v>
      </c>
      <c r="Y22" s="11">
        <f t="shared" si="14"/>
        <v>159.44758317639673</v>
      </c>
      <c r="Z22" s="11">
        <f t="shared" si="15"/>
        <v>46.941824051661392</v>
      </c>
      <c r="AA22" s="7">
        <v>1920</v>
      </c>
      <c r="AB22" s="15">
        <f>IFERROR(AA22/1910,0)</f>
        <v>1.0052356020942408</v>
      </c>
      <c r="AC22" s="11">
        <v>0</v>
      </c>
      <c r="AD22" s="15">
        <f>IFERROR(AC22/61.8,0)</f>
        <v>0</v>
      </c>
      <c r="AE22" s="11">
        <v>19</v>
      </c>
      <c r="AF22" s="11">
        <v>26</v>
      </c>
      <c r="AG22" s="7">
        <f t="shared" si="16"/>
        <v>-20406.330000000009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>
        <f>IFERROR(0/F22,0)</f>
        <v>0</v>
      </c>
      <c r="AP22" s="11">
        <v>0</v>
      </c>
      <c r="AQ22" s="7"/>
      <c r="AR22" s="7"/>
      <c r="AS22" s="7">
        <v>0</v>
      </c>
      <c r="AT22" s="7"/>
    </row>
    <row r="23" spans="1:46" x14ac:dyDescent="0.3">
      <c r="A23" s="5" t="s">
        <v>66</v>
      </c>
      <c r="B23" s="5">
        <v>59</v>
      </c>
      <c r="C23" s="7"/>
      <c r="D23" s="7">
        <v>7</v>
      </c>
      <c r="E23" s="7">
        <v>21875</v>
      </c>
      <c r="F23" s="7">
        <v>20352</v>
      </c>
      <c r="G23" s="7">
        <v>106</v>
      </c>
      <c r="H23" s="9">
        <f t="shared" si="6"/>
        <v>5.208333333333333E-3</v>
      </c>
      <c r="I23" s="9">
        <f>IFERROR((21875-F23)/21875,0)</f>
        <v>6.9622857142857139E-2</v>
      </c>
      <c r="J23" s="7">
        <v>272940</v>
      </c>
      <c r="K23" s="11">
        <f t="shared" si="7"/>
        <v>191.58524258760107</v>
      </c>
      <c r="L23" s="11">
        <f>K23-89.291</f>
        <v>102.29424258760108</v>
      </c>
      <c r="M23" s="11">
        <v>86</v>
      </c>
      <c r="N23" s="11">
        <f t="shared" si="8"/>
        <v>105.58524258760107</v>
      </c>
      <c r="O23" s="11">
        <f>IFERROR(5635920/21875,0)</f>
        <v>257.64205714285714</v>
      </c>
      <c r="P23" s="11">
        <v>252</v>
      </c>
      <c r="Q23" s="11">
        <f t="shared" si="9"/>
        <v>5.6420571428571407</v>
      </c>
      <c r="R23" s="7">
        <v>17210</v>
      </c>
      <c r="S23" s="11">
        <f t="shared" si="10"/>
        <v>120.80244833782569</v>
      </c>
      <c r="T23" s="13">
        <f t="shared" si="11"/>
        <v>15.859384079023823</v>
      </c>
      <c r="U23" s="7">
        <v>27598</v>
      </c>
      <c r="V23" s="11">
        <f t="shared" si="12"/>
        <v>193.71911500449235</v>
      </c>
      <c r="W23" s="11">
        <f t="shared" si="13"/>
        <v>1.6036025566531087</v>
      </c>
      <c r="X23" s="11">
        <v>293.18428571430002</v>
      </c>
      <c r="Y23" s="11">
        <f t="shared" si="14"/>
        <v>63.054151095478872</v>
      </c>
      <c r="Z23" s="11">
        <f t="shared" si="15"/>
        <v>18.48648625024952</v>
      </c>
      <c r="AA23" s="7">
        <v>1965</v>
      </c>
      <c r="AB23" s="15">
        <f>IFERROR(AA23/1960,0)</f>
        <v>1.0025510204081634</v>
      </c>
      <c r="AC23" s="11">
        <v>65.37</v>
      </c>
      <c r="AD23" s="15">
        <f>IFERROR(AC23/63.7,0)</f>
        <v>1.0262166405023547</v>
      </c>
      <c r="AE23" s="11">
        <v>22</v>
      </c>
      <c r="AF23" s="11">
        <v>25</v>
      </c>
      <c r="AG23" s="7">
        <f t="shared" si="16"/>
        <v>150420.96</v>
      </c>
      <c r="AH23" s="7">
        <v>0</v>
      </c>
      <c r="AI23" s="7">
        <v>0</v>
      </c>
      <c r="AJ23" s="11">
        <v>6</v>
      </c>
      <c r="AK23" s="11">
        <v>4</v>
      </c>
      <c r="AL23" s="11">
        <v>0</v>
      </c>
      <c r="AM23" s="11">
        <v>0</v>
      </c>
      <c r="AN23" s="11">
        <v>0</v>
      </c>
      <c r="AO23" s="13">
        <f>IFERROR(595/F23,0)</f>
        <v>2.9235455974842766E-2</v>
      </c>
      <c r="AP23" s="11">
        <v>1800</v>
      </c>
      <c r="AQ23" s="7"/>
      <c r="AR23" s="7"/>
      <c r="AS23" s="7">
        <v>14.45</v>
      </c>
      <c r="AT23" s="7"/>
    </row>
    <row r="24" spans="1:46" x14ac:dyDescent="0.3">
      <c r="A24" s="5" t="s">
        <v>68</v>
      </c>
      <c r="B24" s="5">
        <v>49</v>
      </c>
      <c r="C24" s="7"/>
      <c r="D24" s="7">
        <v>7</v>
      </c>
      <c r="E24" s="7">
        <v>21339</v>
      </c>
      <c r="F24" s="7">
        <v>20315</v>
      </c>
      <c r="G24" s="7">
        <v>43</v>
      </c>
      <c r="H24" s="9">
        <f t="shared" si="6"/>
        <v>2.1166625646074329E-3</v>
      </c>
      <c r="I24" s="9">
        <f>IFERROR((21339-F24)/21339,0)</f>
        <v>4.7987253385819391E-2</v>
      </c>
      <c r="J24" s="7">
        <v>130100</v>
      </c>
      <c r="K24" s="11">
        <f t="shared" si="7"/>
        <v>91.48764108153722</v>
      </c>
      <c r="L24" s="11">
        <f>K24-88.5787</f>
        <v>2.9089410815372219</v>
      </c>
      <c r="M24" s="11">
        <v>89</v>
      </c>
      <c r="N24" s="11">
        <f t="shared" si="8"/>
        <v>2.4876410815372196</v>
      </c>
      <c r="O24" s="11">
        <f>IFERROR(3917620/21339,0)</f>
        <v>183.58967149350954</v>
      </c>
      <c r="P24" s="11">
        <v>192</v>
      </c>
      <c r="Q24" s="11">
        <f t="shared" si="9"/>
        <v>-8.4103285064904583</v>
      </c>
      <c r="R24" s="7">
        <v>17590</v>
      </c>
      <c r="S24" s="11">
        <f t="shared" si="10"/>
        <v>123.69466615097922</v>
      </c>
      <c r="T24" s="13">
        <f t="shared" si="11"/>
        <v>7.3962478681068786</v>
      </c>
      <c r="U24" s="7">
        <v>32173</v>
      </c>
      <c r="V24" s="11">
        <f t="shared" si="12"/>
        <v>226.24380296051476</v>
      </c>
      <c r="W24" s="11">
        <f t="shared" si="13"/>
        <v>1.8290505969300741</v>
      </c>
      <c r="X24" s="11">
        <v>290.7928571429</v>
      </c>
      <c r="Y24" s="11">
        <f t="shared" si="14"/>
        <v>135.20368946963873</v>
      </c>
      <c r="Z24" s="11">
        <f t="shared" si="15"/>
        <v>39.316267157137673</v>
      </c>
      <c r="AA24" s="7">
        <v>1939</v>
      </c>
      <c r="AB24" s="15">
        <f>IFERROR(AA24/1950,0)</f>
        <v>0.99435897435897436</v>
      </c>
      <c r="AC24" s="11">
        <v>64.709999999999994</v>
      </c>
      <c r="AD24" s="15">
        <f>IFERROR(AC24/63.3,0)</f>
        <v>1.0222748815165876</v>
      </c>
      <c r="AE24" s="11">
        <v>20</v>
      </c>
      <c r="AF24" s="11">
        <v>26</v>
      </c>
      <c r="AG24" s="7">
        <f t="shared" si="16"/>
        <v>3537.5500000000029</v>
      </c>
      <c r="AH24" s="7">
        <v>0</v>
      </c>
      <c r="AI24" s="7">
        <v>0</v>
      </c>
      <c r="AJ24" s="11">
        <v>9</v>
      </c>
      <c r="AK24" s="11">
        <v>11</v>
      </c>
      <c r="AL24" s="11">
        <v>0</v>
      </c>
      <c r="AM24" s="11">
        <v>0</v>
      </c>
      <c r="AN24" s="11">
        <v>0</v>
      </c>
      <c r="AO24" s="13">
        <f>IFERROR(490/F24,0)</f>
        <v>2.4120108294363771E-2</v>
      </c>
      <c r="AP24" s="11">
        <v>1800</v>
      </c>
      <c r="AQ24" s="7"/>
      <c r="AR24" s="7"/>
      <c r="AS24" s="7">
        <v>14.45</v>
      </c>
      <c r="AT24" s="7"/>
    </row>
    <row r="25" spans="1:46" x14ac:dyDescent="0.3">
      <c r="A25" s="5" t="s">
        <v>69</v>
      </c>
      <c r="B25" s="5">
        <v>36</v>
      </c>
      <c r="C25" s="7"/>
      <c r="D25" s="7">
        <v>7</v>
      </c>
      <c r="E25" s="7">
        <v>64976</v>
      </c>
      <c r="F25" s="7">
        <v>62936</v>
      </c>
      <c r="G25" s="7">
        <v>101</v>
      </c>
      <c r="H25" s="9">
        <f t="shared" si="6"/>
        <v>1.6048048811491038E-3</v>
      </c>
      <c r="I25" s="9">
        <f>IFERROR((64976-F25)/64976,0)</f>
        <v>3.1396207830583597E-2</v>
      </c>
      <c r="J25" s="7">
        <v>426260</v>
      </c>
      <c r="K25" s="11">
        <f t="shared" si="7"/>
        <v>96.755888067696887</v>
      </c>
      <c r="L25" s="11">
        <f>K25-96.7278</f>
        <v>2.8088067696884877E-2</v>
      </c>
      <c r="M25" s="11">
        <v>94.5</v>
      </c>
      <c r="N25" s="11">
        <f t="shared" si="8"/>
        <v>2.2558880676968869</v>
      </c>
      <c r="O25" s="11">
        <f>IFERROR(6957080/64976,0)</f>
        <v>107.07153410490027</v>
      </c>
      <c r="P25" s="11">
        <v>107</v>
      </c>
      <c r="Q25" s="11">
        <f t="shared" si="9"/>
        <v>7.1534104900266016E-2</v>
      </c>
      <c r="R25" s="7">
        <v>52630</v>
      </c>
      <c r="S25" s="11">
        <f t="shared" si="10"/>
        <v>119.46376364197643</v>
      </c>
      <c r="T25" s="13">
        <f t="shared" si="11"/>
        <v>8.0991829754892652</v>
      </c>
      <c r="U25" s="7">
        <v>98070</v>
      </c>
      <c r="V25" s="11">
        <f t="shared" si="12"/>
        <v>222.60709291979154</v>
      </c>
      <c r="W25" s="11">
        <f t="shared" si="13"/>
        <v>1.8633859015770473</v>
      </c>
      <c r="X25" s="11">
        <v>294.12285714289999</v>
      </c>
      <c r="Y25" s="11">
        <f t="shared" si="14"/>
        <v>123.46924412330502</v>
      </c>
      <c r="Z25" s="11">
        <f t="shared" si="15"/>
        <v>36.315126850820683</v>
      </c>
      <c r="AA25" s="7">
        <v>1669</v>
      </c>
      <c r="AB25" s="15">
        <f>IFERROR(AA25/1560,0)</f>
        <v>1.0698717948717948</v>
      </c>
      <c r="AC25" s="11">
        <v>0</v>
      </c>
      <c r="AD25" s="15">
        <f>IFERROR(AC25/60,0)</f>
        <v>0</v>
      </c>
      <c r="AE25" s="11">
        <v>20</v>
      </c>
      <c r="AF25" s="11">
        <v>25</v>
      </c>
      <c r="AG25" s="7">
        <f t="shared" si="16"/>
        <v>9938.3599999999897</v>
      </c>
      <c r="AH25" s="7">
        <v>27</v>
      </c>
      <c r="AI25" s="7">
        <v>20</v>
      </c>
      <c r="AJ25" s="11">
        <v>12</v>
      </c>
      <c r="AK25" s="11">
        <v>12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1500</v>
      </c>
      <c r="AQ25" s="7"/>
      <c r="AR25" s="7"/>
      <c r="AS25" s="7">
        <v>14</v>
      </c>
      <c r="AT25" s="7"/>
    </row>
    <row r="26" spans="1:46" x14ac:dyDescent="0.3">
      <c r="A26" s="5" t="s">
        <v>70</v>
      </c>
      <c r="B26" s="5">
        <v>107</v>
      </c>
      <c r="C26" s="7">
        <v>35</v>
      </c>
      <c r="D26" s="7">
        <v>7</v>
      </c>
      <c r="E26" s="7">
        <v>47224</v>
      </c>
      <c r="F26" s="7">
        <v>39953</v>
      </c>
      <c r="G26" s="7">
        <v>142</v>
      </c>
      <c r="H26" s="9">
        <f t="shared" si="6"/>
        <v>3.5541761569844567E-3</v>
      </c>
      <c r="I26" s="9">
        <f>IFERROR((47224-F26)/47224,0)</f>
        <v>0.15396832119261392</v>
      </c>
      <c r="J26" s="7">
        <v>159580</v>
      </c>
      <c r="K26" s="11">
        <f t="shared" si="7"/>
        <v>57.059902528327932</v>
      </c>
      <c r="L26" s="11">
        <f>K26-55.1646</f>
        <v>1.8953025283279317</v>
      </c>
      <c r="M26" s="11">
        <v>70</v>
      </c>
      <c r="N26" s="11">
        <f t="shared" si="8"/>
        <v>-12.940097471672068</v>
      </c>
      <c r="O26" s="11">
        <f>IFERROR(18902760/47224,0)</f>
        <v>400.27867186176519</v>
      </c>
      <c r="P26" s="11">
        <v>0</v>
      </c>
      <c r="Q26" s="11">
        <f t="shared" si="9"/>
        <v>400.27867186176519</v>
      </c>
      <c r="R26" s="7">
        <v>35060</v>
      </c>
      <c r="S26" s="11">
        <f t="shared" si="10"/>
        <v>125.36158557733908</v>
      </c>
      <c r="T26" s="13">
        <f t="shared" si="11"/>
        <v>4.5516257843696524</v>
      </c>
      <c r="U26" s="7">
        <v>58800</v>
      </c>
      <c r="V26" s="11">
        <f t="shared" si="12"/>
        <v>210.24704027231996</v>
      </c>
      <c r="W26" s="11">
        <f t="shared" si="13"/>
        <v>1.677124928693668</v>
      </c>
      <c r="X26" s="11">
        <v>303.33714285709999</v>
      </c>
      <c r="Y26" s="11">
        <f t="shared" si="14"/>
        <v>219.70171700714371</v>
      </c>
      <c r="Z26" s="11">
        <f t="shared" si="15"/>
        <v>66.643691117746101</v>
      </c>
      <c r="AA26" s="7">
        <v>1626</v>
      </c>
      <c r="AB26" s="15">
        <f>IFERROR(AA26/0,0)</f>
        <v>0</v>
      </c>
      <c r="AC26" s="11">
        <v>0</v>
      </c>
      <c r="AD26" s="15">
        <f>IFERROR(AC26/0,0)</f>
        <v>0</v>
      </c>
      <c r="AE26" s="11">
        <v>15</v>
      </c>
      <c r="AF26" s="11">
        <v>26</v>
      </c>
      <c r="AG26" s="7">
        <f t="shared" si="16"/>
        <v>-36189.69999999999</v>
      </c>
      <c r="AH26" s="7">
        <v>56</v>
      </c>
      <c r="AI26" s="7">
        <v>13.5714285714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IFERROR(1400/F26,0)</f>
        <v>3.5041173378719995E-2</v>
      </c>
      <c r="AP26" s="11">
        <v>0</v>
      </c>
      <c r="AQ26" s="7"/>
      <c r="AR26" s="7"/>
      <c r="AS26" s="7">
        <v>0</v>
      </c>
      <c r="AT26" s="7"/>
    </row>
    <row r="27" spans="1:46" x14ac:dyDescent="0.3">
      <c r="A27" s="5" t="s">
        <v>71</v>
      </c>
      <c r="B27" s="5">
        <v>27</v>
      </c>
      <c r="C27" s="7"/>
      <c r="D27" s="7">
        <v>7</v>
      </c>
      <c r="E27" s="7">
        <v>24546</v>
      </c>
      <c r="F27" s="7">
        <v>24010</v>
      </c>
      <c r="G27" s="7">
        <v>90</v>
      </c>
      <c r="H27" s="9">
        <f t="shared" si="6"/>
        <v>3.7484381507705122E-3</v>
      </c>
      <c r="I27" s="9">
        <f>IFERROR((24546-F27)/24546,0)</f>
        <v>2.1836551780330806E-2</v>
      </c>
      <c r="J27" s="7">
        <v>157800</v>
      </c>
      <c r="K27" s="11">
        <f t="shared" si="7"/>
        <v>93.889450824061399</v>
      </c>
      <c r="L27" s="11">
        <f>K27-91.8435</f>
        <v>2.0459508240613928</v>
      </c>
      <c r="M27" s="11">
        <v>95.5</v>
      </c>
      <c r="N27" s="11">
        <f t="shared" si="8"/>
        <v>-1.6105491759386013</v>
      </c>
      <c r="O27" s="11">
        <f>IFERROR(1096980/24546,0)</f>
        <v>44.690784649230018</v>
      </c>
      <c r="P27" s="11">
        <v>47</v>
      </c>
      <c r="Q27" s="11">
        <f t="shared" si="9"/>
        <v>-2.309215350769982</v>
      </c>
      <c r="R27" s="7">
        <v>19450</v>
      </c>
      <c r="S27" s="11">
        <f t="shared" si="10"/>
        <v>115.72559052775628</v>
      </c>
      <c r="T27" s="13">
        <f t="shared" si="11"/>
        <v>8.1131105398457581</v>
      </c>
      <c r="U27" s="7">
        <v>28400</v>
      </c>
      <c r="V27" s="11">
        <f t="shared" si="12"/>
        <v>168.97721187600408</v>
      </c>
      <c r="W27" s="11">
        <f t="shared" si="13"/>
        <v>1.4601542416452447</v>
      </c>
      <c r="X27" s="11">
        <v>291.25</v>
      </c>
      <c r="Y27" s="11">
        <f t="shared" si="14"/>
        <v>123.2572877059569</v>
      </c>
      <c r="Z27" s="11">
        <f t="shared" si="15"/>
        <v>35.898685044359944</v>
      </c>
      <c r="AA27" s="7">
        <v>1491</v>
      </c>
      <c r="AB27" s="15">
        <f>IFERROR(AA27/1515,0)</f>
        <v>0.98415841584158414</v>
      </c>
      <c r="AC27" s="11">
        <v>0</v>
      </c>
      <c r="AD27" s="15">
        <f>IFERROR(AC27/55.5,0)</f>
        <v>0</v>
      </c>
      <c r="AE27" s="11">
        <v>16</v>
      </c>
      <c r="AF27" s="11">
        <v>26</v>
      </c>
      <c r="AG27" s="7">
        <f t="shared" si="16"/>
        <v>-2706.8500000000072</v>
      </c>
      <c r="AH27" s="7">
        <v>46</v>
      </c>
      <c r="AI27" s="7">
        <v>16.086956521699999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5" t="s">
        <v>72</v>
      </c>
      <c r="B28" s="5">
        <v>27</v>
      </c>
      <c r="C28" s="7"/>
      <c r="D28" s="7">
        <v>7</v>
      </c>
      <c r="E28" s="7">
        <v>12056</v>
      </c>
      <c r="F28" s="7">
        <v>11819</v>
      </c>
      <c r="G28" s="7">
        <v>36</v>
      </c>
      <c r="H28" s="9">
        <f t="shared" si="6"/>
        <v>3.04594297317878E-3</v>
      </c>
      <c r="I28" s="9">
        <f>IFERROR((12056-F28)/12056,0)</f>
        <v>1.9658261446582614E-2</v>
      </c>
      <c r="J28" s="7">
        <v>79880</v>
      </c>
      <c r="K28" s="11">
        <f t="shared" si="7"/>
        <v>96.551557419651161</v>
      </c>
      <c r="L28" s="11">
        <f>K28-93.1976</f>
        <v>3.3539574196511666</v>
      </c>
      <c r="M28" s="11">
        <v>95.5</v>
      </c>
      <c r="N28" s="11">
        <f t="shared" si="8"/>
        <v>1.0515574196511608</v>
      </c>
      <c r="O28" s="11">
        <f>IFERROR(633710/12056,0)</f>
        <v>52.563868613138688</v>
      </c>
      <c r="P28" s="11">
        <v>52</v>
      </c>
      <c r="Q28" s="11">
        <f t="shared" si="9"/>
        <v>0.56386861313868764</v>
      </c>
      <c r="R28" s="7">
        <v>10100</v>
      </c>
      <c r="S28" s="11">
        <f t="shared" si="10"/>
        <v>122.07946043295904</v>
      </c>
      <c r="T28" s="13">
        <f t="shared" si="11"/>
        <v>7.9089108910891088</v>
      </c>
      <c r="U28" s="7">
        <v>13700</v>
      </c>
      <c r="V28" s="11">
        <f t="shared" si="12"/>
        <v>165.59293147837019</v>
      </c>
      <c r="W28" s="11">
        <f t="shared" si="13"/>
        <v>1.3564356435643565</v>
      </c>
      <c r="X28" s="11">
        <v>290.92714285710002</v>
      </c>
      <c r="Y28" s="11">
        <f t="shared" si="14"/>
        <v>126.43965948923388</v>
      </c>
      <c r="Z28" s="11">
        <f t="shared" si="15"/>
        <v>36.784728879027426</v>
      </c>
      <c r="AA28" s="7">
        <v>1777</v>
      </c>
      <c r="AB28" s="15">
        <f>IFERROR(AA28/1880,0)</f>
        <v>0.94521276595744685</v>
      </c>
      <c r="AC28" s="11">
        <v>0</v>
      </c>
      <c r="AD28" s="15">
        <f>IFERROR(AC28/58.4,0)</f>
        <v>0</v>
      </c>
      <c r="AE28" s="11">
        <v>16</v>
      </c>
      <c r="AF28" s="11">
        <v>26</v>
      </c>
      <c r="AG28" s="7">
        <f t="shared" si="16"/>
        <v>869.98499999999478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IFERROR(0/F28,0)</f>
        <v>0</v>
      </c>
      <c r="AP28" s="11">
        <v>0</v>
      </c>
      <c r="AQ28" s="7"/>
      <c r="AR28" s="7"/>
      <c r="AS28" s="7">
        <v>0</v>
      </c>
      <c r="AT28" s="7"/>
    </row>
    <row r="29" spans="1:46" ht="15" thickBot="1" x14ac:dyDescent="0.35">
      <c r="A29" s="16" t="s">
        <v>73</v>
      </c>
      <c r="B29" s="16"/>
      <c r="C29" s="17"/>
      <c r="D29" s="17">
        <f>AVERAGE(D13:D28)</f>
        <v>6.625</v>
      </c>
      <c r="E29" s="17">
        <f>SUM(E13:E28)</f>
        <v>558599</v>
      </c>
      <c r="F29" s="17">
        <f>SUM(F13:F28)</f>
        <v>512508</v>
      </c>
      <c r="G29" s="17">
        <f>SUM(G13:G28)</f>
        <v>2150</v>
      </c>
      <c r="H29" s="18">
        <f t="shared" si="6"/>
        <v>4.1950564674112407E-3</v>
      </c>
      <c r="I29" s="18"/>
      <c r="J29" s="17">
        <f>SUM(J13:J28)</f>
        <v>3182770</v>
      </c>
      <c r="K29" s="19">
        <f t="shared" si="7"/>
        <v>93.738656412689593</v>
      </c>
      <c r="L29" s="19"/>
      <c r="M29" s="19">
        <f>IFERROR(SUMPRODUCT($F13:$F28,M13:M28)/$F29, 0)</f>
        <v>85.600170046126109</v>
      </c>
      <c r="N29" s="19">
        <f t="shared" si="8"/>
        <v>8.1384863665634839</v>
      </c>
      <c r="O29" s="19">
        <f>IFERROR(SUMPRODUCT($E13:$E28,O13:O28)/$E29, 0)</f>
        <v>226.3913701957934</v>
      </c>
      <c r="P29" s="19">
        <f>IFERROR(SUMPRODUCT($E13:$E28,P13:P28)/$E29, 0)</f>
        <v>172.82537741743184</v>
      </c>
      <c r="Q29" s="19">
        <f>IFERROR(SUMPRODUCT($E13:$E28,Q13:Q28)/$E29, 0)</f>
        <v>53.565992778361583</v>
      </c>
      <c r="R29" s="17">
        <f>SUM(R13:R28)</f>
        <v>416380</v>
      </c>
      <c r="S29" s="19">
        <f>IFERROR(R29/D29/$F29*1000,0)</f>
        <v>122.63186393335268</v>
      </c>
      <c r="T29" s="20">
        <f t="shared" si="11"/>
        <v>7.643907008021519</v>
      </c>
      <c r="U29" s="17">
        <f>SUM(U13:U28)</f>
        <v>698975</v>
      </c>
      <c r="V29" s="19">
        <f>IFERROR(U29/D29/$F29*1000,0)</f>
        <v>205.8614897276891</v>
      </c>
      <c r="W29" s="19">
        <f t="shared" si="13"/>
        <v>1.6786949421201787</v>
      </c>
      <c r="X29" s="19">
        <f>IFERROR(SUMPRODUCT(R13:R28,X13:X28)/R29,0)</f>
        <v>299.09771011798529</v>
      </c>
      <c r="Y29" s="19">
        <f>IFERROR(($F29*S29)/($F29*K29)*100,0)</f>
        <v>130.8231509031441</v>
      </c>
      <c r="Z29" s="19">
        <f t="shared" si="15"/>
        <v>39.128904865550041</v>
      </c>
      <c r="AA29" s="17"/>
      <c r="AB29" s="21">
        <f>IFERROR(SUMPRODUCT($F13:$F28,AB13:AB28)/$F29,0)</f>
        <v>0.77488074486685155</v>
      </c>
      <c r="AC29" s="19"/>
      <c r="AD29" s="21">
        <f>AVERAGE(AD13:AD28)</f>
        <v>0.31057813199031858</v>
      </c>
      <c r="AE29" s="19"/>
      <c r="AF29" s="19"/>
      <c r="AG29" s="17">
        <f>SUM(AG13:AG28)</f>
        <v>125114.29683333328</v>
      </c>
      <c r="AH29" s="17">
        <f>SUM(AH13:AH28)</f>
        <v>335</v>
      </c>
      <c r="AI29" s="17">
        <f>IFERROR(SUMPRODUCT(AH13:AH28,AI13:AI28)/AH29, 0)</f>
        <v>17.970149253716418</v>
      </c>
      <c r="AJ29" s="19">
        <f>AVERAGE(AJ13:AJ28)</f>
        <v>5.5</v>
      </c>
      <c r="AK29" s="19">
        <f>AVERAGE(AK13:AK28)</f>
        <v>5.3125</v>
      </c>
      <c r="AL29" s="19">
        <f>AVERAGE(AL13:AL28)</f>
        <v>0</v>
      </c>
      <c r="AM29" s="19">
        <f>AVERAGE(AM13:AM28)</f>
        <v>0</v>
      </c>
      <c r="AN29" s="19">
        <f>AVERAGE(AN13:AN28)</f>
        <v>0</v>
      </c>
      <c r="AO29" s="20"/>
      <c r="AP29" s="19"/>
      <c r="AQ29" s="17"/>
      <c r="AR29" s="17"/>
      <c r="AS29" s="17"/>
      <c r="AT29" s="17"/>
    </row>
    <row r="30" spans="1:46" ht="15" thickBot="1" x14ac:dyDescent="0.35"/>
    <row r="31" spans="1:46" ht="15" thickBot="1" x14ac:dyDescent="0.35">
      <c r="A31" s="23" t="s">
        <v>74</v>
      </c>
      <c r="B31" s="23"/>
      <c r="C31" s="23"/>
      <c r="D31" s="23">
        <f>IFERROR($F$11/$F31*D$11,0)+IFERROR($F$29/$F31*D$29,0)</f>
        <v>6.6504457854991488</v>
      </c>
      <c r="E31" s="23">
        <f>E11+E29</f>
        <v>603197</v>
      </c>
      <c r="F31" s="23">
        <f>F11+F29</f>
        <v>549816</v>
      </c>
      <c r="G31" s="23">
        <f>G11+G29</f>
        <v>2293</v>
      </c>
      <c r="H31" s="24">
        <f>IFERROR(G31/F31,0)</f>
        <v>4.170486126267697E-3</v>
      </c>
      <c r="I31" s="23"/>
      <c r="J31" s="23">
        <f>J11+J29</f>
        <v>3369970</v>
      </c>
      <c r="K31" s="25">
        <f>IFERROR(J31/D31/F31*100,0)</f>
        <v>92.163275944090586</v>
      </c>
      <c r="L31" s="23"/>
      <c r="M31" s="25">
        <f>IFERROR($F$11/$F31*M$11,0)+IFERROR($F$29/$F31*M$29,0)</f>
        <v>84.158858509028477</v>
      </c>
      <c r="N31" s="25">
        <f>K31-M31</f>
        <v>8.0044174350621091</v>
      </c>
      <c r="O31" s="23">
        <f>IFERROR($E$11/$E31*O$11,0)+IFERROR($E$29/$E31*O$29,0)</f>
        <v>232.02582075176102</v>
      </c>
      <c r="P31" s="23">
        <f>IFERROR($E$11/$E31*P$11,0)+IFERROR($E$29/$E31*P$29,0)</f>
        <v>174.81483329658471</v>
      </c>
      <c r="Q31" s="23">
        <f>IFERROR($E$11/$E31*Q$11,0)+IFERROR($E$29/$E31*Q$29,0)</f>
        <v>57.210987455176337</v>
      </c>
      <c r="R31" s="23">
        <f>R11+R29</f>
        <v>450081</v>
      </c>
      <c r="S31" s="25">
        <f>IFERROR(R31/D31/$F31*1000,0)</f>
        <v>123.08993670623843</v>
      </c>
      <c r="T31" s="26">
        <f>IFERROR(J31/R31,0)</f>
        <v>7.487474476816395</v>
      </c>
      <c r="U31" s="23">
        <f>U11+U29</f>
        <v>709055</v>
      </c>
      <c r="V31" s="25">
        <f>IFERROR(U31/D31/$F31*1000,0)</f>
        <v>193.91517320491621</v>
      </c>
      <c r="W31" s="25">
        <f>IFERROR(V31/S31,0)</f>
        <v>1.5753942068205502</v>
      </c>
      <c r="X31" s="25">
        <f>IFERROR($F$11/$F31*X$11,0)+IFERROR($F$29/$F31*X$29,0)</f>
        <v>303.13143157909622</v>
      </c>
      <c r="Y31" s="25">
        <f>IFERROR(($F31*S31)/($F31*K31)*100,0)</f>
        <v>133.55638180755318</v>
      </c>
      <c r="Z31" s="25">
        <f>IFERROR(Y31*X31/1000,0)</f>
        <v>40.485137213847956</v>
      </c>
      <c r="AA31" s="23"/>
      <c r="AB31" s="27"/>
      <c r="AC31" s="23"/>
      <c r="AD31" s="27"/>
      <c r="AE31" s="23"/>
      <c r="AF31" s="23"/>
      <c r="AG31" s="23">
        <f>AG11+AG29</f>
        <v>120236.24683333327</v>
      </c>
      <c r="AH31" s="23">
        <f>AH11+AH29</f>
        <v>335</v>
      </c>
      <c r="AI31" s="23">
        <f>IFERROR(AH$11/AH31*AI$11,0)+IFERROR(AH$29/AH31*AI$29,0)</f>
        <v>17.970149253716418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</row>
    <row r="33" spans="1:31" x14ac:dyDescent="0.3">
      <c r="A33" s="31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x14ac:dyDescent="0.3">
      <c r="A34" s="32"/>
      <c r="B34" s="32" t="s">
        <v>76</v>
      </c>
      <c r="C34" s="32"/>
      <c r="D34" s="32" t="s">
        <v>77</v>
      </c>
      <c r="E34" s="32" t="s">
        <v>78</v>
      </c>
      <c r="F34" s="32" t="s">
        <v>79</v>
      </c>
      <c r="G34" s="32" t="s">
        <v>50</v>
      </c>
      <c r="H34" s="32" t="s">
        <v>51</v>
      </c>
      <c r="I34" s="32" t="s">
        <v>49</v>
      </c>
      <c r="J34" s="32" t="s">
        <v>52</v>
      </c>
      <c r="K34" s="32" t="s">
        <v>53</v>
      </c>
      <c r="L34" s="32" t="s">
        <v>54</v>
      </c>
      <c r="M34" s="32" t="s">
        <v>56</v>
      </c>
      <c r="N34" s="32" t="s">
        <v>65</v>
      </c>
      <c r="O34" s="32" t="s">
        <v>57</v>
      </c>
      <c r="P34" s="32" t="s">
        <v>58</v>
      </c>
      <c r="Q34" s="32" t="s">
        <v>59</v>
      </c>
      <c r="R34" s="32" t="s">
        <v>80</v>
      </c>
      <c r="S34" s="32" t="s">
        <v>60</v>
      </c>
      <c r="T34" s="32" t="s">
        <v>69</v>
      </c>
      <c r="U34" s="32" t="s">
        <v>61</v>
      </c>
      <c r="V34" s="32" t="s">
        <v>70</v>
      </c>
      <c r="W34" s="32" t="s">
        <v>71</v>
      </c>
      <c r="X34" s="32" t="s">
        <v>72</v>
      </c>
      <c r="Y34" s="32" t="s">
        <v>62</v>
      </c>
      <c r="Z34" s="32" t="s">
        <v>66</v>
      </c>
      <c r="AA34" s="32" t="s">
        <v>67</v>
      </c>
      <c r="AB34" s="32" t="s">
        <v>81</v>
      </c>
      <c r="AC34" s="32" t="s">
        <v>63</v>
      </c>
      <c r="AD34" s="32" t="s">
        <v>68</v>
      </c>
      <c r="AE34" s="32" t="s">
        <v>64</v>
      </c>
    </row>
    <row r="35" spans="1:31" x14ac:dyDescent="0.3">
      <c r="B35" s="4">
        <v>202501</v>
      </c>
      <c r="C35" s="4"/>
      <c r="D35" s="8">
        <v>2.8E-3</v>
      </c>
      <c r="E35" s="8">
        <v>5.1000000000000004E-3</v>
      </c>
      <c r="F35" s="8">
        <v>2.5999999999999999E-3</v>
      </c>
      <c r="G35" s="8">
        <v>7.7999999999999996E-3</v>
      </c>
      <c r="H35" s="8">
        <v>4.4999999999999997E-3</v>
      </c>
      <c r="I35" s="8">
        <v>3.5000000000000001E-3</v>
      </c>
      <c r="J35" s="8">
        <v>3.2000000000000002E-3</v>
      </c>
      <c r="K35" s="8">
        <v>4.7999999999999996E-3</v>
      </c>
      <c r="L35" s="8">
        <v>1.9E-3</v>
      </c>
      <c r="M35" s="8">
        <v>2.3999999999999998E-3</v>
      </c>
      <c r="N35" s="8">
        <v>2E-3</v>
      </c>
      <c r="O35" s="8"/>
      <c r="P35" s="8">
        <v>5.7999999999999996E-3</v>
      </c>
      <c r="Q35" s="8">
        <v>2.3999999999999998E-3</v>
      </c>
      <c r="R35" s="8">
        <v>3.3999999999999998E-3</v>
      </c>
      <c r="S35" s="8">
        <v>1.6999999999999999E-3</v>
      </c>
      <c r="T35" s="8"/>
      <c r="U35" s="8">
        <v>2.5000000000000001E-3</v>
      </c>
      <c r="V35" s="8">
        <v>5.3E-3</v>
      </c>
      <c r="W35" s="8">
        <v>6.3E-3</v>
      </c>
      <c r="X35" s="8">
        <v>2.7000000000000001E-3</v>
      </c>
      <c r="Y35" s="8">
        <v>1.5E-3</v>
      </c>
      <c r="Z35" s="8">
        <v>1.4E-3</v>
      </c>
      <c r="AA35" s="8">
        <v>2.8E-3</v>
      </c>
      <c r="AB35" s="8">
        <v>1.6999999999999999E-3</v>
      </c>
      <c r="AC35" s="8"/>
      <c r="AD35" s="8"/>
      <c r="AE35" s="8">
        <v>6.9999999999999999E-4</v>
      </c>
    </row>
    <row r="36" spans="1:31" x14ac:dyDescent="0.3">
      <c r="B36" s="5">
        <v>202502</v>
      </c>
      <c r="C36" s="5"/>
      <c r="D36" s="9">
        <v>2.8999999999999998E-3</v>
      </c>
      <c r="E36" s="9">
        <v>4.4000000000000003E-3</v>
      </c>
      <c r="F36" s="9">
        <v>2.7000000000000001E-3</v>
      </c>
      <c r="G36" s="9">
        <v>6.3E-3</v>
      </c>
      <c r="H36" s="9">
        <v>4.4999999999999997E-3</v>
      </c>
      <c r="I36" s="9">
        <v>4.4000000000000003E-3</v>
      </c>
      <c r="J36" s="9">
        <v>3.2000000000000002E-3</v>
      </c>
      <c r="K36" s="9">
        <v>2.7000000000000001E-3</v>
      </c>
      <c r="L36" s="9">
        <v>2.0999999999999999E-3</v>
      </c>
      <c r="M36" s="9">
        <v>3.3999999999999998E-3</v>
      </c>
      <c r="N36" s="9">
        <v>1.9E-3</v>
      </c>
      <c r="O36" s="9"/>
      <c r="P36" s="9">
        <v>1.32E-2</v>
      </c>
      <c r="Q36" s="9">
        <v>2.3999999999999998E-3</v>
      </c>
      <c r="R36" s="9">
        <v>4.1999999999999997E-3</v>
      </c>
      <c r="S36" s="9">
        <v>1.6999999999999999E-3</v>
      </c>
      <c r="T36" s="9"/>
      <c r="U36" s="9">
        <v>2.5000000000000001E-3</v>
      </c>
      <c r="V36" s="9">
        <v>5.7999999999999996E-3</v>
      </c>
      <c r="W36" s="9">
        <v>3.5999999999999999E-3</v>
      </c>
      <c r="X36" s="9">
        <v>2.3E-3</v>
      </c>
      <c r="Y36" s="9">
        <v>1.5E-3</v>
      </c>
      <c r="Z36" s="9">
        <v>1E-3</v>
      </c>
      <c r="AA36" s="9">
        <v>3.0000000000000001E-3</v>
      </c>
      <c r="AB36" s="9">
        <v>1.8E-3</v>
      </c>
      <c r="AC36" s="9"/>
      <c r="AD36" s="9"/>
      <c r="AE36" s="9">
        <v>1E-3</v>
      </c>
    </row>
    <row r="37" spans="1:31" x14ac:dyDescent="0.3">
      <c r="B37" s="5">
        <v>202503</v>
      </c>
      <c r="C37" s="5"/>
      <c r="D37" s="9">
        <v>2.8E-3</v>
      </c>
      <c r="E37" s="9">
        <v>4.8999999999999998E-3</v>
      </c>
      <c r="F37" s="9">
        <v>2.5999999999999999E-3</v>
      </c>
      <c r="G37" s="9">
        <v>5.8999999999999999E-3</v>
      </c>
      <c r="H37" s="9">
        <v>5.8999999999999999E-3</v>
      </c>
      <c r="I37" s="9">
        <v>3.5999999999999999E-3</v>
      </c>
      <c r="J37" s="9">
        <v>3.3999999999999998E-3</v>
      </c>
      <c r="K37" s="9">
        <v>3.2000000000000002E-3</v>
      </c>
      <c r="L37" s="9">
        <v>3.0000000000000001E-3</v>
      </c>
      <c r="M37" s="9">
        <v>2.2000000000000001E-3</v>
      </c>
      <c r="N37" s="9">
        <v>1.6000000000000001E-3</v>
      </c>
      <c r="O37" s="9"/>
      <c r="P37" s="9">
        <v>9.7999999999999997E-3</v>
      </c>
      <c r="Q37" s="9">
        <v>2.5000000000000001E-3</v>
      </c>
      <c r="R37" s="9">
        <v>3.3E-3</v>
      </c>
      <c r="S37" s="9">
        <v>1.8E-3</v>
      </c>
      <c r="T37" s="9"/>
      <c r="U37" s="9">
        <v>2.5000000000000001E-3</v>
      </c>
      <c r="V37" s="9">
        <v>5.4999999999999997E-3</v>
      </c>
      <c r="W37" s="9">
        <v>3.5000000000000001E-3</v>
      </c>
      <c r="X37" s="9">
        <v>2.5000000000000001E-3</v>
      </c>
      <c r="Y37" s="9">
        <v>1.6999999999999999E-3</v>
      </c>
      <c r="Z37" s="9">
        <v>6.9999999999999999E-4</v>
      </c>
      <c r="AA37" s="9">
        <v>2.8E-3</v>
      </c>
      <c r="AB37" s="9">
        <v>1.4E-3</v>
      </c>
      <c r="AC37" s="9"/>
      <c r="AD37" s="9"/>
      <c r="AE37" s="9">
        <v>1.6000000000000001E-3</v>
      </c>
    </row>
    <row r="38" spans="1:31" x14ac:dyDescent="0.3">
      <c r="B38" s="5">
        <v>202504</v>
      </c>
      <c r="C38" s="5"/>
      <c r="D38" s="9">
        <v>2.5999999999999999E-3</v>
      </c>
      <c r="E38" s="9">
        <v>5.1000000000000004E-3</v>
      </c>
      <c r="F38" s="9">
        <v>2.3999999999999998E-3</v>
      </c>
      <c r="G38" s="9">
        <v>5.8999999999999999E-3</v>
      </c>
      <c r="H38" s="9">
        <v>5.7999999999999996E-3</v>
      </c>
      <c r="I38" s="9">
        <v>6.3E-3</v>
      </c>
      <c r="J38" s="9">
        <v>5.0000000000000001E-3</v>
      </c>
      <c r="K38" s="9">
        <v>4.1000000000000003E-3</v>
      </c>
      <c r="L38" s="9">
        <v>1.9E-3</v>
      </c>
      <c r="M38" s="9">
        <v>2.3999999999999998E-3</v>
      </c>
      <c r="N38" s="9">
        <v>2.2000000000000001E-3</v>
      </c>
      <c r="O38" s="9"/>
      <c r="P38" s="9">
        <v>7.3000000000000001E-3</v>
      </c>
      <c r="Q38" s="9">
        <v>2.5000000000000001E-3</v>
      </c>
      <c r="R38" s="9">
        <v>4.1000000000000003E-3</v>
      </c>
      <c r="S38" s="9">
        <v>1.6999999999999999E-3</v>
      </c>
      <c r="T38" s="9"/>
      <c r="U38" s="9">
        <v>2.5999999999999999E-3</v>
      </c>
      <c r="V38" s="9">
        <v>3.2000000000000002E-3</v>
      </c>
      <c r="W38" s="9">
        <v>3.7000000000000002E-3</v>
      </c>
      <c r="X38" s="9">
        <v>2.5000000000000001E-3</v>
      </c>
      <c r="Y38" s="9">
        <v>1.6000000000000001E-3</v>
      </c>
      <c r="Z38" s="9">
        <v>8.9999999999999998E-4</v>
      </c>
      <c r="AA38" s="9">
        <v>3.5000000000000001E-3</v>
      </c>
      <c r="AB38" s="9">
        <v>1.6000000000000001E-3</v>
      </c>
      <c r="AC38" s="9"/>
      <c r="AD38" s="9"/>
      <c r="AE38" s="9">
        <v>8.9999999999999998E-4</v>
      </c>
    </row>
    <row r="39" spans="1:31" x14ac:dyDescent="0.3">
      <c r="B39" s="5">
        <v>202505</v>
      </c>
      <c r="C39" s="5"/>
      <c r="D39" s="9">
        <v>2.5999999999999999E-3</v>
      </c>
      <c r="E39" s="9">
        <v>4.1000000000000003E-3</v>
      </c>
      <c r="F39" s="9">
        <v>2.5000000000000001E-3</v>
      </c>
      <c r="G39" s="9">
        <v>5.3E-3</v>
      </c>
      <c r="H39" s="9">
        <v>4.7000000000000002E-3</v>
      </c>
      <c r="I39" s="9">
        <v>2.7000000000000001E-3</v>
      </c>
      <c r="J39" s="9">
        <v>1.6000000000000001E-3</v>
      </c>
      <c r="K39" s="9">
        <v>3.0000000000000001E-3</v>
      </c>
      <c r="L39" s="9">
        <v>2.8E-3</v>
      </c>
      <c r="M39" s="9">
        <v>2.5000000000000001E-3</v>
      </c>
      <c r="N39" s="9">
        <v>2.7000000000000001E-3</v>
      </c>
      <c r="O39" s="9"/>
      <c r="P39" s="9">
        <v>4.5999999999999999E-3</v>
      </c>
      <c r="Q39" s="9">
        <v>4.1000000000000003E-3</v>
      </c>
      <c r="R39" s="9">
        <v>4.1000000000000003E-3</v>
      </c>
      <c r="S39" s="9">
        <v>1.6999999999999999E-3</v>
      </c>
      <c r="T39" s="9"/>
      <c r="U39" s="9">
        <v>2.3E-3</v>
      </c>
      <c r="V39" s="9">
        <v>2.2000000000000001E-3</v>
      </c>
      <c r="W39" s="9">
        <v>4.4000000000000003E-3</v>
      </c>
      <c r="X39" s="9">
        <v>2.3E-3</v>
      </c>
      <c r="Y39" s="9">
        <v>1.6000000000000001E-3</v>
      </c>
      <c r="Z39" s="9">
        <v>8.9999999999999998E-4</v>
      </c>
      <c r="AA39" s="9">
        <v>3.0999999999999999E-3</v>
      </c>
      <c r="AB39" s="9">
        <v>1.5E-3</v>
      </c>
      <c r="AC39" s="9"/>
      <c r="AD39" s="9"/>
      <c r="AE39" s="9">
        <v>8.9999999999999998E-4</v>
      </c>
    </row>
    <row r="40" spans="1:31" x14ac:dyDescent="0.3">
      <c r="B40" s="5">
        <v>202506</v>
      </c>
      <c r="C40" s="5"/>
      <c r="D40" s="9">
        <v>1.9E-3</v>
      </c>
      <c r="E40" s="9">
        <v>4.4999999999999997E-3</v>
      </c>
      <c r="F40" s="9">
        <v>1.6999999999999999E-3</v>
      </c>
      <c r="G40" s="9">
        <v>5.8999999999999999E-3</v>
      </c>
      <c r="H40" s="9">
        <v>5.4000000000000003E-3</v>
      </c>
      <c r="I40" s="9">
        <v>4.4999999999999997E-3</v>
      </c>
      <c r="J40" s="9">
        <v>2.5000000000000001E-3</v>
      </c>
      <c r="K40" s="9">
        <v>3.0000000000000001E-3</v>
      </c>
      <c r="L40" s="9">
        <v>1.2999999999999999E-3</v>
      </c>
      <c r="M40" s="9">
        <v>3.7000000000000002E-3</v>
      </c>
      <c r="N40" s="9">
        <v>2.5000000000000001E-3</v>
      </c>
      <c r="O40" s="9"/>
      <c r="P40" s="9">
        <v>4.0000000000000001E-3</v>
      </c>
      <c r="Q40" s="9">
        <v>2.7000000000000001E-3</v>
      </c>
      <c r="R40" s="9">
        <v>3.8E-3</v>
      </c>
      <c r="S40" s="9">
        <v>1.5E-3</v>
      </c>
      <c r="T40" s="9"/>
      <c r="U40" s="9">
        <v>1.6999999999999999E-3</v>
      </c>
      <c r="V40" s="9">
        <v>3.0000000000000001E-3</v>
      </c>
      <c r="W40" s="9">
        <v>3.5999999999999999E-3</v>
      </c>
      <c r="X40" s="9">
        <v>1.8E-3</v>
      </c>
      <c r="Y40" s="9">
        <v>8.9999999999999998E-4</v>
      </c>
      <c r="Z40" s="9">
        <v>5.9999999999999995E-4</v>
      </c>
      <c r="AA40" s="9">
        <v>1.6999999999999999E-3</v>
      </c>
      <c r="AB40" s="9">
        <v>1E-3</v>
      </c>
      <c r="AC40" s="9">
        <v>0</v>
      </c>
      <c r="AD40" s="9">
        <v>0</v>
      </c>
      <c r="AE40" s="9">
        <v>5.0000000000000001E-4</v>
      </c>
    </row>
    <row r="41" spans="1:31" x14ac:dyDescent="0.3">
      <c r="B41" s="5">
        <v>202507</v>
      </c>
      <c r="C41" s="5"/>
      <c r="D41" s="9">
        <v>2.3999999999999998E-3</v>
      </c>
      <c r="E41" s="9">
        <v>4.5999999999999999E-3</v>
      </c>
      <c r="F41" s="9">
        <v>2.2000000000000001E-3</v>
      </c>
      <c r="G41" s="9">
        <v>5.7999999999999996E-3</v>
      </c>
      <c r="H41" s="9">
        <v>4.3E-3</v>
      </c>
      <c r="I41" s="9">
        <v>4.4999999999999997E-3</v>
      </c>
      <c r="J41" s="9">
        <v>2.5000000000000001E-3</v>
      </c>
      <c r="K41" s="9">
        <v>5.1000000000000004E-3</v>
      </c>
      <c r="L41" s="9">
        <v>3.8E-3</v>
      </c>
      <c r="M41" s="9">
        <v>8.0999999999999996E-3</v>
      </c>
      <c r="N41" s="9">
        <v>2.8E-3</v>
      </c>
      <c r="O41" s="9"/>
      <c r="P41" s="9">
        <v>4.4999999999999997E-3</v>
      </c>
      <c r="Q41" s="9">
        <v>2E-3</v>
      </c>
      <c r="R41" s="9">
        <v>4.8999999999999998E-3</v>
      </c>
      <c r="S41" s="9">
        <v>1.4E-3</v>
      </c>
      <c r="T41" s="9"/>
      <c r="U41" s="9">
        <v>1.9E-3</v>
      </c>
      <c r="V41" s="9">
        <v>4.3E-3</v>
      </c>
      <c r="W41" s="9">
        <v>4.1999999999999997E-3</v>
      </c>
      <c r="X41" s="9">
        <v>4.4000000000000003E-3</v>
      </c>
      <c r="Y41" s="9">
        <v>1.1000000000000001E-3</v>
      </c>
      <c r="Z41" s="9">
        <v>5.0000000000000001E-4</v>
      </c>
      <c r="AA41" s="9">
        <v>2.0999999999999999E-3</v>
      </c>
      <c r="AB41" s="9">
        <v>1.1999999999999999E-3</v>
      </c>
      <c r="AC41" s="9">
        <v>8.9999999999999998E-4</v>
      </c>
      <c r="AD41" s="9">
        <v>8.0000000000000004E-4</v>
      </c>
      <c r="AE41" s="9">
        <v>6.9999999999999999E-4</v>
      </c>
    </row>
    <row r="42" spans="1:31" x14ac:dyDescent="0.3">
      <c r="B42" s="5">
        <v>202508</v>
      </c>
      <c r="C42" s="5"/>
      <c r="D42" s="9">
        <v>2E-3</v>
      </c>
      <c r="E42" s="9">
        <v>4.4000000000000003E-3</v>
      </c>
      <c r="F42" s="9">
        <v>1.8E-3</v>
      </c>
      <c r="G42" s="9">
        <v>6.6E-3</v>
      </c>
      <c r="H42" s="9">
        <v>3.8E-3</v>
      </c>
      <c r="I42" s="9">
        <v>2.7000000000000001E-3</v>
      </c>
      <c r="J42" s="9">
        <v>3.2000000000000002E-3</v>
      </c>
      <c r="K42" s="9">
        <v>4.1999999999999997E-3</v>
      </c>
      <c r="L42" s="9">
        <v>2.0999999999999999E-3</v>
      </c>
      <c r="M42" s="9">
        <v>2.5999999999999999E-3</v>
      </c>
      <c r="N42" s="9">
        <v>2.8999999999999998E-3</v>
      </c>
      <c r="O42" s="9"/>
      <c r="P42" s="9">
        <v>5.1999999999999998E-3</v>
      </c>
      <c r="Q42" s="9">
        <v>1.9E-3</v>
      </c>
      <c r="R42" s="9">
        <v>2.3999999999999998E-3</v>
      </c>
      <c r="S42" s="9">
        <v>1.2999999999999999E-3</v>
      </c>
      <c r="T42" s="9"/>
      <c r="U42" s="9">
        <v>1.9E-3</v>
      </c>
      <c r="V42" s="9">
        <v>3.0999999999999999E-3</v>
      </c>
      <c r="W42" s="9">
        <v>3.2000000000000002E-3</v>
      </c>
      <c r="X42" s="9">
        <v>2.3E-3</v>
      </c>
      <c r="Y42" s="9">
        <v>1.1000000000000001E-3</v>
      </c>
      <c r="Z42" s="9">
        <v>5.0000000000000001E-4</v>
      </c>
      <c r="AA42" s="9">
        <v>2.8E-3</v>
      </c>
      <c r="AB42" s="9">
        <v>1.2999999999999999E-3</v>
      </c>
      <c r="AC42" s="9">
        <v>1.1999999999999999E-3</v>
      </c>
      <c r="AD42" s="9">
        <v>6.9999999999999999E-4</v>
      </c>
      <c r="AE42" s="9">
        <v>5.9999999999999995E-4</v>
      </c>
    </row>
    <row r="43" spans="1:31" x14ac:dyDescent="0.3">
      <c r="B43" s="5">
        <v>202509</v>
      </c>
      <c r="C43" s="5"/>
      <c r="D43" s="9">
        <v>3.0000000000000001E-3</v>
      </c>
      <c r="E43" s="9">
        <v>8.8000000000000005E-3</v>
      </c>
      <c r="F43" s="9">
        <v>2.5000000000000001E-3</v>
      </c>
      <c r="G43" s="9">
        <v>1.7299999999999999E-2</v>
      </c>
      <c r="H43" s="9">
        <v>5.7000000000000002E-3</v>
      </c>
      <c r="I43" s="9">
        <v>9.1999999999999998E-3</v>
      </c>
      <c r="J43" s="9">
        <v>5.1000000000000004E-3</v>
      </c>
      <c r="K43" s="9">
        <v>4.4000000000000003E-3</v>
      </c>
      <c r="L43" s="9">
        <v>3.8999999999999998E-3</v>
      </c>
      <c r="M43" s="9">
        <v>2.0999999999999999E-3</v>
      </c>
      <c r="N43" s="9">
        <v>5.1999999999999998E-3</v>
      </c>
      <c r="O43" s="9"/>
      <c r="P43" s="9">
        <v>5.0000000000000001E-3</v>
      </c>
      <c r="Q43" s="9">
        <v>2.7000000000000001E-3</v>
      </c>
      <c r="R43" s="9">
        <v>4.8999999999999998E-3</v>
      </c>
      <c r="S43" s="9">
        <v>2E-3</v>
      </c>
      <c r="T43" s="9"/>
      <c r="U43" s="9">
        <v>2.5000000000000001E-3</v>
      </c>
      <c r="V43" s="9">
        <v>3.0999999999999999E-3</v>
      </c>
      <c r="W43" s="9">
        <v>4.5999999999999999E-3</v>
      </c>
      <c r="X43" s="9">
        <v>2.8E-3</v>
      </c>
      <c r="Y43" s="9">
        <v>1.6999999999999999E-3</v>
      </c>
      <c r="Z43" s="9">
        <v>1E-3</v>
      </c>
      <c r="AA43" s="9">
        <v>3.5999999999999999E-3</v>
      </c>
      <c r="AB43" s="9">
        <v>1.6000000000000001E-3</v>
      </c>
      <c r="AC43" s="9">
        <v>2.3E-3</v>
      </c>
      <c r="AD43" s="9">
        <v>1.1999999999999999E-3</v>
      </c>
      <c r="AE43" s="9">
        <v>1.1999999999999999E-3</v>
      </c>
    </row>
    <row r="44" spans="1:31" x14ac:dyDescent="0.3">
      <c r="B44" s="5">
        <v>202510</v>
      </c>
      <c r="C44" s="5"/>
      <c r="D44" s="9">
        <v>2.8E-3</v>
      </c>
      <c r="E44" s="9">
        <v>8.0000000000000002E-3</v>
      </c>
      <c r="F44" s="9">
        <v>2.3999999999999998E-3</v>
      </c>
      <c r="G44" s="9">
        <v>1.47E-2</v>
      </c>
      <c r="H44" s="9">
        <v>7.1000000000000004E-3</v>
      </c>
      <c r="I44" s="9">
        <v>1.12E-2</v>
      </c>
      <c r="J44" s="9">
        <v>2.8E-3</v>
      </c>
      <c r="K44" s="9">
        <v>2.0999999999999999E-3</v>
      </c>
      <c r="L44" s="9">
        <v>3.0000000000000001E-3</v>
      </c>
      <c r="M44" s="9">
        <v>2.5000000000000001E-3</v>
      </c>
      <c r="N44" s="9">
        <v>3.3999999999999998E-3</v>
      </c>
      <c r="O44" s="9"/>
      <c r="P44" s="9">
        <v>5.5999999999999999E-3</v>
      </c>
      <c r="Q44" s="9">
        <v>2.8999999999999998E-3</v>
      </c>
      <c r="R44" s="9">
        <v>4.1999999999999997E-3</v>
      </c>
      <c r="S44" s="9">
        <v>2.3E-3</v>
      </c>
      <c r="T44" s="9"/>
      <c r="U44" s="9">
        <v>2.5000000000000001E-3</v>
      </c>
      <c r="V44" s="9">
        <v>2.5999999999999999E-3</v>
      </c>
      <c r="W44" s="9">
        <v>3.3999999999999998E-3</v>
      </c>
      <c r="X44" s="9">
        <v>2.5000000000000001E-3</v>
      </c>
      <c r="Y44" s="9">
        <v>2E-3</v>
      </c>
      <c r="Z44" s="9">
        <v>1E-3</v>
      </c>
      <c r="AA44" s="9">
        <v>3.5000000000000001E-3</v>
      </c>
      <c r="AB44" s="9">
        <v>1.6999999999999999E-3</v>
      </c>
      <c r="AC44" s="9">
        <v>1.6999999999999999E-3</v>
      </c>
      <c r="AD44" s="9">
        <v>1.6000000000000001E-3</v>
      </c>
      <c r="AE44" s="9">
        <v>1.2999999999999999E-3</v>
      </c>
    </row>
    <row r="45" spans="1:31" x14ac:dyDescent="0.3">
      <c r="B45" s="5">
        <v>202511</v>
      </c>
      <c r="C45" s="5"/>
      <c r="D45" s="9">
        <v>2.3E-3</v>
      </c>
      <c r="E45" s="9">
        <v>3.5999999999999999E-3</v>
      </c>
      <c r="F45" s="9">
        <v>2.2000000000000001E-3</v>
      </c>
      <c r="G45" s="9">
        <v>5.0000000000000001E-3</v>
      </c>
      <c r="H45" s="9">
        <v>4.1000000000000003E-3</v>
      </c>
      <c r="I45" s="9">
        <v>6.6E-3</v>
      </c>
      <c r="J45" s="9">
        <v>1.9E-3</v>
      </c>
      <c r="K45" s="9">
        <v>2.0999999999999999E-3</v>
      </c>
      <c r="L45" s="9">
        <v>1.2999999999999999E-3</v>
      </c>
      <c r="M45" s="9">
        <v>2E-3</v>
      </c>
      <c r="N45" s="9">
        <v>2.5999999999999999E-3</v>
      </c>
      <c r="O45" s="9"/>
      <c r="P45" s="9">
        <v>3.5000000000000001E-3</v>
      </c>
      <c r="Q45" s="9">
        <v>2.5000000000000001E-3</v>
      </c>
      <c r="R45" s="9">
        <v>3.5000000000000001E-3</v>
      </c>
      <c r="S45" s="9">
        <v>2.3E-3</v>
      </c>
      <c r="T45" s="9"/>
      <c r="U45" s="9">
        <v>3.0000000000000001E-3</v>
      </c>
      <c r="V45" s="9">
        <v>2.3E-3</v>
      </c>
      <c r="W45" s="9">
        <v>3.0999999999999999E-3</v>
      </c>
      <c r="X45" s="9">
        <v>2.8E-3</v>
      </c>
      <c r="Y45" s="9">
        <v>1.9E-3</v>
      </c>
      <c r="Z45" s="9">
        <v>8.9999999999999998E-4</v>
      </c>
      <c r="AA45" s="9">
        <v>3.5000000000000001E-3</v>
      </c>
      <c r="AB45" s="9">
        <v>1.5E-3</v>
      </c>
      <c r="AC45" s="9">
        <v>1.1000000000000001E-3</v>
      </c>
      <c r="AD45" s="9">
        <v>1.1999999999999999E-3</v>
      </c>
      <c r="AE45" s="9">
        <v>1.4E-3</v>
      </c>
    </row>
    <row r="46" spans="1:31" x14ac:dyDescent="0.3">
      <c r="B46" s="5">
        <v>202512</v>
      </c>
      <c r="C46" s="5"/>
      <c r="D46" s="9">
        <v>2.5000000000000001E-3</v>
      </c>
      <c r="E46" s="9">
        <v>3.0999999999999999E-3</v>
      </c>
      <c r="F46" s="9">
        <v>2.3999999999999998E-3</v>
      </c>
      <c r="G46" s="9">
        <v>3.3999999999999998E-3</v>
      </c>
      <c r="H46" s="9">
        <v>3.2000000000000002E-3</v>
      </c>
      <c r="I46" s="9">
        <v>4.7000000000000002E-3</v>
      </c>
      <c r="J46" s="9">
        <v>8.9999999999999998E-4</v>
      </c>
      <c r="K46" s="9">
        <v>4.1999999999999997E-3</v>
      </c>
      <c r="L46" s="9">
        <v>2.5999999999999999E-3</v>
      </c>
      <c r="M46" s="9">
        <v>1.9E-3</v>
      </c>
      <c r="N46" s="9">
        <v>3.2000000000000002E-3</v>
      </c>
      <c r="O46" s="9"/>
      <c r="P46" s="9">
        <v>4.4000000000000003E-3</v>
      </c>
      <c r="Q46" s="9">
        <v>3.7000000000000002E-3</v>
      </c>
      <c r="R46" s="9">
        <v>3.2000000000000002E-3</v>
      </c>
      <c r="S46" s="9">
        <v>2.5999999999999999E-3</v>
      </c>
      <c r="T46" s="9"/>
      <c r="U46" s="9">
        <v>3.3999999999999998E-3</v>
      </c>
      <c r="V46" s="9">
        <v>2.5000000000000001E-3</v>
      </c>
      <c r="W46" s="9">
        <v>3.0999999999999999E-3</v>
      </c>
      <c r="X46" s="9">
        <v>3.2000000000000002E-3</v>
      </c>
      <c r="Y46" s="9">
        <v>1.5E-3</v>
      </c>
      <c r="Z46" s="9">
        <v>8.0000000000000004E-4</v>
      </c>
      <c r="AA46" s="9">
        <v>3.8999999999999998E-3</v>
      </c>
      <c r="AB46" s="9">
        <v>3.5999999999999999E-3</v>
      </c>
      <c r="AC46" s="9">
        <v>1.1000000000000001E-3</v>
      </c>
      <c r="AD46" s="9">
        <v>1E-3</v>
      </c>
      <c r="AE46" s="9">
        <v>8.9999999999999998E-4</v>
      </c>
    </row>
    <row r="47" spans="1:31" x14ac:dyDescent="0.3">
      <c r="B47" s="5">
        <v>202513</v>
      </c>
      <c r="C47" s="5"/>
      <c r="D47" s="9">
        <v>2.5000000000000001E-3</v>
      </c>
      <c r="E47" s="9">
        <v>3.0000000000000001E-3</v>
      </c>
      <c r="F47" s="9">
        <v>2.5000000000000001E-3</v>
      </c>
      <c r="G47" s="9">
        <v>3.0000000000000001E-3</v>
      </c>
      <c r="H47" s="9">
        <v>2.8999999999999998E-3</v>
      </c>
      <c r="I47" s="9">
        <v>4.7000000000000002E-3</v>
      </c>
      <c r="J47" s="9">
        <v>2.5999999999999999E-3</v>
      </c>
      <c r="K47" s="9">
        <v>4.4999999999999997E-3</v>
      </c>
      <c r="L47" s="9">
        <v>1.6999999999999999E-3</v>
      </c>
      <c r="M47" s="9">
        <v>2E-3</v>
      </c>
      <c r="N47" s="9">
        <v>3.5999999999999999E-3</v>
      </c>
      <c r="O47" s="9"/>
      <c r="P47" s="9">
        <v>5.3E-3</v>
      </c>
      <c r="Q47" s="9">
        <v>2.5000000000000001E-3</v>
      </c>
      <c r="R47" s="9">
        <v>3.8E-3</v>
      </c>
      <c r="S47" s="9">
        <v>3.0000000000000001E-3</v>
      </c>
      <c r="T47" s="9"/>
      <c r="U47" s="9">
        <v>3.5999999999999999E-3</v>
      </c>
      <c r="V47" s="9">
        <v>2.5000000000000001E-3</v>
      </c>
      <c r="W47" s="9">
        <v>3.5000000000000001E-3</v>
      </c>
      <c r="X47" s="9">
        <v>3.0999999999999999E-3</v>
      </c>
      <c r="Y47" s="9">
        <v>2E-3</v>
      </c>
      <c r="Z47" s="9">
        <v>1.1000000000000001E-3</v>
      </c>
      <c r="AA47" s="9">
        <v>3.7000000000000002E-3</v>
      </c>
      <c r="AB47" s="9">
        <v>1.8E-3</v>
      </c>
      <c r="AC47" s="9">
        <v>1.6999999999999999E-3</v>
      </c>
      <c r="AD47" s="9">
        <v>8.9999999999999998E-4</v>
      </c>
      <c r="AE47" s="9">
        <v>1E-3</v>
      </c>
    </row>
    <row r="48" spans="1:31" x14ac:dyDescent="0.3">
      <c r="B48" s="5">
        <v>202514</v>
      </c>
      <c r="C48" s="5"/>
      <c r="D48" s="9">
        <v>2.5999999999999999E-3</v>
      </c>
      <c r="E48" s="9">
        <v>4.1999999999999997E-3</v>
      </c>
      <c r="F48" s="9">
        <v>2.5000000000000001E-3</v>
      </c>
      <c r="G48" s="9">
        <v>4.8999999999999998E-3</v>
      </c>
      <c r="H48" s="9">
        <v>3.2000000000000002E-3</v>
      </c>
      <c r="I48" s="9">
        <v>2.8E-3</v>
      </c>
      <c r="J48" s="9">
        <v>6.1000000000000004E-3</v>
      </c>
      <c r="K48" s="9">
        <v>7.1000000000000004E-3</v>
      </c>
      <c r="L48" s="9">
        <v>8.9999999999999998E-4</v>
      </c>
      <c r="M48" s="9">
        <v>2.0999999999999999E-3</v>
      </c>
      <c r="N48" s="9">
        <v>3.7000000000000002E-3</v>
      </c>
      <c r="O48" s="9"/>
      <c r="P48" s="9">
        <v>3.8999999999999998E-3</v>
      </c>
      <c r="Q48" s="9">
        <v>2.5000000000000001E-3</v>
      </c>
      <c r="R48" s="9">
        <v>-1</v>
      </c>
      <c r="S48" s="9">
        <v>2.8E-3</v>
      </c>
      <c r="T48" s="9"/>
      <c r="U48" s="9">
        <v>3.5999999999999999E-3</v>
      </c>
      <c r="V48" s="9">
        <v>2.0999999999999999E-3</v>
      </c>
      <c r="W48" s="9">
        <v>3.2000000000000002E-3</v>
      </c>
      <c r="X48" s="9">
        <v>3.2000000000000002E-3</v>
      </c>
      <c r="Y48" s="9">
        <v>2.3999999999999998E-3</v>
      </c>
      <c r="Z48" s="9">
        <v>1.1999999999999999E-3</v>
      </c>
      <c r="AA48" s="9">
        <v>4.7999999999999996E-3</v>
      </c>
      <c r="AB48" s="9">
        <v>1.6999999999999999E-3</v>
      </c>
      <c r="AC48" s="9">
        <v>1.6999999999999999E-3</v>
      </c>
      <c r="AD48" s="9">
        <v>1.1000000000000001E-3</v>
      </c>
      <c r="AE48" s="9">
        <v>1.1000000000000001E-3</v>
      </c>
    </row>
    <row r="49" spans="2:31" x14ac:dyDescent="0.3">
      <c r="B49" s="5">
        <v>202515</v>
      </c>
      <c r="C49" s="5"/>
      <c r="D49" s="9">
        <v>2.5000000000000001E-3</v>
      </c>
      <c r="E49" s="9">
        <v>3.3E-3</v>
      </c>
      <c r="F49" s="9">
        <v>2.3999999999999998E-3</v>
      </c>
      <c r="G49" s="9">
        <v>5.1000000000000004E-3</v>
      </c>
      <c r="H49" s="9">
        <v>2.8E-3</v>
      </c>
      <c r="I49" s="9">
        <v>1.9E-3</v>
      </c>
      <c r="J49" s="9">
        <v>2.3999999999999998E-3</v>
      </c>
      <c r="K49" s="9">
        <v>3.0999999999999999E-3</v>
      </c>
      <c r="L49" s="9">
        <v>1.5E-3</v>
      </c>
      <c r="M49" s="9">
        <v>1.8E-3</v>
      </c>
      <c r="N49" s="9"/>
      <c r="O49" s="9"/>
      <c r="P49" s="9">
        <v>5.3E-3</v>
      </c>
      <c r="Q49" s="9">
        <v>2.5000000000000001E-3</v>
      </c>
      <c r="R49" s="9"/>
      <c r="S49" s="9">
        <v>2.5000000000000001E-3</v>
      </c>
      <c r="T49" s="9"/>
      <c r="U49" s="9">
        <v>3.7000000000000002E-3</v>
      </c>
      <c r="V49" s="9">
        <v>2.5999999999999999E-3</v>
      </c>
      <c r="W49" s="9">
        <v>2.8999999999999998E-3</v>
      </c>
      <c r="X49" s="9">
        <v>3.5999999999999999E-3</v>
      </c>
      <c r="Y49" s="9">
        <v>2.5999999999999999E-3</v>
      </c>
      <c r="Z49" s="9">
        <v>8.0000000000000004E-4</v>
      </c>
      <c r="AA49" s="9">
        <v>3.7000000000000002E-3</v>
      </c>
      <c r="AB49" s="9">
        <v>1.9E-3</v>
      </c>
      <c r="AC49" s="9">
        <v>1.4E-3</v>
      </c>
      <c r="AD49" s="9">
        <v>8.9999999999999998E-4</v>
      </c>
      <c r="AE49" s="9">
        <v>1.4E-3</v>
      </c>
    </row>
    <row r="50" spans="2:31" x14ac:dyDescent="0.3">
      <c r="B50" s="5">
        <v>202516</v>
      </c>
      <c r="C50" s="5"/>
      <c r="D50" s="9">
        <v>2.7000000000000001E-3</v>
      </c>
      <c r="E50" s="9">
        <v>2.8E-3</v>
      </c>
      <c r="F50" s="9">
        <v>2.5999999999999999E-3</v>
      </c>
      <c r="G50" s="9">
        <v>3.8999999999999998E-3</v>
      </c>
      <c r="H50" s="9">
        <v>2.5000000000000001E-3</v>
      </c>
      <c r="I50" s="9">
        <v>2.8999999999999998E-3</v>
      </c>
      <c r="J50" s="9">
        <v>1.9E-3</v>
      </c>
      <c r="K50" s="9">
        <v>2.2000000000000001E-3</v>
      </c>
      <c r="L50" s="9">
        <v>2.5999999999999999E-3</v>
      </c>
      <c r="M50" s="9">
        <v>1.9E-3</v>
      </c>
      <c r="N50" s="9"/>
      <c r="O50" s="9"/>
      <c r="P50" s="9">
        <v>5.0000000000000001E-3</v>
      </c>
      <c r="Q50" s="9">
        <v>2.5000000000000001E-3</v>
      </c>
      <c r="R50" s="9"/>
      <c r="S50" s="9">
        <v>2.8E-3</v>
      </c>
      <c r="T50" s="9"/>
      <c r="U50" s="9">
        <v>4.0000000000000001E-3</v>
      </c>
      <c r="V50" s="9">
        <v>2.3E-3</v>
      </c>
      <c r="W50" s="9">
        <v>3.0999999999999999E-3</v>
      </c>
      <c r="X50" s="9">
        <v>3.5999999999999999E-3</v>
      </c>
      <c r="Y50" s="9">
        <v>3.3999999999999998E-3</v>
      </c>
      <c r="Z50" s="9">
        <v>1.1999999999999999E-3</v>
      </c>
      <c r="AA50" s="9">
        <v>4.3E-3</v>
      </c>
      <c r="AB50" s="9">
        <v>2.2000000000000001E-3</v>
      </c>
      <c r="AC50" s="9">
        <v>1.6000000000000001E-3</v>
      </c>
      <c r="AD50" s="9">
        <v>1.2999999999999999E-3</v>
      </c>
      <c r="AE50" s="9">
        <v>1.2999999999999999E-3</v>
      </c>
    </row>
    <row r="51" spans="2:31" x14ac:dyDescent="0.3">
      <c r="B51" s="5">
        <v>202517</v>
      </c>
      <c r="C51" s="5"/>
      <c r="D51" s="9">
        <v>2.8E-3</v>
      </c>
      <c r="E51" s="9">
        <v>2.5999999999999999E-3</v>
      </c>
      <c r="F51" s="9">
        <v>2.8E-3</v>
      </c>
      <c r="G51" s="9">
        <v>2.8E-3</v>
      </c>
      <c r="H51" s="9">
        <v>2.8999999999999998E-3</v>
      </c>
      <c r="I51" s="9">
        <v>3.8E-3</v>
      </c>
      <c r="J51" s="9">
        <v>1.4E-3</v>
      </c>
      <c r="K51" s="9">
        <v>2.3999999999999998E-3</v>
      </c>
      <c r="L51" s="9">
        <v>1.6999999999999999E-3</v>
      </c>
      <c r="M51" s="9">
        <v>1.2999999999999999E-3</v>
      </c>
      <c r="N51" s="9"/>
      <c r="O51" s="9"/>
      <c r="P51" s="9">
        <v>8.2000000000000007E-3</v>
      </c>
      <c r="Q51" s="9">
        <v>3.0999999999999999E-3</v>
      </c>
      <c r="R51" s="9"/>
      <c r="S51" s="9">
        <v>2.8E-3</v>
      </c>
      <c r="T51" s="9"/>
      <c r="U51" s="9">
        <v>3.8999999999999998E-3</v>
      </c>
      <c r="V51" s="9">
        <v>2.8999999999999998E-3</v>
      </c>
      <c r="W51" s="9">
        <v>3.5999999999999999E-3</v>
      </c>
      <c r="X51" s="9">
        <v>2.7000000000000001E-3</v>
      </c>
      <c r="Y51" s="9">
        <v>3.3E-3</v>
      </c>
      <c r="Z51" s="9">
        <v>8.9999999999999998E-4</v>
      </c>
      <c r="AA51" s="9">
        <v>4.1999999999999997E-3</v>
      </c>
      <c r="AB51" s="9">
        <v>2E-3</v>
      </c>
      <c r="AC51" s="9">
        <v>2.2000000000000001E-3</v>
      </c>
      <c r="AD51" s="9">
        <v>8.9999999999999998E-4</v>
      </c>
      <c r="AE51" s="9">
        <v>1.2999999999999999E-3</v>
      </c>
    </row>
    <row r="52" spans="2:31" x14ac:dyDescent="0.3">
      <c r="B52" s="5">
        <v>202518</v>
      </c>
      <c r="C52" s="5"/>
      <c r="D52" s="9">
        <v>3.7000000000000002E-3</v>
      </c>
      <c r="E52" s="9">
        <v>2.5999999999999999E-3</v>
      </c>
      <c r="F52" s="9">
        <v>3.7000000000000002E-3</v>
      </c>
      <c r="G52" s="9">
        <v>3.0999999999999999E-3</v>
      </c>
      <c r="H52" s="9">
        <v>2.2000000000000001E-3</v>
      </c>
      <c r="I52" s="9">
        <v>8.6999999999999994E-3</v>
      </c>
      <c r="J52" s="9">
        <v>2.5999999999999999E-3</v>
      </c>
      <c r="K52" s="9">
        <v>2.3999999999999998E-3</v>
      </c>
      <c r="L52" s="9">
        <v>1.6999999999999999E-3</v>
      </c>
      <c r="M52" s="9">
        <v>1.4E-3</v>
      </c>
      <c r="N52" s="9"/>
      <c r="O52" s="9"/>
      <c r="P52" s="9">
        <v>4.8999999999999998E-3</v>
      </c>
      <c r="Q52" s="9">
        <v>4.1999999999999997E-3</v>
      </c>
      <c r="R52" s="9"/>
      <c r="S52" s="9">
        <v>3.0000000000000001E-3</v>
      </c>
      <c r="T52" s="9"/>
      <c r="U52" s="9">
        <v>4.1999999999999997E-3</v>
      </c>
      <c r="V52" s="9">
        <v>2.0999999999999999E-3</v>
      </c>
      <c r="W52" s="9">
        <v>3.3E-3</v>
      </c>
      <c r="X52" s="9">
        <v>3.7000000000000002E-3</v>
      </c>
      <c r="Y52" s="9">
        <v>4.1999999999999997E-3</v>
      </c>
      <c r="Z52" s="9">
        <v>9.1999999999999998E-3</v>
      </c>
      <c r="AA52" s="9">
        <v>9.4000000000000004E-3</v>
      </c>
      <c r="AB52" s="9">
        <v>1.9E-3</v>
      </c>
      <c r="AC52" s="9">
        <v>1.8E-3</v>
      </c>
      <c r="AD52" s="9">
        <v>1.6000000000000001E-3</v>
      </c>
      <c r="AE52" s="9">
        <v>1.8E-3</v>
      </c>
    </row>
    <row r="53" spans="2:31" x14ac:dyDescent="0.3">
      <c r="B53" s="5">
        <v>202519</v>
      </c>
      <c r="C53" s="5"/>
      <c r="D53" s="9">
        <v>2.8999999999999998E-3</v>
      </c>
      <c r="E53" s="9">
        <v>2.3E-3</v>
      </c>
      <c r="F53" s="9">
        <v>2.8999999999999998E-3</v>
      </c>
      <c r="G53" s="9">
        <v>2.5000000000000001E-3</v>
      </c>
      <c r="H53" s="9">
        <v>2.0999999999999999E-3</v>
      </c>
      <c r="I53" s="9">
        <v>1E-3</v>
      </c>
      <c r="J53" s="9">
        <v>2.0999999999999999E-3</v>
      </c>
      <c r="K53" s="9">
        <v>4.3E-3</v>
      </c>
      <c r="L53" s="9">
        <v>1.2999999999999999E-3</v>
      </c>
      <c r="M53" s="9">
        <v>1.6999999999999999E-3</v>
      </c>
      <c r="N53" s="9"/>
      <c r="O53" s="9"/>
      <c r="P53" s="9">
        <v>5.1999999999999998E-3</v>
      </c>
      <c r="Q53" s="9">
        <v>3.2000000000000002E-3</v>
      </c>
      <c r="R53" s="9"/>
      <c r="S53" s="9">
        <v>2.5999999999999999E-3</v>
      </c>
      <c r="T53" s="9">
        <v>1.1999999999999999E-3</v>
      </c>
      <c r="U53" s="9">
        <v>3.8999999999999998E-3</v>
      </c>
      <c r="V53" s="9">
        <v>3.3999999999999998E-3</v>
      </c>
      <c r="W53" s="9">
        <v>4.1000000000000003E-3</v>
      </c>
      <c r="X53" s="9">
        <v>3.5000000000000001E-3</v>
      </c>
      <c r="Y53" s="9">
        <v>4.4999999999999997E-3</v>
      </c>
      <c r="Z53" s="9">
        <v>2E-3</v>
      </c>
      <c r="AA53" s="9">
        <v>4.8999999999999998E-3</v>
      </c>
      <c r="AB53" s="9">
        <v>3.0000000000000001E-3</v>
      </c>
      <c r="AC53" s="9">
        <v>1.9E-3</v>
      </c>
      <c r="AD53" s="9">
        <v>1E-3</v>
      </c>
      <c r="AE53" s="9">
        <v>2E-3</v>
      </c>
    </row>
    <row r="54" spans="2:31" x14ac:dyDescent="0.3">
      <c r="B54" s="5">
        <v>202520</v>
      </c>
      <c r="C54" s="5"/>
      <c r="D54" s="9">
        <v>2.7000000000000001E-3</v>
      </c>
      <c r="E54" s="9">
        <v>2.2000000000000001E-3</v>
      </c>
      <c r="F54" s="9">
        <v>2.7000000000000001E-3</v>
      </c>
      <c r="G54" s="9">
        <v>2.8E-3</v>
      </c>
      <c r="H54" s="9">
        <v>1.8E-3</v>
      </c>
      <c r="I54" s="9">
        <v>2.8999999999999998E-3</v>
      </c>
      <c r="J54" s="9">
        <v>2.0999999999999999E-3</v>
      </c>
      <c r="K54" s="9">
        <v>3.3999999999999998E-3</v>
      </c>
      <c r="L54" s="9">
        <v>8.9999999999999998E-4</v>
      </c>
      <c r="M54" s="9">
        <v>3.5000000000000001E-3</v>
      </c>
      <c r="N54" s="9">
        <v>6.9999999999999999E-4</v>
      </c>
      <c r="O54" s="9"/>
      <c r="P54" s="9">
        <v>4.4000000000000003E-3</v>
      </c>
      <c r="Q54" s="9">
        <v>3.5999999999999999E-3</v>
      </c>
      <c r="R54" s="9"/>
      <c r="S54" s="9">
        <v>2.7000000000000001E-3</v>
      </c>
      <c r="T54" s="9">
        <v>1.1999999999999999E-3</v>
      </c>
      <c r="U54" s="9">
        <v>3.8E-3</v>
      </c>
      <c r="V54" s="9">
        <v>2.8E-3</v>
      </c>
      <c r="W54" s="9">
        <v>4.0000000000000001E-3</v>
      </c>
      <c r="X54" s="9">
        <v>2.3E-3</v>
      </c>
      <c r="Y54" s="9">
        <v>4.3E-3</v>
      </c>
      <c r="Z54" s="9">
        <v>1.1999999999999999E-3</v>
      </c>
      <c r="AA54" s="9">
        <v>4.0000000000000001E-3</v>
      </c>
      <c r="AB54" s="9">
        <v>2.5000000000000001E-3</v>
      </c>
      <c r="AC54" s="9">
        <v>1.9E-3</v>
      </c>
      <c r="AD54" s="9">
        <v>1.4E-3</v>
      </c>
      <c r="AE54" s="9">
        <v>1.8E-3</v>
      </c>
    </row>
    <row r="55" spans="2:31" x14ac:dyDescent="0.3">
      <c r="B55" s="5">
        <v>202521</v>
      </c>
      <c r="C55" s="5"/>
      <c r="D55" s="9">
        <v>3.8E-3</v>
      </c>
      <c r="E55" s="9">
        <v>2.0999999999999999E-3</v>
      </c>
      <c r="F55" s="9">
        <v>3.8999999999999998E-3</v>
      </c>
      <c r="G55" s="9">
        <v>2.8999999999999998E-3</v>
      </c>
      <c r="H55" s="9">
        <v>1.9E-3</v>
      </c>
      <c r="I55" s="9">
        <v>2.8999999999999998E-3</v>
      </c>
      <c r="J55" s="9">
        <v>2.0000000000000001E-4</v>
      </c>
      <c r="K55" s="9">
        <v>2.7000000000000001E-3</v>
      </c>
      <c r="L55" s="9">
        <v>1.5E-3</v>
      </c>
      <c r="M55" s="9">
        <v>2E-3</v>
      </c>
      <c r="N55" s="9">
        <v>8.9999999999999998E-4</v>
      </c>
      <c r="O55" s="9"/>
      <c r="P55" s="9">
        <v>5.7000000000000002E-3</v>
      </c>
      <c r="Q55" s="9">
        <v>3.7000000000000002E-3</v>
      </c>
      <c r="R55" s="9"/>
      <c r="S55" s="9">
        <v>3.0999999999999999E-3</v>
      </c>
      <c r="T55" s="9">
        <v>1.5E-3</v>
      </c>
      <c r="U55" s="9">
        <v>4.1000000000000003E-3</v>
      </c>
      <c r="V55" s="9">
        <v>2.3999999999999998E-3</v>
      </c>
      <c r="W55" s="9">
        <v>0</v>
      </c>
      <c r="X55" s="9">
        <v>0</v>
      </c>
      <c r="Y55" s="9">
        <v>1.4200000000000001E-2</v>
      </c>
      <c r="Z55" s="9">
        <v>1.4E-3</v>
      </c>
      <c r="AA55" s="9">
        <v>3.8E-3</v>
      </c>
      <c r="AB55" s="9">
        <v>1.6999999999999999E-3</v>
      </c>
      <c r="AC55" s="9">
        <v>2.0999999999999999E-3</v>
      </c>
      <c r="AD55" s="9">
        <v>1.1000000000000001E-3</v>
      </c>
      <c r="AE55" s="9">
        <v>4.4000000000000003E-3</v>
      </c>
    </row>
    <row r="56" spans="2:31" x14ac:dyDescent="0.3">
      <c r="B56" s="5">
        <v>202522</v>
      </c>
      <c r="C56" s="5"/>
      <c r="D56" s="9">
        <v>2.7000000000000001E-3</v>
      </c>
      <c r="E56" s="9">
        <v>2.2000000000000001E-3</v>
      </c>
      <c r="F56" s="9">
        <v>2.8E-3</v>
      </c>
      <c r="G56" s="9">
        <v>2.3999999999999998E-3</v>
      </c>
      <c r="H56" s="9">
        <v>2E-3</v>
      </c>
      <c r="I56" s="9">
        <v>3.8999999999999998E-3</v>
      </c>
      <c r="J56" s="9">
        <v>6.9999999999999999E-4</v>
      </c>
      <c r="K56" s="9">
        <v>3.7000000000000002E-3</v>
      </c>
      <c r="L56" s="9">
        <v>2.2000000000000001E-3</v>
      </c>
      <c r="M56" s="9">
        <v>2.5000000000000001E-3</v>
      </c>
      <c r="N56" s="9">
        <v>2.2000000000000001E-3</v>
      </c>
      <c r="O56" s="9"/>
      <c r="P56" s="9">
        <v>8.3999999999999995E-3</v>
      </c>
      <c r="Q56" s="9">
        <v>3.3999999999999998E-3</v>
      </c>
      <c r="R56" s="9"/>
      <c r="S56" s="9">
        <v>3.0000000000000001E-3</v>
      </c>
      <c r="T56" s="9">
        <v>1.6999999999999999E-3</v>
      </c>
      <c r="U56" s="9">
        <v>2.9999999999999997E-4</v>
      </c>
      <c r="V56" s="9">
        <v>3.2000000000000002E-3</v>
      </c>
      <c r="W56" s="9"/>
      <c r="X56" s="9"/>
      <c r="Y56" s="9">
        <v>5.7999999999999996E-3</v>
      </c>
      <c r="Z56" s="9">
        <v>1.2999999999999999E-3</v>
      </c>
      <c r="AA56" s="9">
        <v>4.1000000000000003E-3</v>
      </c>
      <c r="AB56" s="9">
        <v>2.5000000000000001E-3</v>
      </c>
      <c r="AC56" s="9">
        <v>1.9E-3</v>
      </c>
      <c r="AD56" s="9">
        <v>1.1999999999999999E-3</v>
      </c>
      <c r="AE56" s="9">
        <v>2.3E-3</v>
      </c>
    </row>
    <row r="57" spans="2:31" x14ac:dyDescent="0.3">
      <c r="B57" s="5">
        <v>202523</v>
      </c>
      <c r="C57" s="5"/>
      <c r="D57" s="9">
        <v>3.0000000000000001E-3</v>
      </c>
      <c r="E57" s="9">
        <v>1.9E-3</v>
      </c>
      <c r="F57" s="9">
        <v>3.0999999999999999E-3</v>
      </c>
      <c r="G57" s="9">
        <v>1.6999999999999999E-3</v>
      </c>
      <c r="H57" s="9">
        <v>1.1000000000000001E-3</v>
      </c>
      <c r="I57" s="9">
        <v>1E-3</v>
      </c>
      <c r="J57" s="9">
        <v>2.2000000000000001E-3</v>
      </c>
      <c r="K57" s="9">
        <v>1.6999999999999999E-3</v>
      </c>
      <c r="L57" s="9">
        <v>4.7999999999999996E-3</v>
      </c>
      <c r="M57" s="9">
        <v>2.5000000000000001E-3</v>
      </c>
      <c r="N57" s="9">
        <v>5.1999999999999998E-3</v>
      </c>
      <c r="O57" s="9"/>
      <c r="P57" s="9">
        <v>9.4999999999999998E-3</v>
      </c>
      <c r="Q57" s="9">
        <v>3.5000000000000001E-3</v>
      </c>
      <c r="R57" s="9"/>
      <c r="S57" s="9">
        <v>3.0000000000000001E-3</v>
      </c>
      <c r="T57" s="9">
        <v>1.9E-3</v>
      </c>
      <c r="U57" s="9"/>
      <c r="V57" s="9">
        <v>2.5999999999999999E-3</v>
      </c>
      <c r="W57" s="9"/>
      <c r="X57" s="9"/>
      <c r="Y57" s="9">
        <v>3.8E-3</v>
      </c>
      <c r="Z57" s="9">
        <v>1.6000000000000001E-3</v>
      </c>
      <c r="AA57" s="9">
        <v>6.1999999999999998E-3</v>
      </c>
      <c r="AB57" s="9">
        <v>3.5000000000000001E-3</v>
      </c>
      <c r="AC57" s="9">
        <v>1.9E-3</v>
      </c>
      <c r="AD57" s="9">
        <v>1.4E-3</v>
      </c>
      <c r="AE57" s="9">
        <v>2.3999999999999998E-3</v>
      </c>
    </row>
    <row r="58" spans="2:31" x14ac:dyDescent="0.3">
      <c r="B58" s="5">
        <v>202524</v>
      </c>
      <c r="C58" s="5"/>
      <c r="D58" s="9">
        <v>3.3E-3</v>
      </c>
      <c r="E58" s="9">
        <v>2.5999999999999999E-3</v>
      </c>
      <c r="F58" s="9">
        <v>3.3E-3</v>
      </c>
      <c r="G58" s="9">
        <v>2.3999999999999998E-3</v>
      </c>
      <c r="H58" s="9">
        <v>2.0999999999999999E-3</v>
      </c>
      <c r="I58" s="9">
        <v>5.8999999999999999E-3</v>
      </c>
      <c r="J58" s="9">
        <v>3.0999999999999999E-3</v>
      </c>
      <c r="K58" s="9">
        <v>2.3999999999999998E-3</v>
      </c>
      <c r="L58" s="9">
        <v>3.3E-3</v>
      </c>
      <c r="M58" s="9">
        <v>5.1999999999999998E-3</v>
      </c>
      <c r="N58" s="9">
        <v>5.1000000000000004E-3</v>
      </c>
      <c r="O58" s="9"/>
      <c r="P58" s="9">
        <v>8.9999999999999993E-3</v>
      </c>
      <c r="Q58" s="9">
        <v>4.1999999999999997E-3</v>
      </c>
      <c r="R58" s="9"/>
      <c r="S58" s="9">
        <v>2.8999999999999998E-3</v>
      </c>
      <c r="T58" s="9">
        <v>1.9E-3</v>
      </c>
      <c r="U58" s="9"/>
      <c r="V58" s="9">
        <v>2.5000000000000001E-3</v>
      </c>
      <c r="W58" s="9"/>
      <c r="X58" s="9"/>
      <c r="Y58" s="9">
        <v>4.1999999999999997E-3</v>
      </c>
      <c r="Z58" s="9">
        <v>1.6000000000000001E-3</v>
      </c>
      <c r="AA58" s="9">
        <v>6.3E-3</v>
      </c>
      <c r="AB58" s="9">
        <v>3.0000000000000001E-3</v>
      </c>
      <c r="AC58" s="9">
        <v>2.3E-3</v>
      </c>
      <c r="AD58" s="9">
        <v>1.8E-3</v>
      </c>
      <c r="AE58" s="9">
        <v>2.0999999999999999E-3</v>
      </c>
    </row>
    <row r="59" spans="2:31" x14ac:dyDescent="0.3">
      <c r="B59" s="5">
        <v>202525</v>
      </c>
      <c r="C59" s="5"/>
      <c r="D59" s="9">
        <v>3.2000000000000002E-3</v>
      </c>
      <c r="E59" s="9">
        <v>2.8999999999999998E-3</v>
      </c>
      <c r="F59" s="9">
        <v>3.2000000000000002E-3</v>
      </c>
      <c r="G59" s="9">
        <v>2.0999999999999999E-3</v>
      </c>
      <c r="H59" s="9">
        <v>2.0999999999999999E-3</v>
      </c>
      <c r="I59" s="9">
        <v>6.8999999999999999E-3</v>
      </c>
      <c r="J59" s="9">
        <v>4.3E-3</v>
      </c>
      <c r="K59" s="9">
        <v>3.8999999999999998E-3</v>
      </c>
      <c r="L59" s="9">
        <v>4.4000000000000003E-3</v>
      </c>
      <c r="M59" s="9">
        <v>6.4000000000000003E-3</v>
      </c>
      <c r="N59" s="9">
        <v>4.4999999999999997E-3</v>
      </c>
      <c r="O59" s="9"/>
      <c r="P59" s="9">
        <v>9.7000000000000003E-3</v>
      </c>
      <c r="Q59" s="9">
        <v>3.3999999999999998E-3</v>
      </c>
      <c r="R59" s="9"/>
      <c r="S59" s="9">
        <v>3.0000000000000001E-3</v>
      </c>
      <c r="T59" s="9">
        <v>1.9E-3</v>
      </c>
      <c r="U59" s="9"/>
      <c r="V59" s="9">
        <v>3.3999999999999998E-3</v>
      </c>
      <c r="W59" s="9"/>
      <c r="X59" s="9"/>
      <c r="Y59" s="9">
        <v>5.0000000000000001E-3</v>
      </c>
      <c r="Z59" s="9">
        <v>1.1999999999999999E-3</v>
      </c>
      <c r="AA59" s="9">
        <v>3.5999999999999999E-3</v>
      </c>
      <c r="AB59" s="9">
        <v>3.0999999999999999E-3</v>
      </c>
      <c r="AC59" s="9">
        <v>2.8E-3</v>
      </c>
      <c r="AD59" s="9">
        <v>1.6999999999999999E-3</v>
      </c>
      <c r="AE59" s="9">
        <v>1.8E-3</v>
      </c>
    </row>
    <row r="60" spans="2:31" x14ac:dyDescent="0.3">
      <c r="B60" s="5">
        <v>202526</v>
      </c>
      <c r="C60" s="5"/>
      <c r="D60" s="9">
        <v>3.5000000000000001E-3</v>
      </c>
      <c r="E60" s="9">
        <v>2.3E-3</v>
      </c>
      <c r="F60" s="9">
        <v>3.5999999999999999E-3</v>
      </c>
      <c r="G60" s="9">
        <v>2E-3</v>
      </c>
      <c r="H60" s="9">
        <v>1.6000000000000001E-3</v>
      </c>
      <c r="I60" s="9">
        <v>7.0000000000000001E-3</v>
      </c>
      <c r="J60" s="9">
        <v>3.3999999999999998E-3</v>
      </c>
      <c r="K60" s="9">
        <v>2.5000000000000001E-3</v>
      </c>
      <c r="L60" s="9">
        <v>3.3E-3</v>
      </c>
      <c r="M60" s="9">
        <v>6.0000000000000001E-3</v>
      </c>
      <c r="N60" s="9">
        <v>2.7000000000000001E-3</v>
      </c>
      <c r="O60" s="9"/>
      <c r="P60" s="9">
        <v>1.9300000000000001E-2</v>
      </c>
      <c r="Q60" s="9">
        <v>3.2000000000000002E-3</v>
      </c>
      <c r="R60" s="9"/>
      <c r="S60" s="9">
        <v>3.3E-3</v>
      </c>
      <c r="T60" s="9">
        <v>1.9E-3</v>
      </c>
      <c r="U60" s="9"/>
      <c r="V60" s="9">
        <v>3.5999999999999999E-3</v>
      </c>
      <c r="W60" s="9"/>
      <c r="X60" s="9"/>
      <c r="Y60" s="9">
        <v>5.4999999999999997E-3</v>
      </c>
      <c r="Z60" s="9">
        <v>1.1999999999999999E-3</v>
      </c>
      <c r="AA60" s="9">
        <v>5.4999999999999997E-3</v>
      </c>
      <c r="AB60" s="9">
        <v>3.3E-3</v>
      </c>
      <c r="AC60" s="9">
        <v>3.0999999999999999E-3</v>
      </c>
      <c r="AD60" s="9">
        <v>1.6999999999999999E-3</v>
      </c>
      <c r="AE60" s="9">
        <v>2.2000000000000001E-3</v>
      </c>
    </row>
    <row r="61" spans="2:31" x14ac:dyDescent="0.3">
      <c r="B61" s="5">
        <v>202527</v>
      </c>
      <c r="C61" s="5"/>
      <c r="D61" s="9">
        <v>3.5000000000000001E-3</v>
      </c>
      <c r="E61" s="9">
        <v>2.7000000000000001E-3</v>
      </c>
      <c r="F61" s="9">
        <v>3.5999999999999999E-3</v>
      </c>
      <c r="G61" s="9">
        <v>1.5E-3</v>
      </c>
      <c r="H61" s="9">
        <v>2.2000000000000001E-3</v>
      </c>
      <c r="I61" s="9">
        <v>5.0000000000000001E-3</v>
      </c>
      <c r="J61" s="9">
        <v>4.4000000000000003E-3</v>
      </c>
      <c r="K61" s="9">
        <v>4.4999999999999997E-3</v>
      </c>
      <c r="L61" s="9">
        <v>3.5999999999999999E-3</v>
      </c>
      <c r="M61" s="9">
        <v>4.4000000000000003E-3</v>
      </c>
      <c r="N61" s="9">
        <v>1.4E-3</v>
      </c>
      <c r="O61" s="9"/>
      <c r="P61" s="9">
        <v>2.12E-2</v>
      </c>
      <c r="Q61" s="9">
        <v>4.1999999999999997E-3</v>
      </c>
      <c r="R61" s="9"/>
      <c r="S61" s="9">
        <v>3.2000000000000002E-3</v>
      </c>
      <c r="T61" s="9">
        <v>1.9E-3</v>
      </c>
      <c r="U61" s="9"/>
      <c r="V61" s="9">
        <v>3.3999999999999998E-3</v>
      </c>
      <c r="W61" s="9"/>
      <c r="X61" s="9"/>
      <c r="Y61" s="9">
        <v>5.7999999999999996E-3</v>
      </c>
      <c r="Z61" s="9">
        <v>1.1999999999999999E-3</v>
      </c>
      <c r="AA61" s="9">
        <v>6.3E-3</v>
      </c>
      <c r="AB61" s="9">
        <v>3.8999999999999998E-3</v>
      </c>
      <c r="AC61" s="9">
        <v>2.7000000000000001E-3</v>
      </c>
      <c r="AD61" s="9">
        <v>1.1999999999999999E-3</v>
      </c>
      <c r="AE61" s="9">
        <v>1.9E-3</v>
      </c>
    </row>
    <row r="62" spans="2:31" x14ac:dyDescent="0.3">
      <c r="B62" s="5">
        <v>202528</v>
      </c>
      <c r="C62" s="5"/>
      <c r="D62" s="9">
        <v>3.8E-3</v>
      </c>
      <c r="E62" s="9">
        <v>2.0999999999999999E-3</v>
      </c>
      <c r="F62" s="9">
        <v>3.8999999999999998E-3</v>
      </c>
      <c r="G62" s="9">
        <v>1.8E-3</v>
      </c>
      <c r="H62" s="9">
        <v>1.8E-3</v>
      </c>
      <c r="I62" s="9">
        <v>3.0000000000000001E-3</v>
      </c>
      <c r="J62" s="9">
        <v>1.9E-3</v>
      </c>
      <c r="K62" s="9">
        <v>2.5000000000000001E-3</v>
      </c>
      <c r="L62" s="9">
        <v>3.0999999999999999E-3</v>
      </c>
      <c r="M62" s="9">
        <v>5.7999999999999996E-3</v>
      </c>
      <c r="N62" s="9">
        <v>1.5E-3</v>
      </c>
      <c r="O62" s="9"/>
      <c r="P62" s="9">
        <v>1.24E-2</v>
      </c>
      <c r="Q62" s="9">
        <v>4.7000000000000002E-3</v>
      </c>
      <c r="R62" s="9"/>
      <c r="S62" s="9">
        <v>8.6999999999999994E-3</v>
      </c>
      <c r="T62" s="9">
        <v>2.0999999999999999E-3</v>
      </c>
      <c r="U62" s="9">
        <v>1.5E-3</v>
      </c>
      <c r="V62" s="9">
        <v>4.5999999999999999E-3</v>
      </c>
      <c r="W62" s="9">
        <v>8.0000000000000004E-4</v>
      </c>
      <c r="X62" s="9">
        <v>2.2000000000000001E-3</v>
      </c>
      <c r="Y62" s="9">
        <v>6.4000000000000003E-3</v>
      </c>
      <c r="Z62" s="9">
        <v>1.8E-3</v>
      </c>
      <c r="AA62" s="9">
        <v>6.4000000000000003E-3</v>
      </c>
      <c r="AB62" s="9">
        <v>3.7000000000000002E-3</v>
      </c>
      <c r="AC62" s="9">
        <v>3.0999999999999999E-3</v>
      </c>
      <c r="AD62" s="9">
        <v>2.0999999999999999E-3</v>
      </c>
      <c r="AE62" s="9">
        <v>2.3999999999999998E-3</v>
      </c>
    </row>
    <row r="63" spans="2:31" x14ac:dyDescent="0.3">
      <c r="B63" s="5">
        <v>202529</v>
      </c>
      <c r="C63" s="5"/>
      <c r="D63" s="9">
        <v>3.3E-3</v>
      </c>
      <c r="E63" s="9">
        <v>2.8E-3</v>
      </c>
      <c r="F63" s="9">
        <v>3.3E-3</v>
      </c>
      <c r="G63" s="9">
        <v>2.8999999999999998E-3</v>
      </c>
      <c r="H63" s="9">
        <v>1.6000000000000001E-3</v>
      </c>
      <c r="I63" s="9">
        <v>6.1000000000000004E-3</v>
      </c>
      <c r="J63" s="9">
        <v>3.3999999999999998E-3</v>
      </c>
      <c r="K63" s="9">
        <v>3.2000000000000002E-3</v>
      </c>
      <c r="L63" s="9">
        <v>4.3E-3</v>
      </c>
      <c r="M63" s="9">
        <v>3.8E-3</v>
      </c>
      <c r="N63" s="9">
        <v>1.4E-3</v>
      </c>
      <c r="O63" s="9"/>
      <c r="P63" s="9">
        <v>1.5800000000000002E-2</v>
      </c>
      <c r="Q63" s="9">
        <v>3.3999999999999998E-3</v>
      </c>
      <c r="R63" s="9"/>
      <c r="S63" s="9">
        <v>3.5000000000000001E-3</v>
      </c>
      <c r="T63" s="9">
        <v>2.0999999999999999E-3</v>
      </c>
      <c r="U63" s="9">
        <v>1.6000000000000001E-3</v>
      </c>
      <c r="V63" s="9">
        <v>4.1999999999999997E-3</v>
      </c>
      <c r="W63" s="9">
        <v>1.1000000000000001E-3</v>
      </c>
      <c r="X63" s="9">
        <v>1.6999999999999999E-3</v>
      </c>
      <c r="Y63" s="9">
        <v>5.8999999999999999E-3</v>
      </c>
      <c r="Z63" s="9">
        <v>1.6999999999999999E-3</v>
      </c>
      <c r="AA63" s="9">
        <v>7.3000000000000001E-3</v>
      </c>
      <c r="AB63" s="9">
        <v>3.3999999999999998E-3</v>
      </c>
      <c r="AC63" s="9">
        <v>3.3E-3</v>
      </c>
      <c r="AD63" s="9">
        <v>1.6000000000000001E-3</v>
      </c>
      <c r="AE63" s="9">
        <v>2E-3</v>
      </c>
    </row>
    <row r="64" spans="2:31" x14ac:dyDescent="0.3">
      <c r="B64" s="5">
        <v>202530</v>
      </c>
      <c r="C64" s="5"/>
      <c r="D64" s="9">
        <v>4.0000000000000001E-3</v>
      </c>
      <c r="E64" s="9">
        <v>2.5000000000000001E-3</v>
      </c>
      <c r="F64" s="9">
        <v>4.1000000000000003E-3</v>
      </c>
      <c r="G64" s="9">
        <v>2.0999999999999999E-3</v>
      </c>
      <c r="H64" s="9">
        <v>2E-3</v>
      </c>
      <c r="I64" s="9">
        <v>4.1000000000000003E-3</v>
      </c>
      <c r="J64" s="9">
        <v>2.7000000000000001E-3</v>
      </c>
      <c r="K64" s="9">
        <v>3.0000000000000001E-3</v>
      </c>
      <c r="L64" s="9">
        <v>3.8E-3</v>
      </c>
      <c r="M64" s="9">
        <v>5.7000000000000002E-3</v>
      </c>
      <c r="N64" s="9">
        <v>1.5E-3</v>
      </c>
      <c r="O64" s="9"/>
      <c r="P64" s="9">
        <v>1.2500000000000001E-2</v>
      </c>
      <c r="Q64" s="9">
        <v>3.7000000000000002E-3</v>
      </c>
      <c r="R64" s="9"/>
      <c r="S64" s="9">
        <v>1.0800000000000001E-2</v>
      </c>
      <c r="T64" s="9">
        <v>2E-3</v>
      </c>
      <c r="U64" s="9">
        <v>1.6999999999999999E-3</v>
      </c>
      <c r="V64" s="9">
        <v>4.7000000000000002E-3</v>
      </c>
      <c r="W64" s="9">
        <v>1.1000000000000001E-3</v>
      </c>
      <c r="X64" s="9">
        <v>1.5E-3</v>
      </c>
      <c r="Y64" s="9">
        <v>7.7999999999999996E-3</v>
      </c>
      <c r="Z64" s="9">
        <v>2.3999999999999998E-3</v>
      </c>
      <c r="AA64" s="9">
        <v>5.7000000000000002E-3</v>
      </c>
      <c r="AB64" s="9">
        <v>3.0999999999999999E-3</v>
      </c>
      <c r="AC64" s="9">
        <v>3.3E-3</v>
      </c>
      <c r="AD64" s="9">
        <v>1.6000000000000001E-3</v>
      </c>
      <c r="AE64" s="9">
        <v>2.3999999999999998E-3</v>
      </c>
    </row>
    <row r="65" spans="2:31" x14ac:dyDescent="0.3">
      <c r="B65" s="5">
        <v>202531</v>
      </c>
      <c r="C65" s="5"/>
      <c r="D65" s="9">
        <v>4.7999999999999996E-3</v>
      </c>
      <c r="E65" s="9">
        <v>3.5000000000000001E-3</v>
      </c>
      <c r="F65" s="9">
        <v>4.7999999999999996E-3</v>
      </c>
      <c r="G65" s="9">
        <v>3.3E-3</v>
      </c>
      <c r="H65" s="9">
        <v>3.5999999999999999E-3</v>
      </c>
      <c r="I65" s="9">
        <v>7.1000000000000004E-3</v>
      </c>
      <c r="J65" s="9">
        <v>4.8999999999999998E-3</v>
      </c>
      <c r="K65" s="9">
        <v>1.5E-3</v>
      </c>
      <c r="L65" s="9">
        <v>3.3999999999999998E-3</v>
      </c>
      <c r="M65" s="9">
        <v>7.4999999999999997E-3</v>
      </c>
      <c r="N65" s="9">
        <v>5.7999999999999996E-3</v>
      </c>
      <c r="O65" s="9"/>
      <c r="P65" s="9">
        <v>1.3299999999999999E-2</v>
      </c>
      <c r="Q65" s="9">
        <v>4.1999999999999997E-3</v>
      </c>
      <c r="R65" s="9"/>
      <c r="S65" s="9">
        <v>1.0800000000000001E-2</v>
      </c>
      <c r="T65" s="9">
        <v>2.3999999999999998E-3</v>
      </c>
      <c r="U65" s="9">
        <v>1.8E-3</v>
      </c>
      <c r="V65" s="9">
        <v>7.7999999999999996E-3</v>
      </c>
      <c r="W65" s="9">
        <v>1.6000000000000001E-3</v>
      </c>
      <c r="X65" s="9">
        <v>2.3E-3</v>
      </c>
      <c r="Y65" s="9">
        <v>7.9000000000000008E-3</v>
      </c>
      <c r="Z65" s="9">
        <v>1.9E-3</v>
      </c>
      <c r="AA65" s="9">
        <v>6.4000000000000003E-3</v>
      </c>
      <c r="AB65" s="9">
        <v>3.5999999999999999E-3</v>
      </c>
      <c r="AC65" s="9">
        <v>4.4000000000000003E-3</v>
      </c>
      <c r="AD65" s="9">
        <v>2.5000000000000001E-3</v>
      </c>
      <c r="AE65" s="9">
        <v>2E-3</v>
      </c>
    </row>
    <row r="66" spans="2:31" x14ac:dyDescent="0.3">
      <c r="B66" s="5">
        <v>202532</v>
      </c>
      <c r="C66" s="5"/>
      <c r="D66" s="9">
        <v>4.4000000000000003E-3</v>
      </c>
      <c r="E66" s="9">
        <v>3.8E-3</v>
      </c>
      <c r="F66" s="9">
        <v>4.4999999999999997E-3</v>
      </c>
      <c r="G66" s="9">
        <v>4.7999999999999996E-3</v>
      </c>
      <c r="H66" s="9">
        <v>2.5999999999999999E-3</v>
      </c>
      <c r="I66" s="9">
        <v>8.2000000000000007E-3</v>
      </c>
      <c r="J66" s="9">
        <v>4.7000000000000002E-3</v>
      </c>
      <c r="K66" s="9">
        <v>3.8E-3</v>
      </c>
      <c r="L66" s="9">
        <v>3.2000000000000002E-3</v>
      </c>
      <c r="M66" s="9">
        <v>6.4000000000000003E-3</v>
      </c>
      <c r="N66" s="9">
        <v>4.4000000000000003E-3</v>
      </c>
      <c r="O66" s="9"/>
      <c r="P66" s="9">
        <v>1.2699999999999999E-2</v>
      </c>
      <c r="Q66" s="9">
        <v>4.8999999999999998E-3</v>
      </c>
      <c r="R66" s="9"/>
      <c r="S66" s="9">
        <v>5.0000000000000001E-3</v>
      </c>
      <c r="T66" s="9">
        <v>1.6000000000000001E-3</v>
      </c>
      <c r="U66" s="9">
        <v>1.6999999999999999E-3</v>
      </c>
      <c r="V66" s="9">
        <v>5.4000000000000003E-3</v>
      </c>
      <c r="W66" s="9">
        <v>3.2000000000000002E-3</v>
      </c>
      <c r="X66" s="9">
        <v>2.3E-3</v>
      </c>
      <c r="Y66" s="9">
        <v>9.2999999999999992E-3</v>
      </c>
      <c r="Z66" s="9">
        <v>2E-3</v>
      </c>
      <c r="AA66" s="9">
        <v>5.4999999999999997E-3</v>
      </c>
      <c r="AB66" s="9">
        <v>4.1999999999999997E-3</v>
      </c>
      <c r="AC66" s="9">
        <v>7.4000000000000003E-3</v>
      </c>
      <c r="AD66" s="9">
        <v>2.0999999999999999E-3</v>
      </c>
      <c r="AE66" s="9">
        <v>2.7000000000000001E-3</v>
      </c>
    </row>
    <row r="67" spans="2:31" x14ac:dyDescent="0.3">
      <c r="B67" s="5">
        <v>202533</v>
      </c>
      <c r="C67" s="5"/>
      <c r="D67" s="9">
        <v>5.0000000000000001E-3</v>
      </c>
      <c r="E67" s="9">
        <v>3.5999999999999999E-3</v>
      </c>
      <c r="F67" s="9">
        <v>5.1000000000000004E-3</v>
      </c>
      <c r="G67" s="9">
        <v>4.7999999999999996E-3</v>
      </c>
      <c r="H67" s="9">
        <v>3.0000000000000001E-3</v>
      </c>
      <c r="I67" s="9">
        <v>6.1999999999999998E-3</v>
      </c>
      <c r="J67" s="9">
        <v>4.1999999999999997E-3</v>
      </c>
      <c r="K67" s="9">
        <v>2E-3</v>
      </c>
      <c r="L67" s="9">
        <v>2.5000000000000001E-3</v>
      </c>
      <c r="M67" s="9">
        <v>5.3E-3</v>
      </c>
      <c r="N67" s="9">
        <v>4.7000000000000002E-3</v>
      </c>
      <c r="O67" s="9"/>
      <c r="P67" s="9">
        <v>1.66E-2</v>
      </c>
      <c r="Q67" s="9">
        <v>8.5000000000000006E-3</v>
      </c>
      <c r="R67" s="9"/>
      <c r="S67" s="9">
        <v>2.3999999999999998E-3</v>
      </c>
      <c r="T67" s="9">
        <v>1.5E-3</v>
      </c>
      <c r="U67" s="9">
        <v>1.8E-3</v>
      </c>
      <c r="V67" s="9">
        <v>6.6E-3</v>
      </c>
      <c r="W67" s="9">
        <v>2.5999999999999999E-3</v>
      </c>
      <c r="X67" s="9">
        <v>1.6999999999999999E-3</v>
      </c>
      <c r="Y67" s="9">
        <v>1.04E-2</v>
      </c>
      <c r="Z67" s="9">
        <v>3.2000000000000002E-3</v>
      </c>
      <c r="AA67" s="9">
        <v>0</v>
      </c>
      <c r="AB67" s="9">
        <v>2.5000000000000001E-3</v>
      </c>
      <c r="AC67" s="9">
        <v>8.8000000000000005E-3</v>
      </c>
      <c r="AD67" s="9">
        <v>3.3999999999999998E-3</v>
      </c>
      <c r="AE67" s="9">
        <v>3.0000000000000001E-3</v>
      </c>
    </row>
    <row r="68" spans="2:31" x14ac:dyDescent="0.3">
      <c r="B68" s="5">
        <v>202534</v>
      </c>
      <c r="C68" s="5"/>
      <c r="D68" s="9">
        <v>4.4999999999999997E-3</v>
      </c>
      <c r="E68" s="9">
        <v>3.8999999999999998E-3</v>
      </c>
      <c r="F68" s="9">
        <v>4.5999999999999999E-3</v>
      </c>
      <c r="G68" s="9">
        <v>5.0000000000000001E-3</v>
      </c>
      <c r="H68" s="9">
        <v>3.3E-3</v>
      </c>
      <c r="I68" s="9">
        <v>5.5999999999999999E-3</v>
      </c>
      <c r="J68" s="9">
        <v>4.0000000000000001E-3</v>
      </c>
      <c r="K68" s="9">
        <v>1E-3</v>
      </c>
      <c r="L68" s="9">
        <v>3.3999999999999998E-3</v>
      </c>
      <c r="M68" s="9">
        <v>5.0000000000000001E-3</v>
      </c>
      <c r="N68" s="9">
        <v>3.8999999999999998E-3</v>
      </c>
      <c r="O68" s="9"/>
      <c r="P68" s="9">
        <v>1.9199999999999998E-2</v>
      </c>
      <c r="Q68" s="9">
        <v>6.1999999999999998E-3</v>
      </c>
      <c r="R68" s="9"/>
      <c r="S68" s="9">
        <v>2.3999999999999998E-3</v>
      </c>
      <c r="T68" s="9">
        <v>1.5E-3</v>
      </c>
      <c r="U68" s="9">
        <v>2.7000000000000001E-3</v>
      </c>
      <c r="V68" s="9">
        <v>4.4000000000000003E-3</v>
      </c>
      <c r="W68" s="9">
        <v>5.1000000000000004E-3</v>
      </c>
      <c r="X68" s="9">
        <v>2.5000000000000001E-3</v>
      </c>
      <c r="Y68" s="9">
        <v>1.09E-2</v>
      </c>
      <c r="Z68" s="9">
        <v>3.3E-3</v>
      </c>
      <c r="AA68" s="9"/>
      <c r="AB68" s="9"/>
      <c r="AC68" s="9">
        <v>6.4999999999999997E-3</v>
      </c>
      <c r="AD68" s="9">
        <v>2.8E-3</v>
      </c>
      <c r="AE68" s="9">
        <v>2.8E-3</v>
      </c>
    </row>
    <row r="69" spans="2:31" x14ac:dyDescent="0.3">
      <c r="B69" s="5">
        <v>202535</v>
      </c>
      <c r="C69" s="5"/>
      <c r="D69" s="9">
        <v>4.4999999999999997E-3</v>
      </c>
      <c r="E69" s="9">
        <v>4.1000000000000003E-3</v>
      </c>
      <c r="F69" s="9">
        <v>4.5999999999999999E-3</v>
      </c>
      <c r="G69" s="9">
        <v>3.3E-3</v>
      </c>
      <c r="H69" s="9">
        <v>4.0000000000000001E-3</v>
      </c>
      <c r="I69" s="9">
        <v>6.6E-3</v>
      </c>
      <c r="J69" s="9">
        <v>4.3E-3</v>
      </c>
      <c r="K69" s="9"/>
      <c r="L69" s="9">
        <v>3.3999999999999998E-3</v>
      </c>
      <c r="M69" s="9">
        <v>5.1999999999999998E-3</v>
      </c>
      <c r="N69" s="9">
        <v>3.7000000000000002E-3</v>
      </c>
      <c r="O69" s="9"/>
      <c r="P69" s="9">
        <v>1.89E-2</v>
      </c>
      <c r="Q69" s="9">
        <v>7.1999999999999998E-3</v>
      </c>
      <c r="R69" s="9"/>
      <c r="S69" s="9">
        <v>1.8E-3</v>
      </c>
      <c r="T69" s="9">
        <v>1.9E-3</v>
      </c>
      <c r="U69" s="9">
        <v>3.0999999999999999E-3</v>
      </c>
      <c r="V69" s="9">
        <v>4.4000000000000003E-3</v>
      </c>
      <c r="W69" s="9">
        <v>2.8999999999999998E-3</v>
      </c>
      <c r="X69" s="9">
        <v>2.5000000000000001E-3</v>
      </c>
      <c r="Y69" s="9">
        <v>1.23E-2</v>
      </c>
      <c r="Z69" s="9">
        <v>3.5999999999999999E-3</v>
      </c>
      <c r="AA69" s="9"/>
      <c r="AB69" s="9"/>
      <c r="AC69" s="9">
        <v>4.5999999999999999E-3</v>
      </c>
      <c r="AD69" s="9">
        <v>1.6999999999999999E-3</v>
      </c>
      <c r="AE69" s="9">
        <v>3.3E-3</v>
      </c>
    </row>
    <row r="70" spans="2:31" ht="15" thickBot="1" x14ac:dyDescent="0.35">
      <c r="B70" s="5">
        <v>202536</v>
      </c>
      <c r="C70" s="5"/>
      <c r="D70" s="9">
        <v>4.1999999999999997E-3</v>
      </c>
      <c r="E70" s="9">
        <v>3.8E-3</v>
      </c>
      <c r="F70" s="9">
        <v>4.1999999999999997E-3</v>
      </c>
      <c r="G70" s="9">
        <v>3.2000000000000002E-3</v>
      </c>
      <c r="H70" s="9">
        <v>3.2000000000000002E-3</v>
      </c>
      <c r="I70" s="9">
        <v>6.4000000000000003E-3</v>
      </c>
      <c r="J70" s="9">
        <v>3.0000000000000001E-3</v>
      </c>
      <c r="K70" s="9"/>
      <c r="L70" s="9">
        <v>4.5999999999999999E-3</v>
      </c>
      <c r="M70" s="9">
        <v>2.2000000000000001E-3</v>
      </c>
      <c r="N70" s="9">
        <v>3.3999999999999998E-3</v>
      </c>
      <c r="O70" s="9">
        <v>5.9999999999999995E-4</v>
      </c>
      <c r="P70" s="9">
        <v>1.3899999999999999E-2</v>
      </c>
      <c r="Q70" s="9">
        <v>5.4999999999999997E-3</v>
      </c>
      <c r="R70" s="9"/>
      <c r="S70" s="9">
        <v>1.5E-3</v>
      </c>
      <c r="T70" s="9">
        <v>1.6000000000000001E-3</v>
      </c>
      <c r="U70" s="9">
        <v>4.0000000000000001E-3</v>
      </c>
      <c r="V70" s="9">
        <v>3.5999999999999999E-3</v>
      </c>
      <c r="W70" s="9">
        <v>3.7000000000000002E-3</v>
      </c>
      <c r="X70" s="9">
        <v>3.0000000000000001E-3</v>
      </c>
      <c r="Y70" s="9">
        <v>1.23E-2</v>
      </c>
      <c r="Z70" s="9">
        <v>5.1999999999999998E-3</v>
      </c>
      <c r="AA70" s="9"/>
      <c r="AB70" s="9"/>
      <c r="AC70" s="9">
        <v>4.0000000000000001E-3</v>
      </c>
      <c r="AD70" s="9">
        <v>2.0999999999999999E-3</v>
      </c>
      <c r="AE70" s="9">
        <v>3.0999999999999999E-3</v>
      </c>
    </row>
    <row r="71" spans="2:31" ht="15" thickBot="1" x14ac:dyDescent="0.35">
      <c r="B71" s="22" t="s">
        <v>82</v>
      </c>
      <c r="C71" s="22"/>
      <c r="D71" s="24">
        <f t="shared" ref="D71:AE71" si="17">AVERAGE(D35:D70)</f>
        <v>3.1805555555555558E-3</v>
      </c>
      <c r="E71" s="24">
        <f t="shared" si="17"/>
        <v>3.622222222222222E-3</v>
      </c>
      <c r="F71" s="24">
        <f t="shared" si="17"/>
        <v>3.1305555555555548E-3</v>
      </c>
      <c r="G71" s="24">
        <f t="shared" si="17"/>
        <v>4.5611111111111121E-3</v>
      </c>
      <c r="H71" s="24">
        <f t="shared" si="17"/>
        <v>3.2638888888888895E-3</v>
      </c>
      <c r="I71" s="24">
        <f t="shared" si="17"/>
        <v>4.9583333333333328E-3</v>
      </c>
      <c r="J71" s="24">
        <f t="shared" si="17"/>
        <v>2.9972222222222219E-3</v>
      </c>
      <c r="K71" s="24">
        <f t="shared" si="17"/>
        <v>3.2558823529411757E-3</v>
      </c>
      <c r="L71" s="24">
        <f t="shared" si="17"/>
        <v>2.6888888888888887E-3</v>
      </c>
      <c r="M71" s="24">
        <f t="shared" si="17"/>
        <v>3.5388888888888892E-3</v>
      </c>
      <c r="N71" s="24">
        <f t="shared" si="17"/>
        <v>3.0096774193548387E-3</v>
      </c>
      <c r="O71" s="24">
        <f t="shared" si="17"/>
        <v>5.9999999999999995E-4</v>
      </c>
      <c r="P71" s="24">
        <f t="shared" si="17"/>
        <v>9.2555555555555568E-3</v>
      </c>
      <c r="Q71" s="24">
        <f t="shared" si="17"/>
        <v>3.6194444444444438E-3</v>
      </c>
      <c r="R71" s="24">
        <f t="shared" si="17"/>
        <v>-6.7871428571428569E-2</v>
      </c>
      <c r="S71" s="24">
        <f t="shared" si="17"/>
        <v>3.1277777777777779E-3</v>
      </c>
      <c r="T71" s="24">
        <f t="shared" si="17"/>
        <v>1.7666666666666673E-3</v>
      </c>
      <c r="U71" s="24">
        <f t="shared" si="17"/>
        <v>2.719354838709677E-3</v>
      </c>
      <c r="V71" s="24">
        <f t="shared" si="17"/>
        <v>3.6222222222222211E-3</v>
      </c>
      <c r="W71" s="24">
        <f t="shared" si="17"/>
        <v>3.2166666666666667E-3</v>
      </c>
      <c r="X71" s="24">
        <f t="shared" si="17"/>
        <v>2.5833333333333333E-3</v>
      </c>
      <c r="Y71" s="24">
        <f t="shared" si="17"/>
        <v>4.7861111111111116E-3</v>
      </c>
      <c r="Z71" s="24">
        <f t="shared" si="17"/>
        <v>1.7333333333333333E-3</v>
      </c>
      <c r="AA71" s="24">
        <f t="shared" si="17"/>
        <v>4.3151515151515158E-3</v>
      </c>
      <c r="AB71" s="24">
        <f t="shared" si="17"/>
        <v>2.3757575757575762E-3</v>
      </c>
      <c r="AC71" s="24">
        <f t="shared" si="17"/>
        <v>2.732258064516129E-3</v>
      </c>
      <c r="AD71" s="24">
        <f t="shared" si="17"/>
        <v>1.4709677419354834E-3</v>
      </c>
      <c r="AE71" s="24">
        <f t="shared" si="17"/>
        <v>1.7833333333333336E-3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T71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7.33203125" bestFit="1" customWidth="1"/>
    <col min="16" max="16" width="11.109375" bestFit="1" customWidth="1"/>
    <col min="17" max="17" width="8.664062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44140625" bestFit="1" customWidth="1"/>
    <col min="23" max="23" width="8.6640625" bestFit="1" customWidth="1"/>
    <col min="24" max="24" width="10.6640625" bestFit="1" customWidth="1"/>
    <col min="25" max="25" width="8.33203125" bestFit="1" customWidth="1"/>
    <col min="26" max="26" width="11.33203125" bestFit="1" customWidth="1"/>
    <col min="27" max="27" width="9.109375" bestFit="1" customWidth="1"/>
    <col min="28" max="28" width="11.109375" bestFit="1" customWidth="1"/>
    <col min="30" max="30" width="11.109375" bestFit="1" customWidth="1"/>
    <col min="31" max="31" width="7.44140625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45907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45913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139</v>
      </c>
      <c r="C6" s="7"/>
      <c r="D6" s="7">
        <v>7</v>
      </c>
      <c r="E6" s="7">
        <v>4590</v>
      </c>
      <c r="F6" s="7">
        <v>5404</v>
      </c>
      <c r="G6" s="7">
        <v>50</v>
      </c>
      <c r="H6" s="9">
        <f t="shared" ref="H6:H11" si="0">IFERROR(G6/F6,0)</f>
        <v>9.2524056254626209E-3</v>
      </c>
      <c r="I6" s="9">
        <f>IFERROR((4590-F6)/4590,0)</f>
        <v>-0.17734204793028321</v>
      </c>
      <c r="J6" s="7">
        <v>22920</v>
      </c>
      <c r="K6" s="11">
        <f t="shared" ref="K6:K11" si="1">IFERROR(J6/D6/F6*100,0)</f>
        <v>60.590039124458073</v>
      </c>
      <c r="L6" s="11">
        <f>K6-62.8634</f>
        <v>-2.2733608755419255</v>
      </c>
      <c r="M6" s="11">
        <v>0</v>
      </c>
      <c r="N6" s="11">
        <f t="shared" ref="N6:N11" si="2">K6-M6</f>
        <v>60.590039124458073</v>
      </c>
      <c r="O6" s="11">
        <f>IFERROR(84870/4590,0)</f>
        <v>18.490196078431371</v>
      </c>
      <c r="P6" s="11">
        <v>0</v>
      </c>
      <c r="Q6" s="11">
        <f>IFERROR(O6-P6,0)</f>
        <v>18.490196078431371</v>
      </c>
      <c r="R6" s="7">
        <v>4830</v>
      </c>
      <c r="S6" s="11">
        <f>IFERROR(R6/D6/F6*1000,0)</f>
        <v>127.68319763138416</v>
      </c>
      <c r="T6" s="13">
        <f t="shared" ref="T6:T11" si="3">IFERROR(J6/R6,0)</f>
        <v>4.7453416149068319</v>
      </c>
      <c r="U6" s="7">
        <v>0</v>
      </c>
      <c r="V6" s="11">
        <f>IFERROR(U6/D6/F6*1000,0)</f>
        <v>0</v>
      </c>
      <c r="W6" s="11">
        <f t="shared" ref="W6:W11" si="4">IFERROR(V6/S6,0)</f>
        <v>0</v>
      </c>
      <c r="X6" s="11">
        <v>296.88</v>
      </c>
      <c r="Y6" s="11">
        <f>IFERROR((F6*S6)/(F6*K6)*100,0)</f>
        <v>210.73298429319371</v>
      </c>
      <c r="Z6" s="11">
        <f t="shared" ref="Z6:Z11" si="5">IFERROR(Y6*X6/1000,0)</f>
        <v>62.562408376963347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11</v>
      </c>
      <c r="AF6" s="11">
        <v>25</v>
      </c>
      <c r="AG6" s="7">
        <f>IF(M6=0,0,IFERROR(N6/100*7*F6,0))</f>
        <v>0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>IFERROR(0/F6,0)</f>
        <v>0</v>
      </c>
      <c r="AP6" s="11">
        <v>0</v>
      </c>
      <c r="AQ6" s="7"/>
      <c r="AR6" s="7"/>
      <c r="AS6" s="7">
        <v>15</v>
      </c>
      <c r="AT6" s="7"/>
    </row>
    <row r="7" spans="1:46" x14ac:dyDescent="0.3">
      <c r="A7" s="5" t="s">
        <v>50</v>
      </c>
      <c r="B7" s="5">
        <v>99</v>
      </c>
      <c r="C7" s="7">
        <v>29</v>
      </c>
      <c r="D7" s="7">
        <v>7</v>
      </c>
      <c r="E7" s="7">
        <v>14440</v>
      </c>
      <c r="F7" s="7">
        <v>10757</v>
      </c>
      <c r="G7" s="7">
        <v>43</v>
      </c>
      <c r="H7" s="9">
        <f t="shared" si="0"/>
        <v>3.997397043785442E-3</v>
      </c>
      <c r="I7" s="9">
        <f>IFERROR((14440-F7)/14440,0)</f>
        <v>0.25505540166204987</v>
      </c>
      <c r="J7" s="7">
        <v>51630</v>
      </c>
      <c r="K7" s="11">
        <f t="shared" si="1"/>
        <v>68.566647631442649</v>
      </c>
      <c r="L7" s="11">
        <f>K7-69.0873</f>
        <v>-0.52065236855735009</v>
      </c>
      <c r="M7" s="11">
        <v>76</v>
      </c>
      <c r="N7" s="11">
        <f t="shared" si="2"/>
        <v>-7.433352368557351</v>
      </c>
      <c r="O7" s="11">
        <f>IFERROR(5498320/14440,0)</f>
        <v>380.77008310249306</v>
      </c>
      <c r="P7" s="11">
        <v>0</v>
      </c>
      <c r="Q7" s="11">
        <f>IFERROR(O7-P7,0)</f>
        <v>380.77008310249306</v>
      </c>
      <c r="R7" s="7">
        <v>9730</v>
      </c>
      <c r="S7" s="11">
        <f>IFERROR(R7/D7/F7*1000,0)</f>
        <v>129.21818350841312</v>
      </c>
      <c r="T7" s="13">
        <f t="shared" si="3"/>
        <v>5.3062692702980474</v>
      </c>
      <c r="U7" s="7">
        <v>0</v>
      </c>
      <c r="V7" s="11">
        <f>IFERROR(U7/D7/F7*1000,0)</f>
        <v>0</v>
      </c>
      <c r="W7" s="11">
        <f t="shared" si="4"/>
        <v>0</v>
      </c>
      <c r="X7" s="11">
        <v>373.15</v>
      </c>
      <c r="Y7" s="11">
        <f>IFERROR((F7*S7)/(F7*K7)*100,0)</f>
        <v>188.4563238427271</v>
      </c>
      <c r="Z7" s="11">
        <f t="shared" si="5"/>
        <v>70.322477241913617</v>
      </c>
      <c r="AA7" s="7">
        <v>2080</v>
      </c>
      <c r="AB7" s="15">
        <f>IFERROR(AA7/1980,0)</f>
        <v>1.0505050505050506</v>
      </c>
      <c r="AC7" s="11">
        <v>0</v>
      </c>
      <c r="AD7" s="15">
        <f>IFERROR(AC7/65.3,0)</f>
        <v>0</v>
      </c>
      <c r="AE7" s="11">
        <v>11</v>
      </c>
      <c r="AF7" s="11">
        <v>25</v>
      </c>
      <c r="AG7" s="7">
        <f>IF(M7=0,0,IFERROR(N7/100*7*F7,0))</f>
        <v>-5597.24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>IFERROR(0/F7,0)</f>
        <v>0</v>
      </c>
      <c r="AP7" s="11">
        <v>0</v>
      </c>
      <c r="AQ7" s="7"/>
      <c r="AR7" s="7"/>
      <c r="AS7" s="7">
        <v>15</v>
      </c>
      <c r="AT7" s="7"/>
    </row>
    <row r="8" spans="1:46" x14ac:dyDescent="0.3">
      <c r="A8" s="5" t="s">
        <v>51</v>
      </c>
      <c r="B8" s="5">
        <v>99</v>
      </c>
      <c r="C8" s="7">
        <v>29</v>
      </c>
      <c r="D8" s="7">
        <v>7</v>
      </c>
      <c r="E8" s="7">
        <v>16063</v>
      </c>
      <c r="F8" s="7">
        <v>12693</v>
      </c>
      <c r="G8" s="7">
        <v>40</v>
      </c>
      <c r="H8" s="9">
        <f t="shared" si="0"/>
        <v>3.1513432600646027E-3</v>
      </c>
      <c r="I8" s="9">
        <f>IFERROR((16063-F8)/16063,0)</f>
        <v>0.20979891676523688</v>
      </c>
      <c r="J8" s="7">
        <v>54840</v>
      </c>
      <c r="K8" s="11">
        <f t="shared" si="1"/>
        <v>61.72130870783672</v>
      </c>
      <c r="L8" s="11">
        <f>K8-63.2103</f>
        <v>-1.4889912921632771</v>
      </c>
      <c r="M8" s="11">
        <v>73</v>
      </c>
      <c r="N8" s="11">
        <f t="shared" si="2"/>
        <v>-11.27869129216328</v>
      </c>
      <c r="O8" s="11">
        <f>IFERROR(5738190/16063,0)</f>
        <v>357.2302807694702</v>
      </c>
      <c r="P8" s="11">
        <v>0</v>
      </c>
      <c r="Q8" s="11">
        <f>IFERROR(O8-P8,0)</f>
        <v>357.2302807694702</v>
      </c>
      <c r="R8" s="7">
        <v>10360</v>
      </c>
      <c r="S8" s="11">
        <f>IFERROR(R8/D8/F8*1000,0)</f>
        <v>116.59970062239029</v>
      </c>
      <c r="T8" s="13">
        <f t="shared" si="3"/>
        <v>5.2934362934362937</v>
      </c>
      <c r="U8" s="7">
        <v>0</v>
      </c>
      <c r="V8" s="11">
        <f>IFERROR(U8/D8/F8*1000,0)</f>
        <v>0</v>
      </c>
      <c r="W8" s="11">
        <f t="shared" si="4"/>
        <v>0</v>
      </c>
      <c r="X8" s="11">
        <v>370</v>
      </c>
      <c r="Y8" s="11">
        <f>IFERROR((F8*S8)/(F8*K8)*100,0)</f>
        <v>188.91320204230487</v>
      </c>
      <c r="Z8" s="11">
        <f t="shared" si="5"/>
        <v>69.897884755652811</v>
      </c>
      <c r="AA8" s="7">
        <v>1738</v>
      </c>
      <c r="AB8" s="15">
        <f>IFERROR(AA8/1580,0)</f>
        <v>1.1000000000000001</v>
      </c>
      <c r="AC8" s="11">
        <v>0</v>
      </c>
      <c r="AD8" s="15">
        <f>IFERROR(AC8/63.7,0)</f>
        <v>0</v>
      </c>
      <c r="AE8" s="11">
        <v>11</v>
      </c>
      <c r="AF8" s="11">
        <v>25</v>
      </c>
      <c r="AG8" s="7">
        <f>IF(M8=0,0,IFERROR(N8/100*7*F8,0))</f>
        <v>-10021.229999999996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>IFERROR(0/F8,0)</f>
        <v>0</v>
      </c>
      <c r="AP8" s="11">
        <v>0</v>
      </c>
      <c r="AQ8" s="7"/>
      <c r="AR8" s="7"/>
      <c r="AS8" s="7">
        <v>15</v>
      </c>
      <c r="AT8" s="7"/>
    </row>
    <row r="9" spans="1:46" x14ac:dyDescent="0.3">
      <c r="A9" s="5" t="s">
        <v>52</v>
      </c>
      <c r="B9" s="5">
        <v>60</v>
      </c>
      <c r="C9" s="7"/>
      <c r="D9" s="7">
        <v>7</v>
      </c>
      <c r="E9" s="7">
        <v>4686</v>
      </c>
      <c r="F9" s="7">
        <v>3960</v>
      </c>
      <c r="G9" s="7">
        <v>25</v>
      </c>
      <c r="H9" s="9">
        <f t="shared" si="0"/>
        <v>6.313131313131313E-3</v>
      </c>
      <c r="I9" s="9">
        <f>IFERROR((4686-F9)/4686,0)</f>
        <v>0.15492957746478872</v>
      </c>
      <c r="J9" s="7">
        <v>31188</v>
      </c>
      <c r="K9" s="11">
        <f t="shared" si="1"/>
        <v>112.51082251082252</v>
      </c>
      <c r="L9" s="11">
        <f>K9-98.5123</f>
        <v>13.998522510822525</v>
      </c>
      <c r="M9" s="11">
        <v>85</v>
      </c>
      <c r="N9" s="11">
        <f t="shared" si="2"/>
        <v>27.510822510822521</v>
      </c>
      <c r="O9" s="11">
        <f>IFERROR(1161888/4686,0)</f>
        <v>247.94878361075544</v>
      </c>
      <c r="P9" s="11">
        <v>258</v>
      </c>
      <c r="Q9" s="11">
        <f>IFERROR(O9-P9,0)</f>
        <v>-10.051216389244559</v>
      </c>
      <c r="R9" s="7">
        <v>4353</v>
      </c>
      <c r="S9" s="11">
        <f>IFERROR(R9/D9/F9*1000,0)</f>
        <v>157.03463203463207</v>
      </c>
      <c r="T9" s="13">
        <f t="shared" si="3"/>
        <v>7.1647139903514816</v>
      </c>
      <c r="U9" s="7">
        <v>5040</v>
      </c>
      <c r="V9" s="11">
        <f>IFERROR(U9/D9/F9*1000,0)</f>
        <v>181.81818181818181</v>
      </c>
      <c r="W9" s="11">
        <f t="shared" si="4"/>
        <v>1.1578221915920053</v>
      </c>
      <c r="X9" s="11">
        <v>362.76</v>
      </c>
      <c r="Y9" s="11">
        <f>IFERROR((F9*S9)/(F9*K9)*100,0)</f>
        <v>139.5729126587149</v>
      </c>
      <c r="Z9" s="11">
        <f t="shared" si="5"/>
        <v>50.631469796075415</v>
      </c>
      <c r="AA9" s="7">
        <v>1970</v>
      </c>
      <c r="AB9" s="15">
        <f>IFERROR(AA9/1960,0)</f>
        <v>1.0051020408163265</v>
      </c>
      <c r="AC9" s="11">
        <v>0</v>
      </c>
      <c r="AD9" s="15">
        <f>IFERROR(AC9/63.7,0)</f>
        <v>0</v>
      </c>
      <c r="AE9" s="11">
        <v>13</v>
      </c>
      <c r="AF9" s="11">
        <v>30</v>
      </c>
      <c r="AG9" s="7">
        <f>IF(M9=0,0,IFERROR(N9/100*7*F9,0))</f>
        <v>7626.0000000000018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>IFERROR(0/F9,0)</f>
        <v>0</v>
      </c>
      <c r="AP9" s="11">
        <v>0</v>
      </c>
      <c r="AQ9" s="7"/>
      <c r="AR9" s="7"/>
      <c r="AS9" s="7">
        <v>0</v>
      </c>
      <c r="AT9" s="7"/>
    </row>
    <row r="10" spans="1:46" ht="15" thickBot="1" x14ac:dyDescent="0.35">
      <c r="A10" s="5" t="s">
        <v>54</v>
      </c>
      <c r="B10" s="5">
        <v>60</v>
      </c>
      <c r="C10" s="7"/>
      <c r="D10" s="7">
        <v>7</v>
      </c>
      <c r="E10" s="7">
        <v>4819</v>
      </c>
      <c r="F10" s="7">
        <v>4318</v>
      </c>
      <c r="G10" s="7">
        <v>18</v>
      </c>
      <c r="H10" s="9">
        <f t="shared" si="0"/>
        <v>4.1685965724872626E-3</v>
      </c>
      <c r="I10" s="9">
        <f>IFERROR((4819-F10)/4819,0)</f>
        <v>0.10396347789997924</v>
      </c>
      <c r="J10" s="7">
        <v>26940</v>
      </c>
      <c r="K10" s="11">
        <f t="shared" si="1"/>
        <v>89.12856481175146</v>
      </c>
      <c r="L10" s="11">
        <f>K10-89.4504</f>
        <v>-0.32183518824854218</v>
      </c>
      <c r="M10" s="11">
        <v>85</v>
      </c>
      <c r="N10" s="11">
        <f t="shared" si="2"/>
        <v>4.1285648117514597</v>
      </c>
      <c r="O10" s="11">
        <f>IFERROR(1199536/4819,0)</f>
        <v>248.91803278688525</v>
      </c>
      <c r="P10" s="11">
        <v>258</v>
      </c>
      <c r="Q10" s="11">
        <f>IFERROR(O10-P10,0)</f>
        <v>-9.0819672131147513</v>
      </c>
      <c r="R10" s="7">
        <v>4090</v>
      </c>
      <c r="S10" s="11">
        <f>IFERROR(R10/D10/F10*1000,0)</f>
        <v>135.31396810692783</v>
      </c>
      <c r="T10" s="13">
        <f t="shared" si="3"/>
        <v>6.58679706601467</v>
      </c>
      <c r="U10" s="7">
        <v>5040</v>
      </c>
      <c r="V10" s="11">
        <f>IFERROR(U10/D10/F10*1000,0)</f>
        <v>166.74386289949049</v>
      </c>
      <c r="W10" s="11">
        <f t="shared" si="4"/>
        <v>1.2322738386308065</v>
      </c>
      <c r="X10" s="11">
        <v>362.76</v>
      </c>
      <c r="Y10" s="11">
        <f>IFERROR((F10*S10)/(F10*K10)*100,0)</f>
        <v>151.81885671863404</v>
      </c>
      <c r="Z10" s="11">
        <f t="shared" si="5"/>
        <v>55.073808463251687</v>
      </c>
      <c r="AA10" s="7">
        <v>2050</v>
      </c>
      <c r="AB10" s="15">
        <f>IFERROR(AA10/1960,0)</f>
        <v>1.0459183673469388</v>
      </c>
      <c r="AC10" s="11">
        <v>0</v>
      </c>
      <c r="AD10" s="15">
        <f>IFERROR(AC10/63.7,0)</f>
        <v>0</v>
      </c>
      <c r="AE10" s="11">
        <v>14</v>
      </c>
      <c r="AF10" s="11">
        <v>30</v>
      </c>
      <c r="AG10" s="7">
        <f>IF(M10=0,0,IFERROR(N10/100*7*F10,0))</f>
        <v>1247.899999999996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>IFERROR(0/F10,0)</f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16" t="s">
        <v>55</v>
      </c>
      <c r="B11" s="16"/>
      <c r="C11" s="17"/>
      <c r="D11" s="17">
        <f>AVERAGE(D6:D10)</f>
        <v>7</v>
      </c>
      <c r="E11" s="17">
        <f>SUM(E6:E10)</f>
        <v>44598</v>
      </c>
      <c r="F11" s="17">
        <f>SUM(F6:F10)</f>
        <v>37132</v>
      </c>
      <c r="G11" s="17">
        <f>SUM(G6:G10)</f>
        <v>176</v>
      </c>
      <c r="H11" s="18">
        <f t="shared" si="0"/>
        <v>4.739847032209415E-3</v>
      </c>
      <c r="I11" s="18"/>
      <c r="J11" s="17">
        <f>SUM(J6:J10)</f>
        <v>187518</v>
      </c>
      <c r="K11" s="19">
        <f t="shared" si="1"/>
        <v>72.143395761838065</v>
      </c>
      <c r="L11" s="19"/>
      <c r="M11" s="19">
        <f>IFERROR(SUMPRODUCT($F6:$F10,M6:M10)/$F11, 0)</f>
        <v>65.920257459872886</v>
      </c>
      <c r="N11" s="19">
        <f t="shared" si="2"/>
        <v>6.2231383019651787</v>
      </c>
      <c r="O11" s="19">
        <f>IFERROR(SUMPRODUCT($E6:$E10,O6:O10)/$E11, 0)</f>
        <v>306.80308534014978</v>
      </c>
      <c r="P11" s="19">
        <f>IFERROR(SUMPRODUCT($E6:$E10,P6:P10)/$E11, 0)</f>
        <v>54.986546481905016</v>
      </c>
      <c r="Q11" s="19">
        <f>IFERROR(SUMPRODUCT($E6:$E10,Q6:Q10)/$E11, 0)</f>
        <v>251.81653885824477</v>
      </c>
      <c r="R11" s="17">
        <f>SUM(R6:R10)</f>
        <v>33363</v>
      </c>
      <c r="S11" s="19">
        <f>IFERROR(R11/D11/$F11*1000,0)</f>
        <v>128.35675043474245</v>
      </c>
      <c r="T11" s="20">
        <f t="shared" si="3"/>
        <v>5.6205377214279295</v>
      </c>
      <c r="U11" s="17">
        <f>SUM(U6:U10)</f>
        <v>10080</v>
      </c>
      <c r="V11" s="19">
        <f>IFERROR(U11/D11/$F11*1000,0)</f>
        <v>38.780566627167936</v>
      </c>
      <c r="W11" s="19">
        <f t="shared" si="4"/>
        <v>0.30213110331804693</v>
      </c>
      <c r="X11" s="19">
        <f>IFERROR(SUMPRODUCT(R6:R10,X6:X10)/R11,0)</f>
        <v>358.50081167760692</v>
      </c>
      <c r="Y11" s="19">
        <f>IFERROR(($F11*S11)/($F11*K11)*100,0)</f>
        <v>177.91891978370077</v>
      </c>
      <c r="Z11" s="19">
        <f t="shared" si="5"/>
        <v>63.784077155259766</v>
      </c>
      <c r="AA11" s="17"/>
      <c r="AB11" s="21">
        <f>IFERROR(SUMPRODUCT($F6:$F10,AB6:AB10)/$F11,0)</f>
        <v>0.90916358989872781</v>
      </c>
      <c r="AC11" s="19"/>
      <c r="AD11" s="21">
        <f>AVERAGE(AD6:AD10)</f>
        <v>0</v>
      </c>
      <c r="AE11" s="19"/>
      <c r="AF11" s="19"/>
      <c r="AG11" s="17">
        <f>SUM(AG6:AG10)</f>
        <v>-6744.5699999999979</v>
      </c>
      <c r="AH11" s="17">
        <f>SUM(AH6:AH10)</f>
        <v>0</v>
      </c>
      <c r="AI11" s="17">
        <f>IFERROR(SUMPRODUCT(AH6:AH10,AI6:AI10)/AH11, 0)</f>
        <v>0</v>
      </c>
      <c r="AJ11" s="19">
        <f>AVERAGE(AJ6:AJ10)</f>
        <v>0</v>
      </c>
      <c r="AK11" s="19">
        <f>AVERAGE(AK6:AK10)</f>
        <v>0</v>
      </c>
      <c r="AL11" s="19">
        <f>AVERAGE(AL6:AL10)</f>
        <v>0</v>
      </c>
      <c r="AM11" s="19">
        <f>AVERAGE(AM6:AM10)</f>
        <v>0</v>
      </c>
      <c r="AN11" s="19">
        <f>AVERAGE(AN6:AN10)</f>
        <v>0</v>
      </c>
      <c r="AO11" s="20"/>
      <c r="AP11" s="19"/>
      <c r="AQ11" s="17"/>
      <c r="AR11" s="17"/>
      <c r="AS11" s="17"/>
      <c r="AT11" s="17"/>
    </row>
    <row r="13" spans="1:46" x14ac:dyDescent="0.3">
      <c r="A13" s="4" t="s">
        <v>57</v>
      </c>
      <c r="B13" s="4">
        <v>100</v>
      </c>
      <c r="C13" s="6">
        <v>37</v>
      </c>
      <c r="D13" s="6">
        <v>7</v>
      </c>
      <c r="E13" s="6">
        <v>3499</v>
      </c>
      <c r="F13" s="6">
        <v>3520</v>
      </c>
      <c r="G13" s="6">
        <v>39</v>
      </c>
      <c r="H13" s="8">
        <f t="shared" ref="H13:H28" si="6">IFERROR(G13/F13,0)</f>
        <v>1.1079545454545455E-2</v>
      </c>
      <c r="I13" s="8">
        <f>IFERROR((3499-F13)/3499,0)</f>
        <v>-6.0017147756501856E-3</v>
      </c>
      <c r="J13" s="6">
        <v>13060</v>
      </c>
      <c r="K13" s="10">
        <f t="shared" ref="K13:K28" si="7">IFERROR(J13/D13/F13*100,0)</f>
        <v>53.003246753246756</v>
      </c>
      <c r="L13" s="10">
        <f>K13-9.9948</f>
        <v>43.008446753246758</v>
      </c>
      <c r="M13" s="10">
        <v>0</v>
      </c>
      <c r="N13" s="10">
        <f t="shared" ref="N13:N28" si="8">K13-M13</f>
        <v>53.003246753246756</v>
      </c>
      <c r="O13" s="10">
        <f>IFERROR(15550/3499,0)</f>
        <v>4.4441268933981135</v>
      </c>
      <c r="P13" s="10">
        <v>0</v>
      </c>
      <c r="Q13" s="10">
        <f t="shared" ref="Q13:Q27" si="9">IFERROR(O13-P13,0)</f>
        <v>4.4441268933981135</v>
      </c>
      <c r="R13" s="6">
        <v>2410</v>
      </c>
      <c r="S13" s="10">
        <f t="shared" ref="S13:S27" si="10">IFERROR(R13/D13/F13*1000,0)</f>
        <v>97.808441558441558</v>
      </c>
      <c r="T13" s="12">
        <f t="shared" ref="T13:T28" si="11">IFERROR(J13/R13,0)</f>
        <v>5.4190871369294609</v>
      </c>
      <c r="U13" s="6">
        <v>4410</v>
      </c>
      <c r="V13" s="10">
        <f t="shared" ref="V13:V27" si="12">IFERROR(U13/D13/F13*1000,0)</f>
        <v>178.97727272727275</v>
      </c>
      <c r="W13" s="10">
        <f t="shared" ref="W13:W28" si="13">IFERROR(V13/S13,0)</f>
        <v>1.8298755186721993</v>
      </c>
      <c r="X13" s="10">
        <v>286.52142857140001</v>
      </c>
      <c r="Y13" s="10">
        <f t="shared" ref="Y13:Y27" si="14">IFERROR((F13*S13)/(F13*K13)*100,0)</f>
        <v>184.53292496171514</v>
      </c>
      <c r="Z13" s="10">
        <f t="shared" ref="Z13:Z28" si="15">IFERROR(Y13*X13/1000,0)</f>
        <v>52.872637278489577</v>
      </c>
      <c r="AA13" s="6">
        <v>0</v>
      </c>
      <c r="AB13" s="14">
        <f>IFERROR(AA13/1580,0)</f>
        <v>0</v>
      </c>
      <c r="AC13" s="10">
        <v>0</v>
      </c>
      <c r="AD13" s="14">
        <f>IFERROR(AC13/63.8,0)</f>
        <v>0</v>
      </c>
      <c r="AE13" s="10">
        <v>14</v>
      </c>
      <c r="AF13" s="10">
        <v>26</v>
      </c>
      <c r="AG13" s="6">
        <f t="shared" ref="AG13:AG27" si="16">IF(M13=0,0,IFERROR(N13/100*7*F13,0))</f>
        <v>0</v>
      </c>
      <c r="AH13" s="6">
        <v>0</v>
      </c>
      <c r="AI13" s="6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2">
        <f>IFERROR(0/F13,0)</f>
        <v>0</v>
      </c>
      <c r="AP13" s="10">
        <v>0</v>
      </c>
      <c r="AQ13" s="6"/>
      <c r="AR13" s="6"/>
      <c r="AS13" s="6">
        <v>0</v>
      </c>
      <c r="AT13" s="6"/>
    </row>
    <row r="14" spans="1:46" x14ac:dyDescent="0.3">
      <c r="A14" s="5" t="s">
        <v>58</v>
      </c>
      <c r="B14" s="5">
        <v>60</v>
      </c>
      <c r="C14" s="7"/>
      <c r="D14" s="7">
        <v>7</v>
      </c>
      <c r="E14" s="7">
        <v>10225</v>
      </c>
      <c r="F14" s="7">
        <v>7110</v>
      </c>
      <c r="G14" s="7">
        <v>81</v>
      </c>
      <c r="H14" s="9">
        <f t="shared" si="6"/>
        <v>1.1392405063291139E-2</v>
      </c>
      <c r="I14" s="9">
        <f>IFERROR((10225-F14)/10225,0)</f>
        <v>0.30464547677261616</v>
      </c>
      <c r="J14" s="7">
        <v>36610</v>
      </c>
      <c r="K14" s="11">
        <f t="shared" si="7"/>
        <v>73.55836849507736</v>
      </c>
      <c r="L14" s="11">
        <f>K14-74.7959</f>
        <v>-1.237531504922643</v>
      </c>
      <c r="M14" s="11">
        <v>85</v>
      </c>
      <c r="N14" s="11">
        <f t="shared" si="8"/>
        <v>-11.44163150492264</v>
      </c>
      <c r="O14" s="11">
        <f>IFERROR(2041830/10225,0)</f>
        <v>199.68997555012226</v>
      </c>
      <c r="P14" s="11">
        <v>258</v>
      </c>
      <c r="Q14" s="11">
        <f t="shared" si="9"/>
        <v>-58.310024449877744</v>
      </c>
      <c r="R14" s="7">
        <v>7350</v>
      </c>
      <c r="S14" s="11">
        <f t="shared" si="10"/>
        <v>147.67932489451476</v>
      </c>
      <c r="T14" s="13">
        <f t="shared" si="11"/>
        <v>4.980952380952381</v>
      </c>
      <c r="U14" s="7">
        <v>12190</v>
      </c>
      <c r="V14" s="11">
        <f t="shared" si="12"/>
        <v>244.9266626481816</v>
      </c>
      <c r="W14" s="11">
        <f t="shared" si="13"/>
        <v>1.658503401360544</v>
      </c>
      <c r="X14" s="11">
        <v>286.35857142859999</v>
      </c>
      <c r="Y14" s="11">
        <f t="shared" si="14"/>
        <v>200.76481835564053</v>
      </c>
      <c r="Z14" s="11">
        <f t="shared" si="15"/>
        <v>57.490726577443588</v>
      </c>
      <c r="AA14" s="7">
        <v>2000</v>
      </c>
      <c r="AB14" s="15">
        <f>IFERROR(AA14/1960,0)</f>
        <v>1.0204081632653061</v>
      </c>
      <c r="AC14" s="11">
        <v>0</v>
      </c>
      <c r="AD14" s="15">
        <f>IFERROR(AC14/63.7,0)</f>
        <v>0</v>
      </c>
      <c r="AE14" s="11">
        <v>14</v>
      </c>
      <c r="AF14" s="11">
        <v>26</v>
      </c>
      <c r="AG14" s="7">
        <f t="shared" si="16"/>
        <v>-5694.4999999999982</v>
      </c>
      <c r="AH14" s="7">
        <v>0</v>
      </c>
      <c r="AI14" s="7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3">
        <f>IFERROR(0/F14,0)</f>
        <v>0</v>
      </c>
      <c r="AP14" s="11">
        <v>0</v>
      </c>
      <c r="AQ14" s="7"/>
      <c r="AR14" s="7"/>
      <c r="AS14" s="7">
        <v>0</v>
      </c>
      <c r="AT14" s="7"/>
    </row>
    <row r="15" spans="1:46" x14ac:dyDescent="0.3">
      <c r="A15" s="5" t="s">
        <v>59</v>
      </c>
      <c r="B15" s="5">
        <v>88</v>
      </c>
      <c r="C15" s="7"/>
      <c r="D15" s="7">
        <v>7</v>
      </c>
      <c r="E15" s="7">
        <v>56050</v>
      </c>
      <c r="F15" s="7">
        <v>53233</v>
      </c>
      <c r="G15" s="7">
        <v>560</v>
      </c>
      <c r="H15" s="9">
        <f t="shared" si="6"/>
        <v>1.0519790355606485E-2</v>
      </c>
      <c r="I15" s="9">
        <f>IFERROR((56050-F15)/56050,0)</f>
        <v>5.0258697591436217E-2</v>
      </c>
      <c r="J15" s="7">
        <v>159820</v>
      </c>
      <c r="K15" s="11">
        <f t="shared" si="7"/>
        <v>42.889614659005829</v>
      </c>
      <c r="L15" s="11">
        <f>K15-79.9042</f>
        <v>-37.014585340994174</v>
      </c>
      <c r="M15" s="11">
        <v>82.5</v>
      </c>
      <c r="N15" s="11">
        <f t="shared" si="8"/>
        <v>-39.610385340994171</v>
      </c>
      <c r="O15" s="11">
        <f>IFERROR(22734221/56050,0)</f>
        <v>405.60608385370205</v>
      </c>
      <c r="P15" s="11">
        <v>415</v>
      </c>
      <c r="Q15" s="11">
        <f t="shared" si="9"/>
        <v>-9.3939161462979541</v>
      </c>
      <c r="R15" s="7">
        <v>10330</v>
      </c>
      <c r="S15" s="11">
        <f t="shared" si="10"/>
        <v>27.72179448301403</v>
      </c>
      <c r="T15" s="13">
        <f t="shared" si="11"/>
        <v>15.471442400774443</v>
      </c>
      <c r="U15" s="7">
        <v>37100</v>
      </c>
      <c r="V15" s="11">
        <f t="shared" si="12"/>
        <v>99.562301579847087</v>
      </c>
      <c r="W15" s="11">
        <f t="shared" si="13"/>
        <v>3.5914811229428847</v>
      </c>
      <c r="X15" s="11">
        <v>149.565</v>
      </c>
      <c r="Y15" s="11">
        <f t="shared" si="14"/>
        <v>64.635214616443506</v>
      </c>
      <c r="Z15" s="11">
        <f t="shared" si="15"/>
        <v>9.6671658741083721</v>
      </c>
      <c r="AA15" s="7">
        <v>1785</v>
      </c>
      <c r="AB15" s="15">
        <f>IFERROR(AA15/1715,0)</f>
        <v>1.0408163265306123</v>
      </c>
      <c r="AC15" s="11">
        <v>0</v>
      </c>
      <c r="AD15" s="15">
        <f>IFERROR(AC15/64.5,0)</f>
        <v>0</v>
      </c>
      <c r="AE15" s="11">
        <v>21</v>
      </c>
      <c r="AF15" s="11">
        <v>26</v>
      </c>
      <c r="AG15" s="7">
        <f t="shared" si="16"/>
        <v>-147600.57499999998</v>
      </c>
      <c r="AH15" s="7">
        <v>44.5</v>
      </c>
      <c r="AI15" s="7">
        <v>17.3033707865</v>
      </c>
      <c r="AJ15" s="11">
        <v>4</v>
      </c>
      <c r="AK15" s="11">
        <v>7</v>
      </c>
      <c r="AL15" s="11">
        <v>8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60</v>
      </c>
      <c r="B16" s="5">
        <v>61</v>
      </c>
      <c r="C16" s="7">
        <v>8</v>
      </c>
      <c r="D16" s="7">
        <v>7</v>
      </c>
      <c r="E16" s="7">
        <v>51536</v>
      </c>
      <c r="F16" s="7">
        <v>47951</v>
      </c>
      <c r="G16" s="7">
        <v>79</v>
      </c>
      <c r="H16" s="9">
        <f t="shared" si="6"/>
        <v>1.6475151717378156E-3</v>
      </c>
      <c r="I16" s="9">
        <f>IFERROR((51536-F16)/51536,0)</f>
        <v>6.9563023905619373E-2</v>
      </c>
      <c r="J16" s="7">
        <v>282560</v>
      </c>
      <c r="K16" s="11">
        <f t="shared" si="7"/>
        <v>84.181173042719195</v>
      </c>
      <c r="L16" s="11">
        <f>K16-80.6493</f>
        <v>3.531873042719198</v>
      </c>
      <c r="M16" s="11">
        <v>77</v>
      </c>
      <c r="N16" s="11">
        <f t="shared" si="8"/>
        <v>7.1811730427191947</v>
      </c>
      <c r="O16" s="11">
        <f>IFERROR(17589762/51536,0)</f>
        <v>341.31019093449237</v>
      </c>
      <c r="P16" s="11">
        <v>0</v>
      </c>
      <c r="Q16" s="11">
        <f t="shared" si="9"/>
        <v>341.31019093449237</v>
      </c>
      <c r="R16" s="7">
        <v>38820</v>
      </c>
      <c r="S16" s="11">
        <f t="shared" si="10"/>
        <v>115.65377751692947</v>
      </c>
      <c r="T16" s="13">
        <f t="shared" si="11"/>
        <v>7.2787223080886143</v>
      </c>
      <c r="U16" s="7">
        <v>72903</v>
      </c>
      <c r="V16" s="11">
        <f t="shared" si="12"/>
        <v>217.19493411428931</v>
      </c>
      <c r="W16" s="11">
        <f t="shared" si="13"/>
        <v>1.877975270479135</v>
      </c>
      <c r="X16" s="11">
        <v>299.06142857139997</v>
      </c>
      <c r="Y16" s="11">
        <f t="shared" si="14"/>
        <v>137.38674971687428</v>
      </c>
      <c r="Z16" s="11">
        <f t="shared" si="15"/>
        <v>41.0870776371098</v>
      </c>
      <c r="AA16" s="7">
        <v>1692</v>
      </c>
      <c r="AB16" s="15">
        <f>IFERROR(AA16/1725,0)</f>
        <v>0.98086956521739133</v>
      </c>
      <c r="AC16" s="11">
        <v>0</v>
      </c>
      <c r="AD16" s="15">
        <f>IFERROR(AC16/63.7,0)</f>
        <v>0</v>
      </c>
      <c r="AE16" s="11">
        <v>21</v>
      </c>
      <c r="AF16" s="11">
        <v>26</v>
      </c>
      <c r="AG16" s="7">
        <f t="shared" si="16"/>
        <v>24104.109999999971</v>
      </c>
      <c r="AH16" s="7">
        <v>79</v>
      </c>
      <c r="AI16" s="7">
        <v>10.6329113924</v>
      </c>
      <c r="AJ16" s="11">
        <v>16</v>
      </c>
      <c r="AK16" s="11">
        <v>16</v>
      </c>
      <c r="AL16" s="11">
        <v>0</v>
      </c>
      <c r="AM16" s="11">
        <v>0</v>
      </c>
      <c r="AN16" s="11">
        <v>0</v>
      </c>
      <c r="AO16" s="13">
        <f>IFERROR(600/F16,0)</f>
        <v>1.2512773456236574E-2</v>
      </c>
      <c r="AP16" s="11">
        <v>1500</v>
      </c>
      <c r="AQ16" s="7"/>
      <c r="AR16" s="7"/>
      <c r="AS16" s="7">
        <v>14</v>
      </c>
      <c r="AT16" s="7"/>
    </row>
    <row r="17" spans="1:46" x14ac:dyDescent="0.3">
      <c r="A17" s="5" t="s">
        <v>61</v>
      </c>
      <c r="B17" s="5">
        <v>28</v>
      </c>
      <c r="C17" s="7"/>
      <c r="D17" s="7">
        <v>7</v>
      </c>
      <c r="E17" s="7">
        <v>49067</v>
      </c>
      <c r="F17" s="7">
        <v>47927</v>
      </c>
      <c r="G17" s="7">
        <v>174</v>
      </c>
      <c r="H17" s="9">
        <f t="shared" si="6"/>
        <v>3.6305214179898596E-3</v>
      </c>
      <c r="I17" s="9">
        <f>IFERROR((49067-F17)/49067,0)</f>
        <v>2.3233537815639839E-2</v>
      </c>
      <c r="J17" s="7">
        <v>312520</v>
      </c>
      <c r="K17" s="11">
        <f t="shared" si="7"/>
        <v>93.15357582513883</v>
      </c>
      <c r="L17" s="11">
        <f>K17-96.927</f>
        <v>-3.7734241748611765</v>
      </c>
      <c r="M17" s="11">
        <v>95.75</v>
      </c>
      <c r="N17" s="11">
        <f t="shared" si="8"/>
        <v>-2.5964241748611698</v>
      </c>
      <c r="O17" s="11">
        <f>IFERROR(2608490/49067,0)</f>
        <v>53.161799172559967</v>
      </c>
      <c r="P17" s="11">
        <v>53</v>
      </c>
      <c r="Q17" s="11">
        <f t="shared" si="9"/>
        <v>0.16179917255996656</v>
      </c>
      <c r="R17" s="7">
        <v>37770</v>
      </c>
      <c r="S17" s="11">
        <f t="shared" si="10"/>
        <v>112.58193264160673</v>
      </c>
      <c r="T17" s="13">
        <f t="shared" si="11"/>
        <v>8.2742917659518138</v>
      </c>
      <c r="U17" s="7">
        <v>58860</v>
      </c>
      <c r="V17" s="11">
        <f t="shared" si="12"/>
        <v>175.445394632909</v>
      </c>
      <c r="W17" s="11">
        <f t="shared" si="13"/>
        <v>1.5583796664019065</v>
      </c>
      <c r="X17" s="11">
        <v>302.1371428571</v>
      </c>
      <c r="Y17" s="11">
        <f t="shared" si="14"/>
        <v>120.85626519902723</v>
      </c>
      <c r="Z17" s="11">
        <f t="shared" si="15"/>
        <v>36.51516666361406</v>
      </c>
      <c r="AA17" s="7">
        <v>1575</v>
      </c>
      <c r="AB17" s="15">
        <f>IFERROR(AA17/1620,0)</f>
        <v>0.97222222222222221</v>
      </c>
      <c r="AC17" s="11">
        <v>0</v>
      </c>
      <c r="AD17" s="15">
        <f>IFERROR(AC17/57.45,0)</f>
        <v>0</v>
      </c>
      <c r="AE17" s="11">
        <v>22</v>
      </c>
      <c r="AF17" s="11">
        <v>26</v>
      </c>
      <c r="AG17" s="7">
        <f t="shared" si="16"/>
        <v>-8710.7174999999897</v>
      </c>
      <c r="AH17" s="7">
        <v>52</v>
      </c>
      <c r="AI17" s="7">
        <v>8.8461538462</v>
      </c>
      <c r="AJ17" s="11">
        <v>8</v>
      </c>
      <c r="AK17" s="11">
        <v>8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1500</v>
      </c>
      <c r="AQ17" s="7"/>
      <c r="AR17" s="7"/>
      <c r="AS17" s="7">
        <v>14</v>
      </c>
      <c r="AT17" s="7"/>
    </row>
    <row r="18" spans="1:46" x14ac:dyDescent="0.3">
      <c r="A18" s="5" t="s">
        <v>62</v>
      </c>
      <c r="B18" s="5">
        <v>60</v>
      </c>
      <c r="C18" s="7"/>
      <c r="D18" s="7">
        <v>7</v>
      </c>
      <c r="E18" s="7">
        <v>52424</v>
      </c>
      <c r="F18" s="7">
        <v>43269</v>
      </c>
      <c r="G18" s="7">
        <v>503</v>
      </c>
      <c r="H18" s="9">
        <f t="shared" si="6"/>
        <v>1.1624950888626962E-2</v>
      </c>
      <c r="I18" s="9">
        <f>IFERROR((52424-F18)/52424,0)</f>
        <v>0.17463375553181748</v>
      </c>
      <c r="J18" s="7">
        <v>250120</v>
      </c>
      <c r="K18" s="11">
        <f t="shared" si="7"/>
        <v>82.579742012592334</v>
      </c>
      <c r="L18" s="11">
        <f>K18-94.8682</f>
        <v>-12.288457987407668</v>
      </c>
      <c r="M18" s="11">
        <v>91.4</v>
      </c>
      <c r="N18" s="11">
        <f t="shared" si="8"/>
        <v>-8.8202579874076719</v>
      </c>
      <c r="O18" s="11">
        <f>IFERROR(12362700/52424,0)</f>
        <v>235.82137952083016</v>
      </c>
      <c r="P18" s="11">
        <v>257</v>
      </c>
      <c r="Q18" s="11">
        <f t="shared" si="9"/>
        <v>-21.178620479169837</v>
      </c>
      <c r="R18" s="7">
        <v>35221</v>
      </c>
      <c r="S18" s="11">
        <f t="shared" si="10"/>
        <v>116.28582654028123</v>
      </c>
      <c r="T18" s="13">
        <f t="shared" si="11"/>
        <v>7.1014451605576223</v>
      </c>
      <c r="U18" s="7">
        <v>56579</v>
      </c>
      <c r="V18" s="11">
        <f t="shared" si="12"/>
        <v>186.80150421119706</v>
      </c>
      <c r="W18" s="11">
        <f t="shared" si="13"/>
        <v>1.6063995911530051</v>
      </c>
      <c r="X18" s="11">
        <v>293.36714285710002</v>
      </c>
      <c r="Y18" s="11">
        <f t="shared" si="14"/>
        <v>140.81640812410043</v>
      </c>
      <c r="Z18" s="11">
        <f t="shared" si="15"/>
        <v>41.310907318766674</v>
      </c>
      <c r="AA18" s="7">
        <v>0</v>
      </c>
      <c r="AB18" s="15">
        <f>IFERROR(AA18/1725,0)</f>
        <v>0</v>
      </c>
      <c r="AC18" s="11">
        <v>0</v>
      </c>
      <c r="AD18" s="15">
        <f>IFERROR(AC18/63.2,0)</f>
        <v>0</v>
      </c>
      <c r="AE18" s="11">
        <v>21</v>
      </c>
      <c r="AF18" s="11">
        <v>26</v>
      </c>
      <c r="AG18" s="7">
        <f t="shared" si="16"/>
        <v>-26715.061999999976</v>
      </c>
      <c r="AH18" s="7">
        <v>74</v>
      </c>
      <c r="AI18" s="7">
        <v>8.9189189188999993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IFERROR(1000/F18,0)</f>
        <v>2.3111234371027755E-2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63</v>
      </c>
      <c r="B19" s="5">
        <v>50</v>
      </c>
      <c r="C19" s="7"/>
      <c r="D19" s="7">
        <v>7</v>
      </c>
      <c r="E19" s="7">
        <v>50525</v>
      </c>
      <c r="F19" s="7">
        <v>46152</v>
      </c>
      <c r="G19" s="7">
        <v>203</v>
      </c>
      <c r="H19" s="9">
        <f t="shared" si="6"/>
        <v>4.3985092737042816E-3</v>
      </c>
      <c r="I19" s="9">
        <f>IFERROR((50525-F19)/50525,0)</f>
        <v>8.6551212271152894E-2</v>
      </c>
      <c r="J19" s="7">
        <v>284400</v>
      </c>
      <c r="K19" s="11">
        <f t="shared" si="7"/>
        <v>88.032092712279919</v>
      </c>
      <c r="L19" s="11">
        <f>K19-87.6651</f>
        <v>0.36699271227992369</v>
      </c>
      <c r="M19" s="11">
        <v>90</v>
      </c>
      <c r="N19" s="11">
        <f t="shared" si="8"/>
        <v>-1.9679072877200809</v>
      </c>
      <c r="O19" s="11">
        <f>IFERROR(9114930/50525,0)</f>
        <v>180.40435428005938</v>
      </c>
      <c r="P19" s="11">
        <v>196</v>
      </c>
      <c r="Q19" s="11">
        <f t="shared" si="9"/>
        <v>-15.59564571994062</v>
      </c>
      <c r="R19" s="7">
        <v>36764</v>
      </c>
      <c r="S19" s="11">
        <f t="shared" si="10"/>
        <v>113.79788524874327</v>
      </c>
      <c r="T19" s="13">
        <f t="shared" si="11"/>
        <v>7.7358285279077359</v>
      </c>
      <c r="U19" s="7">
        <v>64162</v>
      </c>
      <c r="V19" s="11">
        <f t="shared" si="12"/>
        <v>198.60461085110072</v>
      </c>
      <c r="W19" s="11">
        <f t="shared" si="13"/>
        <v>1.7452399086062456</v>
      </c>
      <c r="X19" s="11">
        <v>310.05857142859998</v>
      </c>
      <c r="Y19" s="11">
        <f t="shared" si="14"/>
        <v>129.26863572433192</v>
      </c>
      <c r="Z19" s="11">
        <f t="shared" si="15"/>
        <v>40.080848523210435</v>
      </c>
      <c r="AA19" s="7">
        <v>1720</v>
      </c>
      <c r="AB19" s="15">
        <f>IFERROR(AA19/1580,0)</f>
        <v>1.0886075949367089</v>
      </c>
      <c r="AC19" s="11">
        <v>61.11</v>
      </c>
      <c r="AD19" s="15">
        <f>IFERROR(AC19/62.3,0)</f>
        <v>0.98089887640449447</v>
      </c>
      <c r="AE19" s="11">
        <v>20</v>
      </c>
      <c r="AF19" s="11">
        <v>26</v>
      </c>
      <c r="AG19" s="7">
        <f t="shared" si="16"/>
        <v>-6357.6000000000031</v>
      </c>
      <c r="AH19" s="7">
        <v>63</v>
      </c>
      <c r="AI19" s="7">
        <v>10.793650793699999</v>
      </c>
      <c r="AJ19" s="11">
        <v>10</v>
      </c>
      <c r="AK19" s="11">
        <v>11</v>
      </c>
      <c r="AL19" s="11">
        <v>0</v>
      </c>
      <c r="AM19" s="11">
        <v>0</v>
      </c>
      <c r="AN19" s="11">
        <v>0</v>
      </c>
      <c r="AO19" s="13">
        <f>IFERROR(800/F19,0)</f>
        <v>1.7334026694401108E-2</v>
      </c>
      <c r="AP19" s="11">
        <v>1800</v>
      </c>
      <c r="AQ19" s="7"/>
      <c r="AR19" s="7"/>
      <c r="AS19" s="7">
        <v>14.45</v>
      </c>
      <c r="AT19" s="7"/>
    </row>
    <row r="20" spans="1:46" x14ac:dyDescent="0.3">
      <c r="A20" s="5" t="s">
        <v>64</v>
      </c>
      <c r="B20" s="5">
        <v>69</v>
      </c>
      <c r="C20" s="7"/>
      <c r="D20" s="7">
        <v>7</v>
      </c>
      <c r="E20" s="7">
        <v>50845</v>
      </c>
      <c r="F20" s="7">
        <v>46774</v>
      </c>
      <c r="G20" s="7">
        <v>155</v>
      </c>
      <c r="H20" s="9">
        <f t="shared" si="6"/>
        <v>3.313806815752341E-3</v>
      </c>
      <c r="I20" s="9">
        <f>IFERROR((50845-F20)/50845,0)</f>
        <v>8.0066869898711771E-2</v>
      </c>
      <c r="J20" s="7">
        <v>281860</v>
      </c>
      <c r="K20" s="11">
        <f t="shared" si="7"/>
        <v>86.085676413636378</v>
      </c>
      <c r="L20" s="11">
        <f>K20-87.7861</f>
        <v>-1.7004235863636268</v>
      </c>
      <c r="M20" s="11">
        <v>88.7</v>
      </c>
      <c r="N20" s="11">
        <f t="shared" si="8"/>
        <v>-2.6143235863636249</v>
      </c>
      <c r="O20" s="11">
        <f>IFERROR(15473050/50845,0)</f>
        <v>304.31802537122627</v>
      </c>
      <c r="P20" s="11">
        <v>310</v>
      </c>
      <c r="Q20" s="11">
        <f t="shared" si="9"/>
        <v>-5.6819746287737303</v>
      </c>
      <c r="R20" s="7">
        <v>38837</v>
      </c>
      <c r="S20" s="11">
        <f t="shared" si="10"/>
        <v>118.61595880495268</v>
      </c>
      <c r="T20" s="13">
        <f t="shared" si="11"/>
        <v>7.2575121662332309</v>
      </c>
      <c r="U20" s="7">
        <v>67000</v>
      </c>
      <c r="V20" s="11">
        <f t="shared" si="12"/>
        <v>204.63138862249477</v>
      </c>
      <c r="W20" s="11">
        <f t="shared" si="13"/>
        <v>1.7251589978628625</v>
      </c>
      <c r="X20" s="11">
        <v>318.57</v>
      </c>
      <c r="Y20" s="11">
        <f t="shared" si="14"/>
        <v>137.78826367700276</v>
      </c>
      <c r="Z20" s="11">
        <f t="shared" si="15"/>
        <v>43.895207159582768</v>
      </c>
      <c r="AA20" s="7">
        <v>1733</v>
      </c>
      <c r="AB20" s="15">
        <f>IFERROR(AA20/1725,0)</f>
        <v>1.0046376811594202</v>
      </c>
      <c r="AC20" s="11">
        <v>61.72</v>
      </c>
      <c r="AD20" s="15">
        <f>IFERROR(AC20/63.6,0)</f>
        <v>0.97044025157232705</v>
      </c>
      <c r="AE20" s="11">
        <v>20</v>
      </c>
      <c r="AF20" s="11">
        <v>25</v>
      </c>
      <c r="AG20" s="7">
        <f t="shared" si="16"/>
        <v>-8559.7660000000524</v>
      </c>
      <c r="AH20" s="7">
        <v>68</v>
      </c>
      <c r="AI20" s="7">
        <v>10.5882352941</v>
      </c>
      <c r="AJ20" s="11">
        <v>11</v>
      </c>
      <c r="AK20" s="11">
        <v>11</v>
      </c>
      <c r="AL20" s="11">
        <v>0</v>
      </c>
      <c r="AM20" s="11">
        <v>0</v>
      </c>
      <c r="AN20" s="11">
        <v>0</v>
      </c>
      <c r="AO20" s="13">
        <f>IFERROR(800/F20,0)</f>
        <v>1.7103519049044343E-2</v>
      </c>
      <c r="AP20" s="11">
        <v>1800</v>
      </c>
      <c r="AQ20" s="7"/>
      <c r="AR20" s="7"/>
      <c r="AS20" s="7">
        <v>15</v>
      </c>
      <c r="AT20" s="7"/>
    </row>
    <row r="21" spans="1:46" x14ac:dyDescent="0.3">
      <c r="A21" s="5" t="s">
        <v>65</v>
      </c>
      <c r="B21" s="5">
        <v>36</v>
      </c>
      <c r="C21" s="7"/>
      <c r="D21" s="7">
        <v>7</v>
      </c>
      <c r="E21" s="7">
        <v>21024</v>
      </c>
      <c r="F21" s="7">
        <v>19874</v>
      </c>
      <c r="G21" s="7">
        <v>68</v>
      </c>
      <c r="H21" s="9">
        <f t="shared" si="6"/>
        <v>3.4215558015497634E-3</v>
      </c>
      <c r="I21" s="9">
        <f>IFERROR((21024-F21)/21024,0)</f>
        <v>5.4699391171993912E-2</v>
      </c>
      <c r="J21" s="7">
        <v>104921</v>
      </c>
      <c r="K21" s="11">
        <f t="shared" si="7"/>
        <v>75.418709297143437</v>
      </c>
      <c r="L21" s="11">
        <f>K21-79.8817</f>
        <v>-4.4629907028565583</v>
      </c>
      <c r="M21" s="11">
        <v>93.5</v>
      </c>
      <c r="N21" s="11">
        <f t="shared" si="8"/>
        <v>-18.081290702856563</v>
      </c>
      <c r="O21" s="11">
        <f>IFERROR(1459241/21024,0)</f>
        <v>69.408342846270926</v>
      </c>
      <c r="P21" s="11">
        <v>111</v>
      </c>
      <c r="Q21" s="11">
        <f t="shared" si="9"/>
        <v>-41.591657153729074</v>
      </c>
      <c r="R21" s="7">
        <v>17570</v>
      </c>
      <c r="S21" s="11">
        <f t="shared" si="10"/>
        <v>126.29566267485157</v>
      </c>
      <c r="T21" s="13">
        <f t="shared" si="11"/>
        <v>5.9715993170176436</v>
      </c>
      <c r="U21" s="7">
        <v>27750</v>
      </c>
      <c r="V21" s="11">
        <f t="shared" si="12"/>
        <v>199.47095271639904</v>
      </c>
      <c r="W21" s="11">
        <f t="shared" si="13"/>
        <v>1.5793966989186112</v>
      </c>
      <c r="X21" s="11">
        <v>288.35428571429998</v>
      </c>
      <c r="Y21" s="11">
        <f t="shared" si="14"/>
        <v>167.45932654092127</v>
      </c>
      <c r="Z21" s="11">
        <f t="shared" si="15"/>
        <v>48.287614490905071</v>
      </c>
      <c r="AA21" s="7">
        <v>1930</v>
      </c>
      <c r="AB21" s="15">
        <f>IFERROR(AA21/1920,0)</f>
        <v>1.0052083333333333</v>
      </c>
      <c r="AC21" s="11">
        <v>0</v>
      </c>
      <c r="AD21" s="15">
        <f>IFERROR(AC21/61.9,0)</f>
        <v>0</v>
      </c>
      <c r="AE21" s="11">
        <v>20</v>
      </c>
      <c r="AF21" s="11">
        <v>26</v>
      </c>
      <c r="AG21" s="7">
        <f t="shared" si="16"/>
        <v>-25154.329999999998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60</v>
      </c>
      <c r="C22" s="7"/>
      <c r="D22" s="7">
        <v>7</v>
      </c>
      <c r="E22" s="7">
        <v>21875</v>
      </c>
      <c r="F22" s="7">
        <v>20276</v>
      </c>
      <c r="G22" s="7">
        <v>76</v>
      </c>
      <c r="H22" s="9">
        <f t="shared" si="6"/>
        <v>3.7482738212665221E-3</v>
      </c>
      <c r="I22" s="9">
        <f>IFERROR((21875-F22)/21875,0)</f>
        <v>7.3097142857142861E-2</v>
      </c>
      <c r="J22" s="7">
        <v>125060</v>
      </c>
      <c r="K22" s="11">
        <f t="shared" si="7"/>
        <v>88.112617309697612</v>
      </c>
      <c r="L22" s="11">
        <f>K22-191.5852</f>
        <v>-103.47258269030237</v>
      </c>
      <c r="M22" s="11">
        <v>85</v>
      </c>
      <c r="N22" s="11">
        <f t="shared" si="8"/>
        <v>3.1126173096976117</v>
      </c>
      <c r="O22" s="11">
        <f>IFERROR(5760980/21875,0)</f>
        <v>263.3590857142857</v>
      </c>
      <c r="P22" s="11">
        <v>258</v>
      </c>
      <c r="Q22" s="11">
        <f t="shared" si="9"/>
        <v>5.3590857142856976</v>
      </c>
      <c r="R22" s="7">
        <v>17570</v>
      </c>
      <c r="S22" s="11">
        <f t="shared" si="10"/>
        <v>123.79167488656539</v>
      </c>
      <c r="T22" s="13">
        <f t="shared" si="11"/>
        <v>7.1178144564598744</v>
      </c>
      <c r="U22" s="7">
        <v>28290</v>
      </c>
      <c r="V22" s="11">
        <f t="shared" si="12"/>
        <v>199.32080151058253</v>
      </c>
      <c r="W22" s="11">
        <f t="shared" si="13"/>
        <v>1.6101309049516221</v>
      </c>
      <c r="X22" s="11">
        <v>289.7785714286</v>
      </c>
      <c r="Y22" s="11">
        <f t="shared" si="14"/>
        <v>140.49256356948663</v>
      </c>
      <c r="Z22" s="11">
        <f t="shared" si="15"/>
        <v>40.71173436750761</v>
      </c>
      <c r="AA22" s="7">
        <v>2045</v>
      </c>
      <c r="AB22" s="15">
        <f>IFERROR(AA22/1960,0)</f>
        <v>1.0433673469387754</v>
      </c>
      <c r="AC22" s="11">
        <v>65.41</v>
      </c>
      <c r="AD22" s="15">
        <f>IFERROR(AC22/63.7,0)</f>
        <v>1.0268445839874409</v>
      </c>
      <c r="AE22" s="11">
        <v>21</v>
      </c>
      <c r="AF22" s="11">
        <v>26</v>
      </c>
      <c r="AG22" s="7">
        <f t="shared" si="16"/>
        <v>4417.8000000000138</v>
      </c>
      <c r="AH22" s="7">
        <v>0</v>
      </c>
      <c r="AI22" s="7">
        <v>0</v>
      </c>
      <c r="AJ22" s="11">
        <v>7</v>
      </c>
      <c r="AK22" s="11">
        <v>6</v>
      </c>
      <c r="AL22" s="11">
        <v>0</v>
      </c>
      <c r="AM22" s="11">
        <v>0</v>
      </c>
      <c r="AN22" s="11">
        <v>0</v>
      </c>
      <c r="AO22" s="13">
        <f>IFERROR(425/F22,0)</f>
        <v>2.0960741763661472E-2</v>
      </c>
      <c r="AP22" s="11">
        <v>1800</v>
      </c>
      <c r="AQ22" s="7"/>
      <c r="AR22" s="7"/>
      <c r="AS22" s="7">
        <v>14.45</v>
      </c>
      <c r="AT22" s="7"/>
    </row>
    <row r="23" spans="1:46" x14ac:dyDescent="0.3">
      <c r="A23" s="5" t="s">
        <v>68</v>
      </c>
      <c r="B23" s="5">
        <v>50</v>
      </c>
      <c r="C23" s="7"/>
      <c r="D23" s="7">
        <v>7</v>
      </c>
      <c r="E23" s="7">
        <v>21339</v>
      </c>
      <c r="F23" s="7">
        <v>20247</v>
      </c>
      <c r="G23" s="7">
        <v>68</v>
      </c>
      <c r="H23" s="9">
        <f t="shared" si="6"/>
        <v>3.3585222502099076E-3</v>
      </c>
      <c r="I23" s="9">
        <f>IFERROR((21339-F23)/21339,0)</f>
        <v>5.1173906930971458E-2</v>
      </c>
      <c r="J23" s="7">
        <v>126560</v>
      </c>
      <c r="K23" s="11">
        <f t="shared" si="7"/>
        <v>89.29717982911049</v>
      </c>
      <c r="L23" s="11">
        <f>K23-91.4876</f>
        <v>-2.1904201708895101</v>
      </c>
      <c r="M23" s="11">
        <v>88.5</v>
      </c>
      <c r="N23" s="11">
        <f t="shared" si="8"/>
        <v>0.79717982911049035</v>
      </c>
      <c r="O23" s="11">
        <f>IFERROR(4044180/21339,0)</f>
        <v>189.52059609166315</v>
      </c>
      <c r="P23" s="11">
        <v>198</v>
      </c>
      <c r="Q23" s="11">
        <f t="shared" si="9"/>
        <v>-8.4794039083368489</v>
      </c>
      <c r="R23" s="7">
        <v>17590</v>
      </c>
      <c r="S23" s="11">
        <f t="shared" si="10"/>
        <v>124.11009743947956</v>
      </c>
      <c r="T23" s="13">
        <f t="shared" si="11"/>
        <v>7.1949971574758385</v>
      </c>
      <c r="U23" s="7">
        <v>32082</v>
      </c>
      <c r="V23" s="11">
        <f t="shared" si="12"/>
        <v>226.36157737654256</v>
      </c>
      <c r="W23" s="11">
        <f t="shared" si="13"/>
        <v>1.8238772029562254</v>
      </c>
      <c r="X23" s="11">
        <v>292.52999999999997</v>
      </c>
      <c r="Y23" s="11">
        <f t="shared" si="14"/>
        <v>138.98546144121363</v>
      </c>
      <c r="Z23" s="11">
        <f t="shared" si="15"/>
        <v>40.657417035398218</v>
      </c>
      <c r="AA23" s="7">
        <v>2035</v>
      </c>
      <c r="AB23" s="15">
        <f>IFERROR(AA23/1950,0)</f>
        <v>1.0435897435897437</v>
      </c>
      <c r="AC23" s="11">
        <v>64.7</v>
      </c>
      <c r="AD23" s="15">
        <f>IFERROR(AC23/63.4,0)</f>
        <v>1.0205047318611988</v>
      </c>
      <c r="AE23" s="11">
        <v>20</v>
      </c>
      <c r="AF23" s="11">
        <v>26</v>
      </c>
      <c r="AG23" s="7">
        <f t="shared" si="16"/>
        <v>1129.8350000000066</v>
      </c>
      <c r="AH23" s="7">
        <v>0</v>
      </c>
      <c r="AI23" s="7">
        <v>0</v>
      </c>
      <c r="AJ23" s="11">
        <v>10</v>
      </c>
      <c r="AK23" s="11">
        <v>10</v>
      </c>
      <c r="AL23" s="11">
        <v>0</v>
      </c>
      <c r="AM23" s="11">
        <v>0</v>
      </c>
      <c r="AN23" s="11">
        <v>0</v>
      </c>
      <c r="AO23" s="13">
        <f>IFERROR(280/F23,0)</f>
        <v>1.3829209265570208E-2</v>
      </c>
      <c r="AP23" s="11">
        <v>1800</v>
      </c>
      <c r="AQ23" s="7"/>
      <c r="AR23" s="7"/>
      <c r="AS23" s="7">
        <v>14.45</v>
      </c>
      <c r="AT23" s="7"/>
    </row>
    <row r="24" spans="1:46" x14ac:dyDescent="0.3">
      <c r="A24" s="5" t="s">
        <v>69</v>
      </c>
      <c r="B24" s="5">
        <v>37</v>
      </c>
      <c r="C24" s="7"/>
      <c r="D24" s="7">
        <v>7</v>
      </c>
      <c r="E24" s="7">
        <v>64976</v>
      </c>
      <c r="F24" s="7">
        <v>62831</v>
      </c>
      <c r="G24" s="7">
        <v>105</v>
      </c>
      <c r="H24" s="9">
        <f t="shared" si="6"/>
        <v>1.6711495917620283E-3</v>
      </c>
      <c r="I24" s="9">
        <f>IFERROR((64976-F24)/64976,0)</f>
        <v>3.3012189115981284E-2</v>
      </c>
      <c r="J24" s="7">
        <v>413060</v>
      </c>
      <c r="K24" s="11">
        <f t="shared" si="7"/>
        <v>93.916333384112022</v>
      </c>
      <c r="L24" s="11">
        <f>K24-96.7559</f>
        <v>-2.8395666158879749</v>
      </c>
      <c r="M24" s="11">
        <v>94</v>
      </c>
      <c r="N24" s="11">
        <f t="shared" si="8"/>
        <v>-8.3666615887977969E-2</v>
      </c>
      <c r="O24" s="11">
        <f>IFERROR(7370140/64976,0)</f>
        <v>113.4286505786752</v>
      </c>
      <c r="P24" s="11">
        <v>113</v>
      </c>
      <c r="Q24" s="11">
        <f t="shared" si="9"/>
        <v>0.42865057867520306</v>
      </c>
      <c r="R24" s="7">
        <v>50950</v>
      </c>
      <c r="S24" s="11">
        <f t="shared" si="10"/>
        <v>115.84363496636101</v>
      </c>
      <c r="T24" s="13">
        <f t="shared" si="11"/>
        <v>8.1071638861629047</v>
      </c>
      <c r="U24" s="7">
        <v>97800</v>
      </c>
      <c r="V24" s="11">
        <f t="shared" si="12"/>
        <v>222.36521098547803</v>
      </c>
      <c r="W24" s="11">
        <f t="shared" si="13"/>
        <v>1.919528949950932</v>
      </c>
      <c r="X24" s="11">
        <v>295.72857142859999</v>
      </c>
      <c r="Y24" s="11">
        <f t="shared" si="14"/>
        <v>123.34769767104052</v>
      </c>
      <c r="Z24" s="11">
        <f t="shared" si="15"/>
        <v>36.477438421263663</v>
      </c>
      <c r="AA24" s="7">
        <v>1656</v>
      </c>
      <c r="AB24" s="15">
        <f>IFERROR(AA24/1560,0)</f>
        <v>1.0615384615384615</v>
      </c>
      <c r="AC24" s="11">
        <v>0</v>
      </c>
      <c r="AD24" s="15">
        <f>IFERROR(AC24/60.3,0)</f>
        <v>0</v>
      </c>
      <c r="AE24" s="11">
        <v>21</v>
      </c>
      <c r="AF24" s="11">
        <v>25</v>
      </c>
      <c r="AG24" s="7">
        <f t="shared" si="16"/>
        <v>-367.98000000002804</v>
      </c>
      <c r="AH24" s="7">
        <v>52</v>
      </c>
      <c r="AI24" s="7">
        <v>13.4615384615</v>
      </c>
      <c r="AJ24" s="11">
        <v>14</v>
      </c>
      <c r="AK24" s="11">
        <v>14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1500</v>
      </c>
      <c r="AQ24" s="7"/>
      <c r="AR24" s="7"/>
      <c r="AS24" s="7">
        <v>14</v>
      </c>
      <c r="AT24" s="7"/>
    </row>
    <row r="25" spans="1:46" x14ac:dyDescent="0.3">
      <c r="A25" s="5" t="s">
        <v>70</v>
      </c>
      <c r="B25" s="5">
        <v>108</v>
      </c>
      <c r="C25" s="7">
        <v>36</v>
      </c>
      <c r="D25" s="7">
        <v>7</v>
      </c>
      <c r="E25" s="7">
        <v>47224</v>
      </c>
      <c r="F25" s="7">
        <v>39671</v>
      </c>
      <c r="G25" s="7">
        <v>179</v>
      </c>
      <c r="H25" s="9">
        <f t="shared" si="6"/>
        <v>4.512112122205137E-3</v>
      </c>
      <c r="I25" s="9">
        <f>IFERROR((47224-F25)/47224,0)</f>
        <v>0.1599398610875826</v>
      </c>
      <c r="J25" s="7">
        <v>158900</v>
      </c>
      <c r="K25" s="11">
        <f t="shared" si="7"/>
        <v>57.220639762042801</v>
      </c>
      <c r="L25" s="11">
        <f>K25-57.0599</f>
        <v>0.16073976204280171</v>
      </c>
      <c r="M25" s="11">
        <v>69</v>
      </c>
      <c r="N25" s="11">
        <f t="shared" si="8"/>
        <v>-11.779360237957199</v>
      </c>
      <c r="O25" s="11">
        <f>IFERROR(19061660/47224,0)</f>
        <v>403.64348636286633</v>
      </c>
      <c r="P25" s="11">
        <v>0</v>
      </c>
      <c r="Q25" s="11">
        <f t="shared" si="9"/>
        <v>403.64348636286633</v>
      </c>
      <c r="R25" s="7">
        <v>34710</v>
      </c>
      <c r="S25" s="11">
        <f t="shared" si="10"/>
        <v>124.99234777473289</v>
      </c>
      <c r="T25" s="13">
        <f t="shared" si="11"/>
        <v>4.5779314318640161</v>
      </c>
      <c r="U25" s="7">
        <v>58000</v>
      </c>
      <c r="V25" s="11">
        <f t="shared" si="12"/>
        <v>208.86073670223303</v>
      </c>
      <c r="W25" s="11">
        <f t="shared" si="13"/>
        <v>1.6709881878421207</v>
      </c>
      <c r="X25" s="11">
        <v>307.58428571429999</v>
      </c>
      <c r="Y25" s="11">
        <f t="shared" si="14"/>
        <v>218.43926998112016</v>
      </c>
      <c r="Z25" s="11">
        <f t="shared" si="15"/>
        <v>67.188486829095964</v>
      </c>
      <c r="AA25" s="7">
        <v>1641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16</v>
      </c>
      <c r="AF25" s="11">
        <v>26</v>
      </c>
      <c r="AG25" s="7">
        <f t="shared" si="16"/>
        <v>-32710.930000000004</v>
      </c>
      <c r="AH25" s="7">
        <v>103</v>
      </c>
      <c r="AI25" s="7">
        <v>13.3980582524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IFERROR(1400/F25,0)</f>
        <v>3.5290262408308334E-2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71</v>
      </c>
      <c r="B26" s="5">
        <v>28</v>
      </c>
      <c r="C26" s="7"/>
      <c r="D26" s="7">
        <v>7</v>
      </c>
      <c r="E26" s="7">
        <v>24546</v>
      </c>
      <c r="F26" s="7">
        <v>23916</v>
      </c>
      <c r="G26" s="7">
        <v>94</v>
      </c>
      <c r="H26" s="9">
        <f t="shared" si="6"/>
        <v>3.9304231476835596E-3</v>
      </c>
      <c r="I26" s="9">
        <f>IFERROR((24546-F26)/24546,0)</f>
        <v>2.5666096308970911E-2</v>
      </c>
      <c r="J26" s="7">
        <v>152120</v>
      </c>
      <c r="K26" s="11">
        <f t="shared" si="7"/>
        <v>90.865648818483749</v>
      </c>
      <c r="L26" s="11">
        <f>K26-93.8895</f>
        <v>-3.0238511815162497</v>
      </c>
      <c r="M26" s="11">
        <v>95.5</v>
      </c>
      <c r="N26" s="11">
        <f t="shared" si="8"/>
        <v>-4.6343511815162515</v>
      </c>
      <c r="O26" s="11">
        <f>IFERROR(1249100/24546,0)</f>
        <v>50.888128411961219</v>
      </c>
      <c r="P26" s="11">
        <v>54</v>
      </c>
      <c r="Q26" s="11">
        <f t="shared" si="9"/>
        <v>-3.1118715880387811</v>
      </c>
      <c r="R26" s="7">
        <v>17960</v>
      </c>
      <c r="S26" s="11">
        <f t="shared" si="10"/>
        <v>107.28024275440232</v>
      </c>
      <c r="T26" s="13">
        <f t="shared" si="11"/>
        <v>8.4699331848552344</v>
      </c>
      <c r="U26" s="7">
        <v>25700</v>
      </c>
      <c r="V26" s="11">
        <f t="shared" si="12"/>
        <v>153.51348768308125</v>
      </c>
      <c r="W26" s="11">
        <f t="shared" si="13"/>
        <v>1.4309576837416478</v>
      </c>
      <c r="X26" s="11">
        <v>291.4571428571</v>
      </c>
      <c r="Y26" s="11">
        <f t="shared" si="14"/>
        <v>118.06468577438865</v>
      </c>
      <c r="Z26" s="11">
        <f t="shared" si="15"/>
        <v>34.410795988124612</v>
      </c>
      <c r="AA26" s="7">
        <v>1482</v>
      </c>
      <c r="AB26" s="15">
        <f>IFERROR(AA26/1520,0)</f>
        <v>0.97499999999999998</v>
      </c>
      <c r="AC26" s="11">
        <v>0</v>
      </c>
      <c r="AD26" s="15">
        <f>IFERROR(AC26/56.3,0)</f>
        <v>0</v>
      </c>
      <c r="AE26" s="11">
        <v>16</v>
      </c>
      <c r="AF26" s="11">
        <v>26</v>
      </c>
      <c r="AG26" s="7">
        <f t="shared" si="16"/>
        <v>-7758.4599999999882</v>
      </c>
      <c r="AH26" s="7">
        <v>57</v>
      </c>
      <c r="AI26" s="7">
        <v>14.0350877193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ht="15" thickBot="1" x14ac:dyDescent="0.35">
      <c r="A27" s="5" t="s">
        <v>72</v>
      </c>
      <c r="B27" s="5">
        <v>28</v>
      </c>
      <c r="C27" s="7"/>
      <c r="D27" s="7">
        <v>7</v>
      </c>
      <c r="E27" s="7">
        <v>12056</v>
      </c>
      <c r="F27" s="7">
        <v>11769</v>
      </c>
      <c r="G27" s="7">
        <v>50</v>
      </c>
      <c r="H27" s="9">
        <f t="shared" si="6"/>
        <v>4.2484493159996601E-3</v>
      </c>
      <c r="I27" s="9">
        <f>IFERROR((12056-F27)/12056,0)</f>
        <v>2.3805573988055741E-2</v>
      </c>
      <c r="J27" s="7">
        <v>76240</v>
      </c>
      <c r="K27" s="11">
        <f t="shared" si="7"/>
        <v>92.543364529089729</v>
      </c>
      <c r="L27" s="11">
        <f>K27-96.5516</f>
        <v>-4.0082354709102646</v>
      </c>
      <c r="M27" s="11">
        <v>95.5</v>
      </c>
      <c r="N27" s="11">
        <f t="shared" si="8"/>
        <v>-2.9566354709102711</v>
      </c>
      <c r="O27" s="11">
        <f>IFERROR(709950/12056,0)</f>
        <v>58.887690776376907</v>
      </c>
      <c r="P27" s="11">
        <v>58</v>
      </c>
      <c r="Q27" s="11">
        <f t="shared" si="9"/>
        <v>0.88769077637690685</v>
      </c>
      <c r="R27" s="7">
        <v>10500</v>
      </c>
      <c r="S27" s="11">
        <f t="shared" si="10"/>
        <v>127.45347947998981</v>
      </c>
      <c r="T27" s="13">
        <f t="shared" si="11"/>
        <v>7.2609523809523813</v>
      </c>
      <c r="U27" s="7">
        <v>12600</v>
      </c>
      <c r="V27" s="11">
        <f t="shared" si="12"/>
        <v>152.94417537598775</v>
      </c>
      <c r="W27" s="11">
        <f t="shared" si="13"/>
        <v>1.2</v>
      </c>
      <c r="X27" s="11">
        <v>290.71714285709999</v>
      </c>
      <c r="Y27" s="11">
        <f t="shared" si="14"/>
        <v>137.7229800629591</v>
      </c>
      <c r="Z27" s="11">
        <f t="shared" si="15"/>
        <v>40.038431269668813</v>
      </c>
      <c r="AA27" s="7">
        <v>1726</v>
      </c>
      <c r="AB27" s="15">
        <f>IFERROR(AA27/1890,0)</f>
        <v>0.91322751322751328</v>
      </c>
      <c r="AC27" s="11">
        <v>61.42</v>
      </c>
      <c r="AD27" s="15">
        <f>IFERROR(AC27/60.2,0)</f>
        <v>1.020265780730897</v>
      </c>
      <c r="AE27" s="11">
        <v>16</v>
      </c>
      <c r="AF27" s="11">
        <v>27</v>
      </c>
      <c r="AG27" s="7">
        <f t="shared" si="16"/>
        <v>-2435.7650000000085</v>
      </c>
      <c r="AH27" s="7">
        <v>0</v>
      </c>
      <c r="AI27" s="7">
        <v>0</v>
      </c>
      <c r="AJ27" s="11">
        <v>10</v>
      </c>
      <c r="AK27" s="11">
        <v>11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1800</v>
      </c>
      <c r="AQ27" s="7"/>
      <c r="AR27" s="7"/>
      <c r="AS27" s="7">
        <v>14.45</v>
      </c>
      <c r="AT27" s="7"/>
    </row>
    <row r="28" spans="1:46" ht="15" thickBot="1" x14ac:dyDescent="0.35">
      <c r="A28" s="16" t="s">
        <v>73</v>
      </c>
      <c r="B28" s="16"/>
      <c r="C28" s="17"/>
      <c r="D28" s="17">
        <f>AVERAGE(D13:D27)</f>
        <v>7</v>
      </c>
      <c r="E28" s="17">
        <f>SUM(E13:E27)</f>
        <v>537211</v>
      </c>
      <c r="F28" s="17">
        <f>SUM(F13:F27)</f>
        <v>494520</v>
      </c>
      <c r="G28" s="17">
        <f>SUM(G13:G27)</f>
        <v>2434</v>
      </c>
      <c r="H28" s="18">
        <f t="shared" si="6"/>
        <v>4.9219445118498743E-3</v>
      </c>
      <c r="I28" s="18"/>
      <c r="J28" s="17">
        <f>SUM(J13:J27)</f>
        <v>2777811</v>
      </c>
      <c r="K28" s="19">
        <f t="shared" si="7"/>
        <v>80.245519464762367</v>
      </c>
      <c r="L28" s="19"/>
      <c r="M28" s="19">
        <f>IFERROR(SUMPRODUCT($F13:$F27,M13:M27)/$F28, 0)</f>
        <v>86.87110561756856</v>
      </c>
      <c r="N28" s="19">
        <f t="shared" si="8"/>
        <v>-6.6255861528061928</v>
      </c>
      <c r="O28" s="19">
        <f>IFERROR(SUMPRODUCT($E13:$E27,O13:O27)/$E28, 0)</f>
        <v>226.3464150957445</v>
      </c>
      <c r="P28" s="19">
        <f>IFERROR(SUMPRODUCT($E13:$E27,P13:P27)/$E28, 0)</f>
        <v>166.05528367810786</v>
      </c>
      <c r="Q28" s="19">
        <f>IFERROR(SUMPRODUCT($E13:$E27,Q13:Q27)/$E28, 0)</f>
        <v>60.291131417636649</v>
      </c>
      <c r="R28" s="17">
        <f>SUM(R13:R27)</f>
        <v>374352</v>
      </c>
      <c r="S28" s="19">
        <f>IFERROR(R28/D28/$F28*1000,0)</f>
        <v>108.14296113980656</v>
      </c>
      <c r="T28" s="20">
        <f t="shared" si="11"/>
        <v>7.4203183100397485</v>
      </c>
      <c r="U28" s="17">
        <f>SUM(U13:U27)</f>
        <v>655426</v>
      </c>
      <c r="V28" s="19">
        <f>IFERROR(U28/D28/$F28*1000,0)</f>
        <v>189.33973492333115</v>
      </c>
      <c r="W28" s="19">
        <f t="shared" si="13"/>
        <v>1.7508280976193531</v>
      </c>
      <c r="X28" s="19">
        <f>IFERROR(SUMPRODUCT(R13:R27,X13:X27)/R28,0)</f>
        <v>295.97716117832158</v>
      </c>
      <c r="Y28" s="19">
        <f>IFERROR(($F28*S28)/($F28*K28)*100,0)</f>
        <v>134.76510820930582</v>
      </c>
      <c r="Z28" s="19">
        <f t="shared" si="15"/>
        <v>39.887394153679658</v>
      </c>
      <c r="AA28" s="17"/>
      <c r="AB28" s="21">
        <f>IFERROR(SUMPRODUCT($F13:$F27,AB13:AB27)/$F28,0)</f>
        <v>0.8423286724480914</v>
      </c>
      <c r="AC28" s="19"/>
      <c r="AD28" s="21">
        <f>AVERAGE(AD13:AD27)</f>
        <v>0.33459694830375725</v>
      </c>
      <c r="AE28" s="19"/>
      <c r="AF28" s="19"/>
      <c r="AG28" s="17">
        <f>SUM(AG13:AG27)</f>
        <v>-242413.94050000003</v>
      </c>
      <c r="AH28" s="17">
        <f>SUM(AH13:AH27)</f>
        <v>592.5</v>
      </c>
      <c r="AI28" s="17">
        <f>IFERROR(SUMPRODUCT(AH13:AH27,AI13:AI27)/AH28, 0)</f>
        <v>11.831223628687004</v>
      </c>
      <c r="AJ28" s="19">
        <f>AVERAGE(AJ13:AJ27)</f>
        <v>6</v>
      </c>
      <c r="AK28" s="19">
        <f>AVERAGE(AK13:AK27)</f>
        <v>6.2666666666666666</v>
      </c>
      <c r="AL28" s="19">
        <f>AVERAGE(AL13:AL27)</f>
        <v>0.53333333333333333</v>
      </c>
      <c r="AM28" s="19">
        <f>AVERAGE(AM13:AM27)</f>
        <v>0</v>
      </c>
      <c r="AN28" s="19">
        <f>AVERAGE(AN13:AN27)</f>
        <v>0</v>
      </c>
      <c r="AO28" s="20"/>
      <c r="AP28" s="19"/>
      <c r="AQ28" s="17"/>
      <c r="AR28" s="17"/>
      <c r="AS28" s="17"/>
      <c r="AT28" s="17"/>
    </row>
    <row r="29" spans="1:46" ht="15" thickBot="1" x14ac:dyDescent="0.35"/>
    <row r="30" spans="1:46" ht="15" thickBot="1" x14ac:dyDescent="0.35">
      <c r="A30" s="23" t="s">
        <v>74</v>
      </c>
      <c r="B30" s="23"/>
      <c r="C30" s="23"/>
      <c r="D30" s="23">
        <f>IFERROR($F$11/$F30*D$11,0)+IFERROR($F$28/$F30*D$28,0)</f>
        <v>7</v>
      </c>
      <c r="E30" s="23">
        <f>E11+E28</f>
        <v>581809</v>
      </c>
      <c r="F30" s="23">
        <f>F11+F28</f>
        <v>531652</v>
      </c>
      <c r="G30" s="23">
        <f>G11+G28</f>
        <v>2610</v>
      </c>
      <c r="H30" s="24">
        <f>IFERROR(G30/F30,0)</f>
        <v>4.9092263360243169E-3</v>
      </c>
      <c r="I30" s="23"/>
      <c r="J30" s="23">
        <f>J11+J28</f>
        <v>2965329</v>
      </c>
      <c r="K30" s="25">
        <f>IFERROR(J30/D30/F30*100,0)</f>
        <v>79.679645439390541</v>
      </c>
      <c r="L30" s="23"/>
      <c r="M30" s="25">
        <f>IFERROR($F$11/$F30*M$11,0)+IFERROR($F$28/$F30*M$28,0)</f>
        <v>85.407842253955607</v>
      </c>
      <c r="N30" s="25">
        <f>K30-M30</f>
        <v>-5.7281968145650666</v>
      </c>
      <c r="O30" s="23">
        <f>IFERROR($E$11/$E30*O$11,0)+IFERROR($E$28/$E30*O$28,0)</f>
        <v>232.51374248249854</v>
      </c>
      <c r="P30" s="23">
        <f>IFERROR($E$11/$E30*P$11,0)+IFERROR($E$28/$E30*P$28,0)</f>
        <v>157.54141823175647</v>
      </c>
      <c r="Q30" s="23">
        <f>IFERROR($E$11/$E30*Q$11,0)+IFERROR($E$28/$E30*Q$28,0)</f>
        <v>74.972324250742076</v>
      </c>
      <c r="R30" s="23">
        <f>R11+R28</f>
        <v>407715</v>
      </c>
      <c r="S30" s="25">
        <f>IFERROR(R30/D30/$F30*1000,0)</f>
        <v>109.55474633783001</v>
      </c>
      <c r="T30" s="26">
        <f>IFERROR(J30/R30,0)</f>
        <v>7.273043670210809</v>
      </c>
      <c r="U30" s="23">
        <f>U11+U28</f>
        <v>665506</v>
      </c>
      <c r="V30" s="25">
        <f>IFERROR(U30/D30/$F30*1000,0)</f>
        <v>178.82427925463594</v>
      </c>
      <c r="W30" s="25">
        <f>IFERROR(V30/S30,0)</f>
        <v>1.632282354095385</v>
      </c>
      <c r="X30" s="25">
        <f>IFERROR($F$11/$F30*X$11,0)+IFERROR($F$28/$F30*X$28,0)</f>
        <v>300.34398043290815</v>
      </c>
      <c r="Y30" s="25">
        <f>IFERROR(($F30*S30)/($F30*K30)*100,0)</f>
        <v>137.49401837030561</v>
      </c>
      <c r="Z30" s="25">
        <f>IFERROR(Y30*X30/1000,0)</f>
        <v>41.295500763052978</v>
      </c>
      <c r="AA30" s="23"/>
      <c r="AB30" s="27"/>
      <c r="AC30" s="23"/>
      <c r="AD30" s="27"/>
      <c r="AE30" s="23"/>
      <c r="AF30" s="23"/>
      <c r="AG30" s="23">
        <f>AG11+AG28</f>
        <v>-249158.51050000003</v>
      </c>
      <c r="AH30" s="23">
        <f>AH11+AH28</f>
        <v>592.5</v>
      </c>
      <c r="AI30" s="23">
        <f>IFERROR(AH$11/AH30*AI$11,0)+IFERROR(AH$28/AH30*AI$28,0)</f>
        <v>11.831223628687004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2" spans="1:46" x14ac:dyDescent="0.3">
      <c r="A32" s="31" t="s">
        <v>75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x14ac:dyDescent="0.3">
      <c r="A33" s="32"/>
      <c r="B33" s="32" t="s">
        <v>76</v>
      </c>
      <c r="C33" s="32"/>
      <c r="D33" s="32" t="s">
        <v>77</v>
      </c>
      <c r="E33" s="32" t="s">
        <v>78</v>
      </c>
      <c r="F33" s="32" t="s">
        <v>79</v>
      </c>
      <c r="G33" s="32" t="s">
        <v>50</v>
      </c>
      <c r="H33" s="32" t="s">
        <v>51</v>
      </c>
      <c r="I33" s="32" t="s">
        <v>49</v>
      </c>
      <c r="J33" s="32" t="s">
        <v>52</v>
      </c>
      <c r="K33" s="32" t="s">
        <v>53</v>
      </c>
      <c r="L33" s="32" t="s">
        <v>54</v>
      </c>
      <c r="M33" s="32" t="s">
        <v>56</v>
      </c>
      <c r="N33" s="32" t="s">
        <v>65</v>
      </c>
      <c r="O33" s="32" t="s">
        <v>57</v>
      </c>
      <c r="P33" s="32" t="s">
        <v>58</v>
      </c>
      <c r="Q33" s="32" t="s">
        <v>59</v>
      </c>
      <c r="R33" s="32" t="s">
        <v>80</v>
      </c>
      <c r="S33" s="32" t="s">
        <v>60</v>
      </c>
      <c r="T33" s="32" t="s">
        <v>69</v>
      </c>
      <c r="U33" s="32" t="s">
        <v>61</v>
      </c>
      <c r="V33" s="32" t="s">
        <v>70</v>
      </c>
      <c r="W33" s="32" t="s">
        <v>71</v>
      </c>
      <c r="X33" s="32" t="s">
        <v>72</v>
      </c>
      <c r="Y33" s="32" t="s">
        <v>62</v>
      </c>
      <c r="Z33" s="32" t="s">
        <v>66</v>
      </c>
      <c r="AA33" s="32" t="s">
        <v>67</v>
      </c>
      <c r="AB33" s="32" t="s">
        <v>81</v>
      </c>
      <c r="AC33" s="32" t="s">
        <v>63</v>
      </c>
      <c r="AD33" s="32" t="s">
        <v>68</v>
      </c>
      <c r="AE33" s="32" t="s">
        <v>64</v>
      </c>
    </row>
    <row r="34" spans="1:31" x14ac:dyDescent="0.3">
      <c r="B34" s="4">
        <v>202501</v>
      </c>
      <c r="C34" s="4"/>
      <c r="D34" s="8">
        <v>2.8E-3</v>
      </c>
      <c r="E34" s="8">
        <v>5.1000000000000004E-3</v>
      </c>
      <c r="F34" s="8">
        <v>2.5999999999999999E-3</v>
      </c>
      <c r="G34" s="8">
        <v>7.7999999999999996E-3</v>
      </c>
      <c r="H34" s="8">
        <v>4.4999999999999997E-3</v>
      </c>
      <c r="I34" s="8">
        <v>3.5000000000000001E-3</v>
      </c>
      <c r="J34" s="8">
        <v>3.2000000000000002E-3</v>
      </c>
      <c r="K34" s="8">
        <v>4.7999999999999996E-3</v>
      </c>
      <c r="L34" s="8">
        <v>1.9E-3</v>
      </c>
      <c r="M34" s="8">
        <v>2.3999999999999998E-3</v>
      </c>
      <c r="N34" s="8">
        <v>2E-3</v>
      </c>
      <c r="O34" s="8"/>
      <c r="P34" s="8">
        <v>5.7999999999999996E-3</v>
      </c>
      <c r="Q34" s="8">
        <v>2.3999999999999998E-3</v>
      </c>
      <c r="R34" s="8">
        <v>3.3999999999999998E-3</v>
      </c>
      <c r="S34" s="8">
        <v>1.6999999999999999E-3</v>
      </c>
      <c r="T34" s="8"/>
      <c r="U34" s="8">
        <v>2.5000000000000001E-3</v>
      </c>
      <c r="V34" s="8">
        <v>5.3E-3</v>
      </c>
      <c r="W34" s="8">
        <v>6.3E-3</v>
      </c>
      <c r="X34" s="8">
        <v>2.7000000000000001E-3</v>
      </c>
      <c r="Y34" s="8">
        <v>1.5E-3</v>
      </c>
      <c r="Z34" s="8">
        <v>1.4E-3</v>
      </c>
      <c r="AA34" s="8">
        <v>2.8E-3</v>
      </c>
      <c r="AB34" s="8">
        <v>1.6999999999999999E-3</v>
      </c>
      <c r="AC34" s="8"/>
      <c r="AD34" s="8"/>
      <c r="AE34" s="8">
        <v>6.9999999999999999E-4</v>
      </c>
    </row>
    <row r="35" spans="1:31" x14ac:dyDescent="0.3">
      <c r="B35" s="5">
        <v>202502</v>
      </c>
      <c r="C35" s="5"/>
      <c r="D35" s="9">
        <v>2.8999999999999998E-3</v>
      </c>
      <c r="E35" s="9">
        <v>4.4000000000000003E-3</v>
      </c>
      <c r="F35" s="9">
        <v>2.7000000000000001E-3</v>
      </c>
      <c r="G35" s="9">
        <v>6.3E-3</v>
      </c>
      <c r="H35" s="9">
        <v>4.4999999999999997E-3</v>
      </c>
      <c r="I35" s="9">
        <v>4.4000000000000003E-3</v>
      </c>
      <c r="J35" s="9">
        <v>3.2000000000000002E-3</v>
      </c>
      <c r="K35" s="9">
        <v>2.7000000000000001E-3</v>
      </c>
      <c r="L35" s="9">
        <v>2.0999999999999999E-3</v>
      </c>
      <c r="M35" s="9">
        <v>3.3999999999999998E-3</v>
      </c>
      <c r="N35" s="9">
        <v>1.9E-3</v>
      </c>
      <c r="O35" s="9"/>
      <c r="P35" s="9">
        <v>1.32E-2</v>
      </c>
      <c r="Q35" s="9">
        <v>2.3999999999999998E-3</v>
      </c>
      <c r="R35" s="9">
        <v>4.1999999999999997E-3</v>
      </c>
      <c r="S35" s="9">
        <v>1.6999999999999999E-3</v>
      </c>
      <c r="T35" s="9"/>
      <c r="U35" s="9">
        <v>2.5000000000000001E-3</v>
      </c>
      <c r="V35" s="9">
        <v>5.7999999999999996E-3</v>
      </c>
      <c r="W35" s="9">
        <v>3.5999999999999999E-3</v>
      </c>
      <c r="X35" s="9">
        <v>2.3E-3</v>
      </c>
      <c r="Y35" s="9">
        <v>1.5E-3</v>
      </c>
      <c r="Z35" s="9">
        <v>1E-3</v>
      </c>
      <c r="AA35" s="9">
        <v>3.0000000000000001E-3</v>
      </c>
      <c r="AB35" s="9">
        <v>1.8E-3</v>
      </c>
      <c r="AC35" s="9"/>
      <c r="AD35" s="9"/>
      <c r="AE35" s="9">
        <v>1E-3</v>
      </c>
    </row>
    <row r="36" spans="1:31" x14ac:dyDescent="0.3">
      <c r="B36" s="5">
        <v>202503</v>
      </c>
      <c r="C36" s="5"/>
      <c r="D36" s="9">
        <v>2.8E-3</v>
      </c>
      <c r="E36" s="9">
        <v>4.8999999999999998E-3</v>
      </c>
      <c r="F36" s="9">
        <v>2.5999999999999999E-3</v>
      </c>
      <c r="G36" s="9">
        <v>5.8999999999999999E-3</v>
      </c>
      <c r="H36" s="9">
        <v>5.8999999999999999E-3</v>
      </c>
      <c r="I36" s="9">
        <v>3.5999999999999999E-3</v>
      </c>
      <c r="J36" s="9">
        <v>3.3999999999999998E-3</v>
      </c>
      <c r="K36" s="9">
        <v>3.2000000000000002E-3</v>
      </c>
      <c r="L36" s="9">
        <v>3.0000000000000001E-3</v>
      </c>
      <c r="M36" s="9">
        <v>2.2000000000000001E-3</v>
      </c>
      <c r="N36" s="9">
        <v>1.6000000000000001E-3</v>
      </c>
      <c r="O36" s="9"/>
      <c r="P36" s="9">
        <v>9.7999999999999997E-3</v>
      </c>
      <c r="Q36" s="9">
        <v>2.5000000000000001E-3</v>
      </c>
      <c r="R36" s="9">
        <v>3.3E-3</v>
      </c>
      <c r="S36" s="9">
        <v>1.8E-3</v>
      </c>
      <c r="T36" s="9"/>
      <c r="U36" s="9">
        <v>2.5000000000000001E-3</v>
      </c>
      <c r="V36" s="9">
        <v>5.4999999999999997E-3</v>
      </c>
      <c r="W36" s="9">
        <v>3.5000000000000001E-3</v>
      </c>
      <c r="X36" s="9">
        <v>2.5000000000000001E-3</v>
      </c>
      <c r="Y36" s="9">
        <v>1.6999999999999999E-3</v>
      </c>
      <c r="Z36" s="9">
        <v>6.9999999999999999E-4</v>
      </c>
      <c r="AA36" s="9">
        <v>2.8E-3</v>
      </c>
      <c r="AB36" s="9">
        <v>1.4E-3</v>
      </c>
      <c r="AC36" s="9"/>
      <c r="AD36" s="9"/>
      <c r="AE36" s="9">
        <v>1.6000000000000001E-3</v>
      </c>
    </row>
    <row r="37" spans="1:31" x14ac:dyDescent="0.3">
      <c r="B37" s="5">
        <v>202504</v>
      </c>
      <c r="C37" s="5"/>
      <c r="D37" s="9">
        <v>2.5999999999999999E-3</v>
      </c>
      <c r="E37" s="9">
        <v>5.1000000000000004E-3</v>
      </c>
      <c r="F37" s="9">
        <v>2.3999999999999998E-3</v>
      </c>
      <c r="G37" s="9">
        <v>5.8999999999999999E-3</v>
      </c>
      <c r="H37" s="9">
        <v>5.7999999999999996E-3</v>
      </c>
      <c r="I37" s="9">
        <v>6.3E-3</v>
      </c>
      <c r="J37" s="9">
        <v>5.0000000000000001E-3</v>
      </c>
      <c r="K37" s="9">
        <v>4.1000000000000003E-3</v>
      </c>
      <c r="L37" s="9">
        <v>1.9E-3</v>
      </c>
      <c r="M37" s="9">
        <v>2.3999999999999998E-3</v>
      </c>
      <c r="N37" s="9">
        <v>2.2000000000000001E-3</v>
      </c>
      <c r="O37" s="9"/>
      <c r="P37" s="9">
        <v>7.3000000000000001E-3</v>
      </c>
      <c r="Q37" s="9">
        <v>2.5000000000000001E-3</v>
      </c>
      <c r="R37" s="9">
        <v>4.1000000000000003E-3</v>
      </c>
      <c r="S37" s="9">
        <v>1.6999999999999999E-3</v>
      </c>
      <c r="T37" s="9"/>
      <c r="U37" s="9">
        <v>2.5999999999999999E-3</v>
      </c>
      <c r="V37" s="9">
        <v>3.2000000000000002E-3</v>
      </c>
      <c r="W37" s="9">
        <v>3.7000000000000002E-3</v>
      </c>
      <c r="X37" s="9">
        <v>2.5000000000000001E-3</v>
      </c>
      <c r="Y37" s="9">
        <v>1.6000000000000001E-3</v>
      </c>
      <c r="Z37" s="9">
        <v>8.9999999999999998E-4</v>
      </c>
      <c r="AA37" s="9">
        <v>3.5000000000000001E-3</v>
      </c>
      <c r="AB37" s="9">
        <v>1.6000000000000001E-3</v>
      </c>
      <c r="AC37" s="9"/>
      <c r="AD37" s="9"/>
      <c r="AE37" s="9">
        <v>8.9999999999999998E-4</v>
      </c>
    </row>
    <row r="38" spans="1:31" x14ac:dyDescent="0.3">
      <c r="B38" s="5">
        <v>202505</v>
      </c>
      <c r="C38" s="5"/>
      <c r="D38" s="9">
        <v>2.5999999999999999E-3</v>
      </c>
      <c r="E38" s="9">
        <v>4.1000000000000003E-3</v>
      </c>
      <c r="F38" s="9">
        <v>2.5000000000000001E-3</v>
      </c>
      <c r="G38" s="9">
        <v>5.3E-3</v>
      </c>
      <c r="H38" s="9">
        <v>4.7000000000000002E-3</v>
      </c>
      <c r="I38" s="9">
        <v>2.7000000000000001E-3</v>
      </c>
      <c r="J38" s="9">
        <v>1.6000000000000001E-3</v>
      </c>
      <c r="K38" s="9">
        <v>3.0000000000000001E-3</v>
      </c>
      <c r="L38" s="9">
        <v>2.8E-3</v>
      </c>
      <c r="M38" s="9">
        <v>2.5000000000000001E-3</v>
      </c>
      <c r="N38" s="9">
        <v>2.7000000000000001E-3</v>
      </c>
      <c r="O38" s="9"/>
      <c r="P38" s="9">
        <v>4.5999999999999999E-3</v>
      </c>
      <c r="Q38" s="9">
        <v>4.1000000000000003E-3</v>
      </c>
      <c r="R38" s="9">
        <v>4.1000000000000003E-3</v>
      </c>
      <c r="S38" s="9">
        <v>1.6999999999999999E-3</v>
      </c>
      <c r="T38" s="9"/>
      <c r="U38" s="9">
        <v>2.3E-3</v>
      </c>
      <c r="V38" s="9">
        <v>2.2000000000000001E-3</v>
      </c>
      <c r="W38" s="9">
        <v>4.4000000000000003E-3</v>
      </c>
      <c r="X38" s="9">
        <v>2.3E-3</v>
      </c>
      <c r="Y38" s="9">
        <v>1.6000000000000001E-3</v>
      </c>
      <c r="Z38" s="9">
        <v>8.9999999999999998E-4</v>
      </c>
      <c r="AA38" s="9">
        <v>3.0999999999999999E-3</v>
      </c>
      <c r="AB38" s="9">
        <v>1.5E-3</v>
      </c>
      <c r="AC38" s="9"/>
      <c r="AD38" s="9"/>
      <c r="AE38" s="9">
        <v>8.9999999999999998E-4</v>
      </c>
    </row>
    <row r="39" spans="1:31" x14ac:dyDescent="0.3">
      <c r="B39" s="5">
        <v>202506</v>
      </c>
      <c r="C39" s="5"/>
      <c r="D39" s="9">
        <v>1.9E-3</v>
      </c>
      <c r="E39" s="9">
        <v>4.4999999999999997E-3</v>
      </c>
      <c r="F39" s="9">
        <v>1.6999999999999999E-3</v>
      </c>
      <c r="G39" s="9">
        <v>5.8999999999999999E-3</v>
      </c>
      <c r="H39" s="9">
        <v>5.4000000000000003E-3</v>
      </c>
      <c r="I39" s="9">
        <v>4.4999999999999997E-3</v>
      </c>
      <c r="J39" s="9">
        <v>2.5000000000000001E-3</v>
      </c>
      <c r="K39" s="9">
        <v>3.0000000000000001E-3</v>
      </c>
      <c r="L39" s="9">
        <v>1.2999999999999999E-3</v>
      </c>
      <c r="M39" s="9">
        <v>3.7000000000000002E-3</v>
      </c>
      <c r="N39" s="9">
        <v>2.5000000000000001E-3</v>
      </c>
      <c r="O39" s="9"/>
      <c r="P39" s="9">
        <v>4.0000000000000001E-3</v>
      </c>
      <c r="Q39" s="9">
        <v>2.7000000000000001E-3</v>
      </c>
      <c r="R39" s="9">
        <v>3.8E-3</v>
      </c>
      <c r="S39" s="9">
        <v>1.5E-3</v>
      </c>
      <c r="T39" s="9"/>
      <c r="U39" s="9">
        <v>1.6999999999999999E-3</v>
      </c>
      <c r="V39" s="9">
        <v>3.0000000000000001E-3</v>
      </c>
      <c r="W39" s="9">
        <v>3.5999999999999999E-3</v>
      </c>
      <c r="X39" s="9">
        <v>1.8E-3</v>
      </c>
      <c r="Y39" s="9">
        <v>8.9999999999999998E-4</v>
      </c>
      <c r="Z39" s="9">
        <v>5.9999999999999995E-4</v>
      </c>
      <c r="AA39" s="9">
        <v>1.6999999999999999E-3</v>
      </c>
      <c r="AB39" s="9">
        <v>1E-3</v>
      </c>
      <c r="AC39" s="9">
        <v>0</v>
      </c>
      <c r="AD39" s="9">
        <v>0</v>
      </c>
      <c r="AE39" s="9">
        <v>5.0000000000000001E-4</v>
      </c>
    </row>
    <row r="40" spans="1:31" x14ac:dyDescent="0.3">
      <c r="B40" s="5">
        <v>202507</v>
      </c>
      <c r="C40" s="5"/>
      <c r="D40" s="9">
        <v>2.3999999999999998E-3</v>
      </c>
      <c r="E40" s="9">
        <v>4.5999999999999999E-3</v>
      </c>
      <c r="F40" s="9">
        <v>2.2000000000000001E-3</v>
      </c>
      <c r="G40" s="9">
        <v>5.7999999999999996E-3</v>
      </c>
      <c r="H40" s="9">
        <v>4.3E-3</v>
      </c>
      <c r="I40" s="9">
        <v>4.4999999999999997E-3</v>
      </c>
      <c r="J40" s="9">
        <v>2.5000000000000001E-3</v>
      </c>
      <c r="K40" s="9">
        <v>5.1000000000000004E-3</v>
      </c>
      <c r="L40" s="9">
        <v>3.8E-3</v>
      </c>
      <c r="M40" s="9">
        <v>8.0999999999999996E-3</v>
      </c>
      <c r="N40" s="9">
        <v>2.8E-3</v>
      </c>
      <c r="O40" s="9"/>
      <c r="P40" s="9">
        <v>4.4999999999999997E-3</v>
      </c>
      <c r="Q40" s="9">
        <v>2E-3</v>
      </c>
      <c r="R40" s="9">
        <v>4.8999999999999998E-3</v>
      </c>
      <c r="S40" s="9">
        <v>1.4E-3</v>
      </c>
      <c r="T40" s="9"/>
      <c r="U40" s="9">
        <v>1.9E-3</v>
      </c>
      <c r="V40" s="9">
        <v>4.3E-3</v>
      </c>
      <c r="W40" s="9">
        <v>4.1999999999999997E-3</v>
      </c>
      <c r="X40" s="9">
        <v>4.4000000000000003E-3</v>
      </c>
      <c r="Y40" s="9">
        <v>1.1000000000000001E-3</v>
      </c>
      <c r="Z40" s="9">
        <v>5.0000000000000001E-4</v>
      </c>
      <c r="AA40" s="9">
        <v>2.0999999999999999E-3</v>
      </c>
      <c r="AB40" s="9">
        <v>1.1999999999999999E-3</v>
      </c>
      <c r="AC40" s="9">
        <v>8.9999999999999998E-4</v>
      </c>
      <c r="AD40" s="9">
        <v>8.0000000000000004E-4</v>
      </c>
      <c r="AE40" s="9">
        <v>6.9999999999999999E-4</v>
      </c>
    </row>
    <row r="41" spans="1:31" x14ac:dyDescent="0.3">
      <c r="B41" s="5">
        <v>202508</v>
      </c>
      <c r="C41" s="5"/>
      <c r="D41" s="9">
        <v>2E-3</v>
      </c>
      <c r="E41" s="9">
        <v>4.4000000000000003E-3</v>
      </c>
      <c r="F41" s="9">
        <v>1.8E-3</v>
      </c>
      <c r="G41" s="9">
        <v>6.6E-3</v>
      </c>
      <c r="H41" s="9">
        <v>3.8E-3</v>
      </c>
      <c r="I41" s="9">
        <v>2.7000000000000001E-3</v>
      </c>
      <c r="J41" s="9">
        <v>3.2000000000000002E-3</v>
      </c>
      <c r="K41" s="9">
        <v>4.1999999999999997E-3</v>
      </c>
      <c r="L41" s="9">
        <v>2.0999999999999999E-3</v>
      </c>
      <c r="M41" s="9">
        <v>2.5999999999999999E-3</v>
      </c>
      <c r="N41" s="9">
        <v>2.8999999999999998E-3</v>
      </c>
      <c r="O41" s="9"/>
      <c r="P41" s="9">
        <v>5.1999999999999998E-3</v>
      </c>
      <c r="Q41" s="9">
        <v>1.9E-3</v>
      </c>
      <c r="R41" s="9">
        <v>2.3999999999999998E-3</v>
      </c>
      <c r="S41" s="9">
        <v>1.2999999999999999E-3</v>
      </c>
      <c r="T41" s="9"/>
      <c r="U41" s="9">
        <v>1.9E-3</v>
      </c>
      <c r="V41" s="9">
        <v>3.0999999999999999E-3</v>
      </c>
      <c r="W41" s="9">
        <v>3.2000000000000002E-3</v>
      </c>
      <c r="X41" s="9">
        <v>2.3E-3</v>
      </c>
      <c r="Y41" s="9">
        <v>1.1000000000000001E-3</v>
      </c>
      <c r="Z41" s="9">
        <v>5.0000000000000001E-4</v>
      </c>
      <c r="AA41" s="9">
        <v>2.8E-3</v>
      </c>
      <c r="AB41" s="9">
        <v>1.2999999999999999E-3</v>
      </c>
      <c r="AC41" s="9">
        <v>1.1999999999999999E-3</v>
      </c>
      <c r="AD41" s="9">
        <v>6.9999999999999999E-4</v>
      </c>
      <c r="AE41" s="9">
        <v>5.9999999999999995E-4</v>
      </c>
    </row>
    <row r="42" spans="1:31" x14ac:dyDescent="0.3">
      <c r="B42" s="5">
        <v>202509</v>
      </c>
      <c r="C42" s="5"/>
      <c r="D42" s="9">
        <v>3.0000000000000001E-3</v>
      </c>
      <c r="E42" s="9">
        <v>8.8000000000000005E-3</v>
      </c>
      <c r="F42" s="9">
        <v>2.5000000000000001E-3</v>
      </c>
      <c r="G42" s="9">
        <v>1.7299999999999999E-2</v>
      </c>
      <c r="H42" s="9">
        <v>5.7000000000000002E-3</v>
      </c>
      <c r="I42" s="9">
        <v>9.1999999999999998E-3</v>
      </c>
      <c r="J42" s="9">
        <v>5.1000000000000004E-3</v>
      </c>
      <c r="K42" s="9">
        <v>4.4000000000000003E-3</v>
      </c>
      <c r="L42" s="9">
        <v>3.8999999999999998E-3</v>
      </c>
      <c r="M42" s="9">
        <v>2.0999999999999999E-3</v>
      </c>
      <c r="N42" s="9">
        <v>5.1999999999999998E-3</v>
      </c>
      <c r="O42" s="9"/>
      <c r="P42" s="9">
        <v>5.0000000000000001E-3</v>
      </c>
      <c r="Q42" s="9">
        <v>2.7000000000000001E-3</v>
      </c>
      <c r="R42" s="9">
        <v>4.8999999999999998E-3</v>
      </c>
      <c r="S42" s="9">
        <v>2E-3</v>
      </c>
      <c r="T42" s="9"/>
      <c r="U42" s="9">
        <v>2.5000000000000001E-3</v>
      </c>
      <c r="V42" s="9">
        <v>3.0999999999999999E-3</v>
      </c>
      <c r="W42" s="9">
        <v>4.5999999999999999E-3</v>
      </c>
      <c r="X42" s="9">
        <v>2.8E-3</v>
      </c>
      <c r="Y42" s="9">
        <v>1.6999999999999999E-3</v>
      </c>
      <c r="Z42" s="9">
        <v>1E-3</v>
      </c>
      <c r="AA42" s="9">
        <v>3.5999999999999999E-3</v>
      </c>
      <c r="AB42" s="9">
        <v>1.6000000000000001E-3</v>
      </c>
      <c r="AC42" s="9">
        <v>2.3E-3</v>
      </c>
      <c r="AD42" s="9">
        <v>1.1999999999999999E-3</v>
      </c>
      <c r="AE42" s="9">
        <v>1.1999999999999999E-3</v>
      </c>
    </row>
    <row r="43" spans="1:31" x14ac:dyDescent="0.3">
      <c r="B43" s="5">
        <v>202510</v>
      </c>
      <c r="C43" s="5"/>
      <c r="D43" s="9">
        <v>2.8E-3</v>
      </c>
      <c r="E43" s="9">
        <v>8.0000000000000002E-3</v>
      </c>
      <c r="F43" s="9">
        <v>2.3999999999999998E-3</v>
      </c>
      <c r="G43" s="9">
        <v>1.47E-2</v>
      </c>
      <c r="H43" s="9">
        <v>7.1000000000000004E-3</v>
      </c>
      <c r="I43" s="9">
        <v>1.12E-2</v>
      </c>
      <c r="J43" s="9">
        <v>2.8E-3</v>
      </c>
      <c r="K43" s="9">
        <v>2.0999999999999999E-3</v>
      </c>
      <c r="L43" s="9">
        <v>3.0000000000000001E-3</v>
      </c>
      <c r="M43" s="9">
        <v>2.5000000000000001E-3</v>
      </c>
      <c r="N43" s="9">
        <v>3.3999999999999998E-3</v>
      </c>
      <c r="O43" s="9"/>
      <c r="P43" s="9">
        <v>5.5999999999999999E-3</v>
      </c>
      <c r="Q43" s="9">
        <v>2.8999999999999998E-3</v>
      </c>
      <c r="R43" s="9">
        <v>4.1999999999999997E-3</v>
      </c>
      <c r="S43" s="9">
        <v>2.3E-3</v>
      </c>
      <c r="T43" s="9"/>
      <c r="U43" s="9">
        <v>2.5000000000000001E-3</v>
      </c>
      <c r="V43" s="9">
        <v>2.5999999999999999E-3</v>
      </c>
      <c r="W43" s="9">
        <v>3.3999999999999998E-3</v>
      </c>
      <c r="X43" s="9">
        <v>2.5000000000000001E-3</v>
      </c>
      <c r="Y43" s="9">
        <v>2E-3</v>
      </c>
      <c r="Z43" s="9">
        <v>1E-3</v>
      </c>
      <c r="AA43" s="9">
        <v>3.5000000000000001E-3</v>
      </c>
      <c r="AB43" s="9">
        <v>1.6999999999999999E-3</v>
      </c>
      <c r="AC43" s="9">
        <v>1.6999999999999999E-3</v>
      </c>
      <c r="AD43" s="9">
        <v>1.6000000000000001E-3</v>
      </c>
      <c r="AE43" s="9">
        <v>1.2999999999999999E-3</v>
      </c>
    </row>
    <row r="44" spans="1:31" x14ac:dyDescent="0.3">
      <c r="B44" s="5">
        <v>202511</v>
      </c>
      <c r="C44" s="5"/>
      <c r="D44" s="9">
        <v>2.3E-3</v>
      </c>
      <c r="E44" s="9">
        <v>3.5999999999999999E-3</v>
      </c>
      <c r="F44" s="9">
        <v>2.2000000000000001E-3</v>
      </c>
      <c r="G44" s="9">
        <v>5.0000000000000001E-3</v>
      </c>
      <c r="H44" s="9">
        <v>4.1000000000000003E-3</v>
      </c>
      <c r="I44" s="9">
        <v>6.6E-3</v>
      </c>
      <c r="J44" s="9">
        <v>1.9E-3</v>
      </c>
      <c r="K44" s="9">
        <v>2.0999999999999999E-3</v>
      </c>
      <c r="L44" s="9">
        <v>1.2999999999999999E-3</v>
      </c>
      <c r="M44" s="9">
        <v>2E-3</v>
      </c>
      <c r="N44" s="9">
        <v>2.5999999999999999E-3</v>
      </c>
      <c r="O44" s="9"/>
      <c r="P44" s="9">
        <v>3.5000000000000001E-3</v>
      </c>
      <c r="Q44" s="9">
        <v>2.5000000000000001E-3</v>
      </c>
      <c r="R44" s="9">
        <v>3.5000000000000001E-3</v>
      </c>
      <c r="S44" s="9">
        <v>2.3E-3</v>
      </c>
      <c r="T44" s="9"/>
      <c r="U44" s="9">
        <v>3.0000000000000001E-3</v>
      </c>
      <c r="V44" s="9">
        <v>2.3E-3</v>
      </c>
      <c r="W44" s="9">
        <v>3.0999999999999999E-3</v>
      </c>
      <c r="X44" s="9">
        <v>2.8E-3</v>
      </c>
      <c r="Y44" s="9">
        <v>1.9E-3</v>
      </c>
      <c r="Z44" s="9">
        <v>8.9999999999999998E-4</v>
      </c>
      <c r="AA44" s="9">
        <v>3.5000000000000001E-3</v>
      </c>
      <c r="AB44" s="9">
        <v>1.5E-3</v>
      </c>
      <c r="AC44" s="9">
        <v>1.1000000000000001E-3</v>
      </c>
      <c r="AD44" s="9">
        <v>1.1999999999999999E-3</v>
      </c>
      <c r="AE44" s="9">
        <v>1.4E-3</v>
      </c>
    </row>
    <row r="45" spans="1:31" x14ac:dyDescent="0.3">
      <c r="B45" s="5">
        <v>202512</v>
      </c>
      <c r="C45" s="5"/>
      <c r="D45" s="9">
        <v>2.5000000000000001E-3</v>
      </c>
      <c r="E45" s="9">
        <v>3.0999999999999999E-3</v>
      </c>
      <c r="F45" s="9">
        <v>2.3999999999999998E-3</v>
      </c>
      <c r="G45" s="9">
        <v>3.3999999999999998E-3</v>
      </c>
      <c r="H45" s="9">
        <v>3.2000000000000002E-3</v>
      </c>
      <c r="I45" s="9">
        <v>4.7000000000000002E-3</v>
      </c>
      <c r="J45" s="9">
        <v>8.9999999999999998E-4</v>
      </c>
      <c r="K45" s="9">
        <v>4.1999999999999997E-3</v>
      </c>
      <c r="L45" s="9">
        <v>2.5999999999999999E-3</v>
      </c>
      <c r="M45" s="9">
        <v>1.9E-3</v>
      </c>
      <c r="N45" s="9">
        <v>3.2000000000000002E-3</v>
      </c>
      <c r="O45" s="9"/>
      <c r="P45" s="9">
        <v>4.4000000000000003E-3</v>
      </c>
      <c r="Q45" s="9">
        <v>3.7000000000000002E-3</v>
      </c>
      <c r="R45" s="9">
        <v>3.2000000000000002E-3</v>
      </c>
      <c r="S45" s="9">
        <v>2.5999999999999999E-3</v>
      </c>
      <c r="T45" s="9"/>
      <c r="U45" s="9">
        <v>3.3999999999999998E-3</v>
      </c>
      <c r="V45" s="9">
        <v>2.5000000000000001E-3</v>
      </c>
      <c r="W45" s="9">
        <v>3.0999999999999999E-3</v>
      </c>
      <c r="X45" s="9">
        <v>3.2000000000000002E-3</v>
      </c>
      <c r="Y45" s="9">
        <v>1.5E-3</v>
      </c>
      <c r="Z45" s="9">
        <v>8.0000000000000004E-4</v>
      </c>
      <c r="AA45" s="9">
        <v>3.8999999999999998E-3</v>
      </c>
      <c r="AB45" s="9">
        <v>3.5999999999999999E-3</v>
      </c>
      <c r="AC45" s="9">
        <v>1.1000000000000001E-3</v>
      </c>
      <c r="AD45" s="9">
        <v>1E-3</v>
      </c>
      <c r="AE45" s="9">
        <v>8.9999999999999998E-4</v>
      </c>
    </row>
    <row r="46" spans="1:31" x14ac:dyDescent="0.3">
      <c r="B46" s="5">
        <v>202513</v>
      </c>
      <c r="C46" s="5"/>
      <c r="D46" s="9">
        <v>2.5000000000000001E-3</v>
      </c>
      <c r="E46" s="9">
        <v>3.0000000000000001E-3</v>
      </c>
      <c r="F46" s="9">
        <v>2.5000000000000001E-3</v>
      </c>
      <c r="G46" s="9">
        <v>3.0000000000000001E-3</v>
      </c>
      <c r="H46" s="9">
        <v>2.8999999999999998E-3</v>
      </c>
      <c r="I46" s="9">
        <v>4.7000000000000002E-3</v>
      </c>
      <c r="J46" s="9">
        <v>2.5999999999999999E-3</v>
      </c>
      <c r="K46" s="9">
        <v>4.4999999999999997E-3</v>
      </c>
      <c r="L46" s="9">
        <v>1.6999999999999999E-3</v>
      </c>
      <c r="M46" s="9">
        <v>2E-3</v>
      </c>
      <c r="N46" s="9">
        <v>3.5999999999999999E-3</v>
      </c>
      <c r="O46" s="9"/>
      <c r="P46" s="9">
        <v>5.3E-3</v>
      </c>
      <c r="Q46" s="9">
        <v>2.5000000000000001E-3</v>
      </c>
      <c r="R46" s="9">
        <v>3.8E-3</v>
      </c>
      <c r="S46" s="9">
        <v>3.0000000000000001E-3</v>
      </c>
      <c r="T46" s="9"/>
      <c r="U46" s="9">
        <v>3.5999999999999999E-3</v>
      </c>
      <c r="V46" s="9">
        <v>2.5000000000000001E-3</v>
      </c>
      <c r="W46" s="9">
        <v>3.5000000000000001E-3</v>
      </c>
      <c r="X46" s="9">
        <v>3.0999999999999999E-3</v>
      </c>
      <c r="Y46" s="9">
        <v>2E-3</v>
      </c>
      <c r="Z46" s="9">
        <v>1.1000000000000001E-3</v>
      </c>
      <c r="AA46" s="9">
        <v>3.7000000000000002E-3</v>
      </c>
      <c r="AB46" s="9">
        <v>1.8E-3</v>
      </c>
      <c r="AC46" s="9">
        <v>1.6999999999999999E-3</v>
      </c>
      <c r="AD46" s="9">
        <v>8.9999999999999998E-4</v>
      </c>
      <c r="AE46" s="9">
        <v>1E-3</v>
      </c>
    </row>
    <row r="47" spans="1:31" x14ac:dyDescent="0.3">
      <c r="B47" s="5">
        <v>202514</v>
      </c>
      <c r="C47" s="5"/>
      <c r="D47" s="9">
        <v>2.5999999999999999E-3</v>
      </c>
      <c r="E47" s="9">
        <v>4.1999999999999997E-3</v>
      </c>
      <c r="F47" s="9">
        <v>2.5000000000000001E-3</v>
      </c>
      <c r="G47" s="9">
        <v>4.8999999999999998E-3</v>
      </c>
      <c r="H47" s="9">
        <v>3.2000000000000002E-3</v>
      </c>
      <c r="I47" s="9">
        <v>2.8E-3</v>
      </c>
      <c r="J47" s="9">
        <v>6.1000000000000004E-3</v>
      </c>
      <c r="K47" s="9">
        <v>7.1000000000000004E-3</v>
      </c>
      <c r="L47" s="9">
        <v>8.9999999999999998E-4</v>
      </c>
      <c r="M47" s="9">
        <v>2.0999999999999999E-3</v>
      </c>
      <c r="N47" s="9">
        <v>3.7000000000000002E-3</v>
      </c>
      <c r="O47" s="9"/>
      <c r="P47" s="9">
        <v>3.8999999999999998E-3</v>
      </c>
      <c r="Q47" s="9">
        <v>2.5000000000000001E-3</v>
      </c>
      <c r="R47" s="9">
        <v>-1</v>
      </c>
      <c r="S47" s="9">
        <v>2.8E-3</v>
      </c>
      <c r="T47" s="9"/>
      <c r="U47" s="9">
        <v>3.5999999999999999E-3</v>
      </c>
      <c r="V47" s="9">
        <v>2.0999999999999999E-3</v>
      </c>
      <c r="W47" s="9">
        <v>3.2000000000000002E-3</v>
      </c>
      <c r="X47" s="9">
        <v>3.2000000000000002E-3</v>
      </c>
      <c r="Y47" s="9">
        <v>2.3999999999999998E-3</v>
      </c>
      <c r="Z47" s="9">
        <v>1.1999999999999999E-3</v>
      </c>
      <c r="AA47" s="9">
        <v>4.7999999999999996E-3</v>
      </c>
      <c r="AB47" s="9">
        <v>1.6999999999999999E-3</v>
      </c>
      <c r="AC47" s="9">
        <v>1.6999999999999999E-3</v>
      </c>
      <c r="AD47" s="9">
        <v>1.1000000000000001E-3</v>
      </c>
      <c r="AE47" s="9">
        <v>1.1000000000000001E-3</v>
      </c>
    </row>
    <row r="48" spans="1:31" x14ac:dyDescent="0.3">
      <c r="B48" s="5">
        <v>202515</v>
      </c>
      <c r="C48" s="5"/>
      <c r="D48" s="9">
        <v>2.5000000000000001E-3</v>
      </c>
      <c r="E48" s="9">
        <v>3.3E-3</v>
      </c>
      <c r="F48" s="9">
        <v>2.3999999999999998E-3</v>
      </c>
      <c r="G48" s="9">
        <v>5.1000000000000004E-3</v>
      </c>
      <c r="H48" s="9">
        <v>2.8E-3</v>
      </c>
      <c r="I48" s="9">
        <v>1.9E-3</v>
      </c>
      <c r="J48" s="9">
        <v>2.3999999999999998E-3</v>
      </c>
      <c r="K48" s="9">
        <v>3.0999999999999999E-3</v>
      </c>
      <c r="L48" s="9">
        <v>1.5E-3</v>
      </c>
      <c r="M48" s="9">
        <v>1.8E-3</v>
      </c>
      <c r="N48" s="9"/>
      <c r="O48" s="9"/>
      <c r="P48" s="9">
        <v>5.3E-3</v>
      </c>
      <c r="Q48" s="9">
        <v>2.5000000000000001E-3</v>
      </c>
      <c r="R48" s="9"/>
      <c r="S48" s="9">
        <v>2.5000000000000001E-3</v>
      </c>
      <c r="T48" s="9"/>
      <c r="U48" s="9">
        <v>3.7000000000000002E-3</v>
      </c>
      <c r="V48" s="9">
        <v>2.5999999999999999E-3</v>
      </c>
      <c r="W48" s="9">
        <v>2.8999999999999998E-3</v>
      </c>
      <c r="X48" s="9">
        <v>3.5999999999999999E-3</v>
      </c>
      <c r="Y48" s="9">
        <v>2.5999999999999999E-3</v>
      </c>
      <c r="Z48" s="9">
        <v>8.0000000000000004E-4</v>
      </c>
      <c r="AA48" s="9">
        <v>3.7000000000000002E-3</v>
      </c>
      <c r="AB48" s="9">
        <v>1.9E-3</v>
      </c>
      <c r="AC48" s="9">
        <v>1.4E-3</v>
      </c>
      <c r="AD48" s="9">
        <v>8.9999999999999998E-4</v>
      </c>
      <c r="AE48" s="9">
        <v>1.4E-3</v>
      </c>
    </row>
    <row r="49" spans="2:31" x14ac:dyDescent="0.3">
      <c r="B49" s="5">
        <v>202516</v>
      </c>
      <c r="C49" s="5"/>
      <c r="D49" s="9">
        <v>2.7000000000000001E-3</v>
      </c>
      <c r="E49" s="9">
        <v>2.8E-3</v>
      </c>
      <c r="F49" s="9">
        <v>2.5999999999999999E-3</v>
      </c>
      <c r="G49" s="9">
        <v>3.8999999999999998E-3</v>
      </c>
      <c r="H49" s="9">
        <v>2.5000000000000001E-3</v>
      </c>
      <c r="I49" s="9">
        <v>2.8999999999999998E-3</v>
      </c>
      <c r="J49" s="9">
        <v>1.9E-3</v>
      </c>
      <c r="K49" s="9">
        <v>2.2000000000000001E-3</v>
      </c>
      <c r="L49" s="9">
        <v>2.5999999999999999E-3</v>
      </c>
      <c r="M49" s="9">
        <v>1.9E-3</v>
      </c>
      <c r="N49" s="9"/>
      <c r="O49" s="9"/>
      <c r="P49" s="9">
        <v>5.0000000000000001E-3</v>
      </c>
      <c r="Q49" s="9">
        <v>2.5000000000000001E-3</v>
      </c>
      <c r="R49" s="9"/>
      <c r="S49" s="9">
        <v>2.8E-3</v>
      </c>
      <c r="T49" s="9"/>
      <c r="U49" s="9">
        <v>4.0000000000000001E-3</v>
      </c>
      <c r="V49" s="9">
        <v>2.3E-3</v>
      </c>
      <c r="W49" s="9">
        <v>3.0999999999999999E-3</v>
      </c>
      <c r="X49" s="9">
        <v>3.5999999999999999E-3</v>
      </c>
      <c r="Y49" s="9">
        <v>3.3999999999999998E-3</v>
      </c>
      <c r="Z49" s="9">
        <v>1.1999999999999999E-3</v>
      </c>
      <c r="AA49" s="9">
        <v>4.3E-3</v>
      </c>
      <c r="AB49" s="9">
        <v>2.2000000000000001E-3</v>
      </c>
      <c r="AC49" s="9">
        <v>1.6000000000000001E-3</v>
      </c>
      <c r="AD49" s="9">
        <v>1.2999999999999999E-3</v>
      </c>
      <c r="AE49" s="9">
        <v>1.2999999999999999E-3</v>
      </c>
    </row>
    <row r="50" spans="2:31" x14ac:dyDescent="0.3">
      <c r="B50" s="5">
        <v>202517</v>
      </c>
      <c r="C50" s="5"/>
      <c r="D50" s="9">
        <v>2.8E-3</v>
      </c>
      <c r="E50" s="9">
        <v>2.5999999999999999E-3</v>
      </c>
      <c r="F50" s="9">
        <v>2.8E-3</v>
      </c>
      <c r="G50" s="9">
        <v>2.8E-3</v>
      </c>
      <c r="H50" s="9">
        <v>2.8999999999999998E-3</v>
      </c>
      <c r="I50" s="9">
        <v>3.8E-3</v>
      </c>
      <c r="J50" s="9">
        <v>1.4E-3</v>
      </c>
      <c r="K50" s="9">
        <v>2.3999999999999998E-3</v>
      </c>
      <c r="L50" s="9">
        <v>1.6999999999999999E-3</v>
      </c>
      <c r="M50" s="9">
        <v>1.2999999999999999E-3</v>
      </c>
      <c r="N50" s="9"/>
      <c r="O50" s="9"/>
      <c r="P50" s="9">
        <v>8.2000000000000007E-3</v>
      </c>
      <c r="Q50" s="9">
        <v>3.0999999999999999E-3</v>
      </c>
      <c r="R50" s="9"/>
      <c r="S50" s="9">
        <v>2.8E-3</v>
      </c>
      <c r="T50" s="9"/>
      <c r="U50" s="9">
        <v>3.8999999999999998E-3</v>
      </c>
      <c r="V50" s="9">
        <v>2.8999999999999998E-3</v>
      </c>
      <c r="W50" s="9">
        <v>3.5999999999999999E-3</v>
      </c>
      <c r="X50" s="9">
        <v>2.7000000000000001E-3</v>
      </c>
      <c r="Y50" s="9">
        <v>3.3E-3</v>
      </c>
      <c r="Z50" s="9">
        <v>8.9999999999999998E-4</v>
      </c>
      <c r="AA50" s="9">
        <v>4.1999999999999997E-3</v>
      </c>
      <c r="AB50" s="9">
        <v>2E-3</v>
      </c>
      <c r="AC50" s="9">
        <v>2.2000000000000001E-3</v>
      </c>
      <c r="AD50" s="9">
        <v>8.9999999999999998E-4</v>
      </c>
      <c r="AE50" s="9">
        <v>1.2999999999999999E-3</v>
      </c>
    </row>
    <row r="51" spans="2:31" x14ac:dyDescent="0.3">
      <c r="B51" s="5">
        <v>202518</v>
      </c>
      <c r="C51" s="5"/>
      <c r="D51" s="9">
        <v>3.7000000000000002E-3</v>
      </c>
      <c r="E51" s="9">
        <v>2.5999999999999999E-3</v>
      </c>
      <c r="F51" s="9">
        <v>3.7000000000000002E-3</v>
      </c>
      <c r="G51" s="9">
        <v>3.0999999999999999E-3</v>
      </c>
      <c r="H51" s="9">
        <v>2.2000000000000001E-3</v>
      </c>
      <c r="I51" s="9">
        <v>8.6999999999999994E-3</v>
      </c>
      <c r="J51" s="9">
        <v>2.5999999999999999E-3</v>
      </c>
      <c r="K51" s="9">
        <v>2.3999999999999998E-3</v>
      </c>
      <c r="L51" s="9">
        <v>1.6999999999999999E-3</v>
      </c>
      <c r="M51" s="9">
        <v>1.4E-3</v>
      </c>
      <c r="N51" s="9"/>
      <c r="O51" s="9"/>
      <c r="P51" s="9">
        <v>4.8999999999999998E-3</v>
      </c>
      <c r="Q51" s="9">
        <v>4.1999999999999997E-3</v>
      </c>
      <c r="R51" s="9"/>
      <c r="S51" s="9">
        <v>3.0000000000000001E-3</v>
      </c>
      <c r="T51" s="9"/>
      <c r="U51" s="9">
        <v>4.1999999999999997E-3</v>
      </c>
      <c r="V51" s="9">
        <v>2.0999999999999999E-3</v>
      </c>
      <c r="W51" s="9">
        <v>3.3E-3</v>
      </c>
      <c r="X51" s="9">
        <v>3.7000000000000002E-3</v>
      </c>
      <c r="Y51" s="9">
        <v>4.1999999999999997E-3</v>
      </c>
      <c r="Z51" s="9">
        <v>9.1999999999999998E-3</v>
      </c>
      <c r="AA51" s="9">
        <v>9.4000000000000004E-3</v>
      </c>
      <c r="AB51" s="9">
        <v>1.9E-3</v>
      </c>
      <c r="AC51" s="9">
        <v>1.8E-3</v>
      </c>
      <c r="AD51" s="9">
        <v>1.6000000000000001E-3</v>
      </c>
      <c r="AE51" s="9">
        <v>1.8E-3</v>
      </c>
    </row>
    <row r="52" spans="2:31" x14ac:dyDescent="0.3">
      <c r="B52" s="5">
        <v>202519</v>
      </c>
      <c r="C52" s="5"/>
      <c r="D52" s="9">
        <v>2.8999999999999998E-3</v>
      </c>
      <c r="E52" s="9">
        <v>2.3E-3</v>
      </c>
      <c r="F52" s="9">
        <v>2.8999999999999998E-3</v>
      </c>
      <c r="G52" s="9">
        <v>2.5000000000000001E-3</v>
      </c>
      <c r="H52" s="9">
        <v>2.0999999999999999E-3</v>
      </c>
      <c r="I52" s="9">
        <v>1E-3</v>
      </c>
      <c r="J52" s="9">
        <v>2.0999999999999999E-3</v>
      </c>
      <c r="K52" s="9">
        <v>4.3E-3</v>
      </c>
      <c r="L52" s="9">
        <v>1.2999999999999999E-3</v>
      </c>
      <c r="M52" s="9">
        <v>1.6999999999999999E-3</v>
      </c>
      <c r="N52" s="9"/>
      <c r="O52" s="9"/>
      <c r="P52" s="9">
        <v>5.1999999999999998E-3</v>
      </c>
      <c r="Q52" s="9">
        <v>3.2000000000000002E-3</v>
      </c>
      <c r="R52" s="9"/>
      <c r="S52" s="9">
        <v>2.5999999999999999E-3</v>
      </c>
      <c r="T52" s="9">
        <v>1.1999999999999999E-3</v>
      </c>
      <c r="U52" s="9">
        <v>3.8999999999999998E-3</v>
      </c>
      <c r="V52" s="9">
        <v>3.3999999999999998E-3</v>
      </c>
      <c r="W52" s="9">
        <v>4.1000000000000003E-3</v>
      </c>
      <c r="X52" s="9">
        <v>3.5000000000000001E-3</v>
      </c>
      <c r="Y52" s="9">
        <v>4.4999999999999997E-3</v>
      </c>
      <c r="Z52" s="9">
        <v>2E-3</v>
      </c>
      <c r="AA52" s="9">
        <v>4.8999999999999998E-3</v>
      </c>
      <c r="AB52" s="9">
        <v>3.0000000000000001E-3</v>
      </c>
      <c r="AC52" s="9">
        <v>1.9E-3</v>
      </c>
      <c r="AD52" s="9">
        <v>1E-3</v>
      </c>
      <c r="AE52" s="9">
        <v>2E-3</v>
      </c>
    </row>
    <row r="53" spans="2:31" x14ac:dyDescent="0.3">
      <c r="B53" s="5">
        <v>202520</v>
      </c>
      <c r="C53" s="5"/>
      <c r="D53" s="9">
        <v>2.7000000000000001E-3</v>
      </c>
      <c r="E53" s="9">
        <v>2.2000000000000001E-3</v>
      </c>
      <c r="F53" s="9">
        <v>2.7000000000000001E-3</v>
      </c>
      <c r="G53" s="9">
        <v>2.8E-3</v>
      </c>
      <c r="H53" s="9">
        <v>1.8E-3</v>
      </c>
      <c r="I53" s="9">
        <v>2.8999999999999998E-3</v>
      </c>
      <c r="J53" s="9">
        <v>2.0999999999999999E-3</v>
      </c>
      <c r="K53" s="9">
        <v>3.3999999999999998E-3</v>
      </c>
      <c r="L53" s="9">
        <v>8.9999999999999998E-4</v>
      </c>
      <c r="M53" s="9">
        <v>3.5000000000000001E-3</v>
      </c>
      <c r="N53" s="9">
        <v>6.9999999999999999E-4</v>
      </c>
      <c r="O53" s="9"/>
      <c r="P53" s="9">
        <v>4.4000000000000003E-3</v>
      </c>
      <c r="Q53" s="9">
        <v>3.5999999999999999E-3</v>
      </c>
      <c r="R53" s="9"/>
      <c r="S53" s="9">
        <v>2.7000000000000001E-3</v>
      </c>
      <c r="T53" s="9">
        <v>1.1999999999999999E-3</v>
      </c>
      <c r="U53" s="9">
        <v>3.8E-3</v>
      </c>
      <c r="V53" s="9">
        <v>2.8E-3</v>
      </c>
      <c r="W53" s="9">
        <v>4.0000000000000001E-3</v>
      </c>
      <c r="X53" s="9">
        <v>2.3E-3</v>
      </c>
      <c r="Y53" s="9">
        <v>4.3E-3</v>
      </c>
      <c r="Z53" s="9">
        <v>1.1999999999999999E-3</v>
      </c>
      <c r="AA53" s="9">
        <v>4.0000000000000001E-3</v>
      </c>
      <c r="AB53" s="9">
        <v>2.5000000000000001E-3</v>
      </c>
      <c r="AC53" s="9">
        <v>1.9E-3</v>
      </c>
      <c r="AD53" s="9">
        <v>1.4E-3</v>
      </c>
      <c r="AE53" s="9">
        <v>1.8E-3</v>
      </c>
    </row>
    <row r="54" spans="2:31" x14ac:dyDescent="0.3">
      <c r="B54" s="5">
        <v>202521</v>
      </c>
      <c r="C54" s="5"/>
      <c r="D54" s="9">
        <v>3.8E-3</v>
      </c>
      <c r="E54" s="9">
        <v>2.0999999999999999E-3</v>
      </c>
      <c r="F54" s="9">
        <v>3.8999999999999998E-3</v>
      </c>
      <c r="G54" s="9">
        <v>2.8999999999999998E-3</v>
      </c>
      <c r="H54" s="9">
        <v>1.9E-3</v>
      </c>
      <c r="I54" s="9">
        <v>2.8999999999999998E-3</v>
      </c>
      <c r="J54" s="9">
        <v>2.0000000000000001E-4</v>
      </c>
      <c r="K54" s="9">
        <v>2.7000000000000001E-3</v>
      </c>
      <c r="L54" s="9">
        <v>1.5E-3</v>
      </c>
      <c r="M54" s="9">
        <v>2E-3</v>
      </c>
      <c r="N54" s="9">
        <v>8.9999999999999998E-4</v>
      </c>
      <c r="O54" s="9"/>
      <c r="P54" s="9">
        <v>5.7000000000000002E-3</v>
      </c>
      <c r="Q54" s="9">
        <v>3.7000000000000002E-3</v>
      </c>
      <c r="R54" s="9"/>
      <c r="S54" s="9">
        <v>3.0999999999999999E-3</v>
      </c>
      <c r="T54" s="9">
        <v>1.5E-3</v>
      </c>
      <c r="U54" s="9">
        <v>4.1000000000000003E-3</v>
      </c>
      <c r="V54" s="9">
        <v>2.3999999999999998E-3</v>
      </c>
      <c r="W54" s="9">
        <v>0</v>
      </c>
      <c r="X54" s="9">
        <v>0</v>
      </c>
      <c r="Y54" s="9">
        <v>1.4200000000000001E-2</v>
      </c>
      <c r="Z54" s="9">
        <v>1.4E-3</v>
      </c>
      <c r="AA54" s="9">
        <v>3.8E-3</v>
      </c>
      <c r="AB54" s="9">
        <v>1.6999999999999999E-3</v>
      </c>
      <c r="AC54" s="9">
        <v>2.0999999999999999E-3</v>
      </c>
      <c r="AD54" s="9">
        <v>1.1000000000000001E-3</v>
      </c>
      <c r="AE54" s="9">
        <v>4.4000000000000003E-3</v>
      </c>
    </row>
    <row r="55" spans="2:31" x14ac:dyDescent="0.3">
      <c r="B55" s="5">
        <v>202522</v>
      </c>
      <c r="C55" s="5"/>
      <c r="D55" s="9">
        <v>2.7000000000000001E-3</v>
      </c>
      <c r="E55" s="9">
        <v>2.2000000000000001E-3</v>
      </c>
      <c r="F55" s="9">
        <v>2.8E-3</v>
      </c>
      <c r="G55" s="9">
        <v>2.3999999999999998E-3</v>
      </c>
      <c r="H55" s="9">
        <v>2E-3</v>
      </c>
      <c r="I55" s="9">
        <v>3.8999999999999998E-3</v>
      </c>
      <c r="J55" s="9">
        <v>6.9999999999999999E-4</v>
      </c>
      <c r="K55" s="9">
        <v>3.7000000000000002E-3</v>
      </c>
      <c r="L55" s="9">
        <v>2.2000000000000001E-3</v>
      </c>
      <c r="M55" s="9">
        <v>2.5000000000000001E-3</v>
      </c>
      <c r="N55" s="9">
        <v>2.2000000000000001E-3</v>
      </c>
      <c r="O55" s="9"/>
      <c r="P55" s="9">
        <v>8.3999999999999995E-3</v>
      </c>
      <c r="Q55" s="9">
        <v>3.3999999999999998E-3</v>
      </c>
      <c r="R55" s="9"/>
      <c r="S55" s="9">
        <v>3.0000000000000001E-3</v>
      </c>
      <c r="T55" s="9">
        <v>1.6999999999999999E-3</v>
      </c>
      <c r="U55" s="9">
        <v>2.9999999999999997E-4</v>
      </c>
      <c r="V55" s="9">
        <v>3.2000000000000002E-3</v>
      </c>
      <c r="W55" s="9"/>
      <c r="X55" s="9"/>
      <c r="Y55" s="9">
        <v>5.7999999999999996E-3</v>
      </c>
      <c r="Z55" s="9">
        <v>1.2999999999999999E-3</v>
      </c>
      <c r="AA55" s="9">
        <v>4.1000000000000003E-3</v>
      </c>
      <c r="AB55" s="9">
        <v>2.5000000000000001E-3</v>
      </c>
      <c r="AC55" s="9">
        <v>1.9E-3</v>
      </c>
      <c r="AD55" s="9">
        <v>1.1999999999999999E-3</v>
      </c>
      <c r="AE55" s="9">
        <v>2.3E-3</v>
      </c>
    </row>
    <row r="56" spans="2:31" x14ac:dyDescent="0.3">
      <c r="B56" s="5">
        <v>202523</v>
      </c>
      <c r="C56" s="5"/>
      <c r="D56" s="9">
        <v>3.0000000000000001E-3</v>
      </c>
      <c r="E56" s="9">
        <v>1.9E-3</v>
      </c>
      <c r="F56" s="9">
        <v>3.0999999999999999E-3</v>
      </c>
      <c r="G56" s="9">
        <v>1.6999999999999999E-3</v>
      </c>
      <c r="H56" s="9">
        <v>1.1000000000000001E-3</v>
      </c>
      <c r="I56" s="9">
        <v>1E-3</v>
      </c>
      <c r="J56" s="9">
        <v>2.2000000000000001E-3</v>
      </c>
      <c r="K56" s="9">
        <v>1.6999999999999999E-3</v>
      </c>
      <c r="L56" s="9">
        <v>4.7999999999999996E-3</v>
      </c>
      <c r="M56" s="9">
        <v>2.5000000000000001E-3</v>
      </c>
      <c r="N56" s="9">
        <v>5.1999999999999998E-3</v>
      </c>
      <c r="O56" s="9"/>
      <c r="P56" s="9">
        <v>9.4999999999999998E-3</v>
      </c>
      <c r="Q56" s="9">
        <v>3.5000000000000001E-3</v>
      </c>
      <c r="R56" s="9"/>
      <c r="S56" s="9">
        <v>3.0000000000000001E-3</v>
      </c>
      <c r="T56" s="9">
        <v>1.9E-3</v>
      </c>
      <c r="U56" s="9"/>
      <c r="V56" s="9">
        <v>2.5999999999999999E-3</v>
      </c>
      <c r="W56" s="9"/>
      <c r="X56" s="9"/>
      <c r="Y56" s="9">
        <v>3.8E-3</v>
      </c>
      <c r="Z56" s="9">
        <v>1.6000000000000001E-3</v>
      </c>
      <c r="AA56" s="9">
        <v>6.1999999999999998E-3</v>
      </c>
      <c r="AB56" s="9">
        <v>3.5000000000000001E-3</v>
      </c>
      <c r="AC56" s="9">
        <v>1.9E-3</v>
      </c>
      <c r="AD56" s="9">
        <v>1.4E-3</v>
      </c>
      <c r="AE56" s="9">
        <v>2.3999999999999998E-3</v>
      </c>
    </row>
    <row r="57" spans="2:31" x14ac:dyDescent="0.3">
      <c r="B57" s="5">
        <v>202524</v>
      </c>
      <c r="C57" s="5"/>
      <c r="D57" s="9">
        <v>3.3E-3</v>
      </c>
      <c r="E57" s="9">
        <v>2.5999999999999999E-3</v>
      </c>
      <c r="F57" s="9">
        <v>3.3E-3</v>
      </c>
      <c r="G57" s="9">
        <v>2.3999999999999998E-3</v>
      </c>
      <c r="H57" s="9">
        <v>2.0999999999999999E-3</v>
      </c>
      <c r="I57" s="9">
        <v>5.8999999999999999E-3</v>
      </c>
      <c r="J57" s="9">
        <v>3.0999999999999999E-3</v>
      </c>
      <c r="K57" s="9">
        <v>2.3999999999999998E-3</v>
      </c>
      <c r="L57" s="9">
        <v>3.3E-3</v>
      </c>
      <c r="M57" s="9">
        <v>5.1999999999999998E-3</v>
      </c>
      <c r="N57" s="9">
        <v>5.1000000000000004E-3</v>
      </c>
      <c r="O57" s="9"/>
      <c r="P57" s="9">
        <v>8.9999999999999993E-3</v>
      </c>
      <c r="Q57" s="9">
        <v>4.1999999999999997E-3</v>
      </c>
      <c r="R57" s="9"/>
      <c r="S57" s="9">
        <v>2.8999999999999998E-3</v>
      </c>
      <c r="T57" s="9">
        <v>1.9E-3</v>
      </c>
      <c r="U57" s="9"/>
      <c r="V57" s="9">
        <v>2.5000000000000001E-3</v>
      </c>
      <c r="W57" s="9"/>
      <c r="X57" s="9"/>
      <c r="Y57" s="9">
        <v>4.1999999999999997E-3</v>
      </c>
      <c r="Z57" s="9">
        <v>1.6000000000000001E-3</v>
      </c>
      <c r="AA57" s="9">
        <v>6.3E-3</v>
      </c>
      <c r="AB57" s="9">
        <v>3.0000000000000001E-3</v>
      </c>
      <c r="AC57" s="9">
        <v>2.3E-3</v>
      </c>
      <c r="AD57" s="9">
        <v>1.8E-3</v>
      </c>
      <c r="AE57" s="9">
        <v>2.0999999999999999E-3</v>
      </c>
    </row>
    <row r="58" spans="2:31" x14ac:dyDescent="0.3">
      <c r="B58" s="5">
        <v>202525</v>
      </c>
      <c r="C58" s="5"/>
      <c r="D58" s="9">
        <v>3.2000000000000002E-3</v>
      </c>
      <c r="E58" s="9">
        <v>2.8999999999999998E-3</v>
      </c>
      <c r="F58" s="9">
        <v>3.2000000000000002E-3</v>
      </c>
      <c r="G58" s="9">
        <v>2.0999999999999999E-3</v>
      </c>
      <c r="H58" s="9">
        <v>2.0999999999999999E-3</v>
      </c>
      <c r="I58" s="9">
        <v>6.8999999999999999E-3</v>
      </c>
      <c r="J58" s="9">
        <v>4.3E-3</v>
      </c>
      <c r="K58" s="9">
        <v>3.8999999999999998E-3</v>
      </c>
      <c r="L58" s="9">
        <v>4.4000000000000003E-3</v>
      </c>
      <c r="M58" s="9">
        <v>6.4000000000000003E-3</v>
      </c>
      <c r="N58" s="9">
        <v>4.4999999999999997E-3</v>
      </c>
      <c r="O58" s="9"/>
      <c r="P58" s="9">
        <v>9.7000000000000003E-3</v>
      </c>
      <c r="Q58" s="9">
        <v>3.3999999999999998E-3</v>
      </c>
      <c r="R58" s="9"/>
      <c r="S58" s="9">
        <v>3.0000000000000001E-3</v>
      </c>
      <c r="T58" s="9">
        <v>1.9E-3</v>
      </c>
      <c r="U58" s="9"/>
      <c r="V58" s="9">
        <v>3.3999999999999998E-3</v>
      </c>
      <c r="W58" s="9"/>
      <c r="X58" s="9"/>
      <c r="Y58" s="9">
        <v>5.0000000000000001E-3</v>
      </c>
      <c r="Z58" s="9">
        <v>1.1999999999999999E-3</v>
      </c>
      <c r="AA58" s="9">
        <v>3.5999999999999999E-3</v>
      </c>
      <c r="AB58" s="9">
        <v>3.0999999999999999E-3</v>
      </c>
      <c r="AC58" s="9">
        <v>2.8E-3</v>
      </c>
      <c r="AD58" s="9">
        <v>1.6999999999999999E-3</v>
      </c>
      <c r="AE58" s="9">
        <v>1.8E-3</v>
      </c>
    </row>
    <row r="59" spans="2:31" x14ac:dyDescent="0.3">
      <c r="B59" s="5">
        <v>202526</v>
      </c>
      <c r="C59" s="5"/>
      <c r="D59" s="9">
        <v>3.5000000000000001E-3</v>
      </c>
      <c r="E59" s="9">
        <v>2.3E-3</v>
      </c>
      <c r="F59" s="9">
        <v>3.5999999999999999E-3</v>
      </c>
      <c r="G59" s="9">
        <v>2E-3</v>
      </c>
      <c r="H59" s="9">
        <v>1.6000000000000001E-3</v>
      </c>
      <c r="I59" s="9">
        <v>7.0000000000000001E-3</v>
      </c>
      <c r="J59" s="9">
        <v>3.3999999999999998E-3</v>
      </c>
      <c r="K59" s="9">
        <v>2.5000000000000001E-3</v>
      </c>
      <c r="L59" s="9">
        <v>3.3E-3</v>
      </c>
      <c r="M59" s="9">
        <v>6.0000000000000001E-3</v>
      </c>
      <c r="N59" s="9">
        <v>2.7000000000000001E-3</v>
      </c>
      <c r="O59" s="9"/>
      <c r="P59" s="9">
        <v>1.9300000000000001E-2</v>
      </c>
      <c r="Q59" s="9">
        <v>3.2000000000000002E-3</v>
      </c>
      <c r="R59" s="9"/>
      <c r="S59" s="9">
        <v>3.3E-3</v>
      </c>
      <c r="T59" s="9">
        <v>1.9E-3</v>
      </c>
      <c r="U59" s="9"/>
      <c r="V59" s="9">
        <v>3.5999999999999999E-3</v>
      </c>
      <c r="W59" s="9"/>
      <c r="X59" s="9"/>
      <c r="Y59" s="9">
        <v>5.4999999999999997E-3</v>
      </c>
      <c r="Z59" s="9">
        <v>1.1999999999999999E-3</v>
      </c>
      <c r="AA59" s="9">
        <v>5.4999999999999997E-3</v>
      </c>
      <c r="AB59" s="9">
        <v>3.3E-3</v>
      </c>
      <c r="AC59" s="9">
        <v>3.0999999999999999E-3</v>
      </c>
      <c r="AD59" s="9">
        <v>1.6999999999999999E-3</v>
      </c>
      <c r="AE59" s="9">
        <v>2.2000000000000001E-3</v>
      </c>
    </row>
    <row r="60" spans="2:31" x14ac:dyDescent="0.3">
      <c r="B60" s="5">
        <v>202527</v>
      </c>
      <c r="C60" s="5"/>
      <c r="D60" s="9">
        <v>3.5000000000000001E-3</v>
      </c>
      <c r="E60" s="9">
        <v>2.7000000000000001E-3</v>
      </c>
      <c r="F60" s="9">
        <v>3.5999999999999999E-3</v>
      </c>
      <c r="G60" s="9">
        <v>1.5E-3</v>
      </c>
      <c r="H60" s="9">
        <v>2.2000000000000001E-3</v>
      </c>
      <c r="I60" s="9">
        <v>5.0000000000000001E-3</v>
      </c>
      <c r="J60" s="9">
        <v>4.4000000000000003E-3</v>
      </c>
      <c r="K60" s="9">
        <v>4.4999999999999997E-3</v>
      </c>
      <c r="L60" s="9">
        <v>3.5999999999999999E-3</v>
      </c>
      <c r="M60" s="9">
        <v>4.4000000000000003E-3</v>
      </c>
      <c r="N60" s="9">
        <v>1.4E-3</v>
      </c>
      <c r="O60" s="9"/>
      <c r="P60" s="9">
        <v>2.12E-2</v>
      </c>
      <c r="Q60" s="9">
        <v>4.1999999999999997E-3</v>
      </c>
      <c r="R60" s="9"/>
      <c r="S60" s="9">
        <v>3.2000000000000002E-3</v>
      </c>
      <c r="T60" s="9">
        <v>1.9E-3</v>
      </c>
      <c r="U60" s="9"/>
      <c r="V60" s="9">
        <v>3.3999999999999998E-3</v>
      </c>
      <c r="W60" s="9"/>
      <c r="X60" s="9"/>
      <c r="Y60" s="9">
        <v>5.7999999999999996E-3</v>
      </c>
      <c r="Z60" s="9">
        <v>1.1999999999999999E-3</v>
      </c>
      <c r="AA60" s="9">
        <v>6.3E-3</v>
      </c>
      <c r="AB60" s="9">
        <v>3.8999999999999998E-3</v>
      </c>
      <c r="AC60" s="9">
        <v>2.7000000000000001E-3</v>
      </c>
      <c r="AD60" s="9">
        <v>1.1999999999999999E-3</v>
      </c>
      <c r="AE60" s="9">
        <v>1.9E-3</v>
      </c>
    </row>
    <row r="61" spans="2:31" x14ac:dyDescent="0.3">
      <c r="B61" s="5">
        <v>202528</v>
      </c>
      <c r="C61" s="5"/>
      <c r="D61" s="9">
        <v>3.8E-3</v>
      </c>
      <c r="E61" s="9">
        <v>2.0999999999999999E-3</v>
      </c>
      <c r="F61" s="9">
        <v>3.8999999999999998E-3</v>
      </c>
      <c r="G61" s="9">
        <v>1.8E-3</v>
      </c>
      <c r="H61" s="9">
        <v>1.8E-3</v>
      </c>
      <c r="I61" s="9">
        <v>3.0000000000000001E-3</v>
      </c>
      <c r="J61" s="9">
        <v>1.9E-3</v>
      </c>
      <c r="K61" s="9">
        <v>2.5000000000000001E-3</v>
      </c>
      <c r="L61" s="9">
        <v>3.0999999999999999E-3</v>
      </c>
      <c r="M61" s="9">
        <v>5.7999999999999996E-3</v>
      </c>
      <c r="N61" s="9">
        <v>1.5E-3</v>
      </c>
      <c r="O61" s="9"/>
      <c r="P61" s="9">
        <v>1.24E-2</v>
      </c>
      <c r="Q61" s="9">
        <v>4.7000000000000002E-3</v>
      </c>
      <c r="R61" s="9"/>
      <c r="S61" s="9">
        <v>8.6999999999999994E-3</v>
      </c>
      <c r="T61" s="9">
        <v>2.0999999999999999E-3</v>
      </c>
      <c r="U61" s="9">
        <v>1.5E-3</v>
      </c>
      <c r="V61" s="9">
        <v>4.5999999999999999E-3</v>
      </c>
      <c r="W61" s="9">
        <v>8.0000000000000004E-4</v>
      </c>
      <c r="X61" s="9">
        <v>2.2000000000000001E-3</v>
      </c>
      <c r="Y61" s="9">
        <v>6.4000000000000003E-3</v>
      </c>
      <c r="Z61" s="9">
        <v>1.8E-3</v>
      </c>
      <c r="AA61" s="9">
        <v>6.4000000000000003E-3</v>
      </c>
      <c r="AB61" s="9">
        <v>3.7000000000000002E-3</v>
      </c>
      <c r="AC61" s="9">
        <v>3.0999999999999999E-3</v>
      </c>
      <c r="AD61" s="9">
        <v>2.0999999999999999E-3</v>
      </c>
      <c r="AE61" s="9">
        <v>2.3999999999999998E-3</v>
      </c>
    </row>
    <row r="62" spans="2:31" x14ac:dyDescent="0.3">
      <c r="B62" s="5">
        <v>202529</v>
      </c>
      <c r="C62" s="5"/>
      <c r="D62" s="9">
        <v>3.3E-3</v>
      </c>
      <c r="E62" s="9">
        <v>2.8E-3</v>
      </c>
      <c r="F62" s="9">
        <v>3.3E-3</v>
      </c>
      <c r="G62" s="9">
        <v>2.8999999999999998E-3</v>
      </c>
      <c r="H62" s="9">
        <v>1.6000000000000001E-3</v>
      </c>
      <c r="I62" s="9">
        <v>6.1000000000000004E-3</v>
      </c>
      <c r="J62" s="9">
        <v>3.3999999999999998E-3</v>
      </c>
      <c r="K62" s="9">
        <v>3.2000000000000002E-3</v>
      </c>
      <c r="L62" s="9">
        <v>4.3E-3</v>
      </c>
      <c r="M62" s="9">
        <v>3.8E-3</v>
      </c>
      <c r="N62" s="9">
        <v>1.4E-3</v>
      </c>
      <c r="O62" s="9"/>
      <c r="P62" s="9">
        <v>1.5800000000000002E-2</v>
      </c>
      <c r="Q62" s="9">
        <v>3.3999999999999998E-3</v>
      </c>
      <c r="R62" s="9"/>
      <c r="S62" s="9">
        <v>3.5000000000000001E-3</v>
      </c>
      <c r="T62" s="9">
        <v>2.0999999999999999E-3</v>
      </c>
      <c r="U62" s="9">
        <v>1.6000000000000001E-3</v>
      </c>
      <c r="V62" s="9">
        <v>4.1999999999999997E-3</v>
      </c>
      <c r="W62" s="9">
        <v>1.1000000000000001E-3</v>
      </c>
      <c r="X62" s="9">
        <v>1.6999999999999999E-3</v>
      </c>
      <c r="Y62" s="9">
        <v>5.8999999999999999E-3</v>
      </c>
      <c r="Z62" s="9">
        <v>1.6999999999999999E-3</v>
      </c>
      <c r="AA62" s="9">
        <v>7.3000000000000001E-3</v>
      </c>
      <c r="AB62" s="9">
        <v>3.3999999999999998E-3</v>
      </c>
      <c r="AC62" s="9">
        <v>3.3E-3</v>
      </c>
      <c r="AD62" s="9">
        <v>1.6000000000000001E-3</v>
      </c>
      <c r="AE62" s="9">
        <v>2E-3</v>
      </c>
    </row>
    <row r="63" spans="2:31" x14ac:dyDescent="0.3">
      <c r="B63" s="5">
        <v>202530</v>
      </c>
      <c r="C63" s="5"/>
      <c r="D63" s="9">
        <v>4.0000000000000001E-3</v>
      </c>
      <c r="E63" s="9">
        <v>2.5000000000000001E-3</v>
      </c>
      <c r="F63" s="9">
        <v>4.1000000000000003E-3</v>
      </c>
      <c r="G63" s="9">
        <v>2.0999999999999999E-3</v>
      </c>
      <c r="H63" s="9">
        <v>2E-3</v>
      </c>
      <c r="I63" s="9">
        <v>4.1000000000000003E-3</v>
      </c>
      <c r="J63" s="9">
        <v>2.7000000000000001E-3</v>
      </c>
      <c r="K63" s="9">
        <v>3.0000000000000001E-3</v>
      </c>
      <c r="L63" s="9">
        <v>3.8E-3</v>
      </c>
      <c r="M63" s="9">
        <v>5.7000000000000002E-3</v>
      </c>
      <c r="N63" s="9">
        <v>1.5E-3</v>
      </c>
      <c r="O63" s="9"/>
      <c r="P63" s="9">
        <v>1.2500000000000001E-2</v>
      </c>
      <c r="Q63" s="9">
        <v>3.7000000000000002E-3</v>
      </c>
      <c r="R63" s="9"/>
      <c r="S63" s="9">
        <v>1.0800000000000001E-2</v>
      </c>
      <c r="T63" s="9">
        <v>2E-3</v>
      </c>
      <c r="U63" s="9">
        <v>1.6999999999999999E-3</v>
      </c>
      <c r="V63" s="9">
        <v>4.7000000000000002E-3</v>
      </c>
      <c r="W63" s="9">
        <v>1.1000000000000001E-3</v>
      </c>
      <c r="X63" s="9">
        <v>1.5E-3</v>
      </c>
      <c r="Y63" s="9">
        <v>7.7999999999999996E-3</v>
      </c>
      <c r="Z63" s="9">
        <v>2.3999999999999998E-3</v>
      </c>
      <c r="AA63" s="9">
        <v>5.7000000000000002E-3</v>
      </c>
      <c r="AB63" s="9">
        <v>3.0999999999999999E-3</v>
      </c>
      <c r="AC63" s="9">
        <v>3.3E-3</v>
      </c>
      <c r="AD63" s="9">
        <v>1.6000000000000001E-3</v>
      </c>
      <c r="AE63" s="9">
        <v>2.3999999999999998E-3</v>
      </c>
    </row>
    <row r="64" spans="2:31" x14ac:dyDescent="0.3">
      <c r="B64" s="5">
        <v>202531</v>
      </c>
      <c r="C64" s="5"/>
      <c r="D64" s="9">
        <v>4.7999999999999996E-3</v>
      </c>
      <c r="E64" s="9">
        <v>3.5000000000000001E-3</v>
      </c>
      <c r="F64" s="9">
        <v>4.7999999999999996E-3</v>
      </c>
      <c r="G64" s="9">
        <v>3.3E-3</v>
      </c>
      <c r="H64" s="9">
        <v>3.5999999999999999E-3</v>
      </c>
      <c r="I64" s="9">
        <v>7.1000000000000004E-3</v>
      </c>
      <c r="J64" s="9">
        <v>4.8999999999999998E-3</v>
      </c>
      <c r="K64" s="9">
        <v>1.5E-3</v>
      </c>
      <c r="L64" s="9">
        <v>3.3999999999999998E-3</v>
      </c>
      <c r="M64" s="9">
        <v>7.4999999999999997E-3</v>
      </c>
      <c r="N64" s="9">
        <v>5.7999999999999996E-3</v>
      </c>
      <c r="O64" s="9"/>
      <c r="P64" s="9">
        <v>1.3299999999999999E-2</v>
      </c>
      <c r="Q64" s="9">
        <v>4.1999999999999997E-3</v>
      </c>
      <c r="R64" s="9"/>
      <c r="S64" s="9">
        <v>1.0800000000000001E-2</v>
      </c>
      <c r="T64" s="9">
        <v>2.3999999999999998E-3</v>
      </c>
      <c r="U64" s="9">
        <v>1.8E-3</v>
      </c>
      <c r="V64" s="9">
        <v>7.7999999999999996E-3</v>
      </c>
      <c r="W64" s="9">
        <v>1.6000000000000001E-3</v>
      </c>
      <c r="X64" s="9">
        <v>2.3E-3</v>
      </c>
      <c r="Y64" s="9">
        <v>7.9000000000000008E-3</v>
      </c>
      <c r="Z64" s="9">
        <v>1.9E-3</v>
      </c>
      <c r="AA64" s="9">
        <v>6.4000000000000003E-3</v>
      </c>
      <c r="AB64" s="9">
        <v>3.5999999999999999E-3</v>
      </c>
      <c r="AC64" s="9">
        <v>4.4000000000000003E-3</v>
      </c>
      <c r="AD64" s="9">
        <v>2.5000000000000001E-3</v>
      </c>
      <c r="AE64" s="9">
        <v>2E-3</v>
      </c>
    </row>
    <row r="65" spans="2:31" x14ac:dyDescent="0.3">
      <c r="B65" s="5">
        <v>202532</v>
      </c>
      <c r="C65" s="5"/>
      <c r="D65" s="9">
        <v>4.4000000000000003E-3</v>
      </c>
      <c r="E65" s="9">
        <v>3.8E-3</v>
      </c>
      <c r="F65" s="9">
        <v>4.4999999999999997E-3</v>
      </c>
      <c r="G65" s="9">
        <v>4.7999999999999996E-3</v>
      </c>
      <c r="H65" s="9">
        <v>2.5999999999999999E-3</v>
      </c>
      <c r="I65" s="9">
        <v>8.2000000000000007E-3</v>
      </c>
      <c r="J65" s="9">
        <v>4.7000000000000002E-3</v>
      </c>
      <c r="K65" s="9">
        <v>3.8E-3</v>
      </c>
      <c r="L65" s="9">
        <v>3.2000000000000002E-3</v>
      </c>
      <c r="M65" s="9">
        <v>6.4000000000000003E-3</v>
      </c>
      <c r="N65" s="9">
        <v>4.4000000000000003E-3</v>
      </c>
      <c r="O65" s="9"/>
      <c r="P65" s="9">
        <v>1.2699999999999999E-2</v>
      </c>
      <c r="Q65" s="9">
        <v>4.8999999999999998E-3</v>
      </c>
      <c r="R65" s="9"/>
      <c r="S65" s="9">
        <v>5.0000000000000001E-3</v>
      </c>
      <c r="T65" s="9">
        <v>1.6000000000000001E-3</v>
      </c>
      <c r="U65" s="9">
        <v>1.6999999999999999E-3</v>
      </c>
      <c r="V65" s="9">
        <v>5.4000000000000003E-3</v>
      </c>
      <c r="W65" s="9">
        <v>3.2000000000000002E-3</v>
      </c>
      <c r="X65" s="9">
        <v>2.3E-3</v>
      </c>
      <c r="Y65" s="9">
        <v>9.2999999999999992E-3</v>
      </c>
      <c r="Z65" s="9">
        <v>2E-3</v>
      </c>
      <c r="AA65" s="9">
        <v>5.4999999999999997E-3</v>
      </c>
      <c r="AB65" s="9">
        <v>4.1999999999999997E-3</v>
      </c>
      <c r="AC65" s="9">
        <v>7.4000000000000003E-3</v>
      </c>
      <c r="AD65" s="9">
        <v>2.0999999999999999E-3</v>
      </c>
      <c r="AE65" s="9">
        <v>2.7000000000000001E-3</v>
      </c>
    </row>
    <row r="66" spans="2:31" x14ac:dyDescent="0.3">
      <c r="B66" s="5">
        <v>202533</v>
      </c>
      <c r="C66" s="5"/>
      <c r="D66" s="9">
        <v>5.0000000000000001E-3</v>
      </c>
      <c r="E66" s="9">
        <v>3.5999999999999999E-3</v>
      </c>
      <c r="F66" s="9">
        <v>5.1000000000000004E-3</v>
      </c>
      <c r="G66" s="9">
        <v>4.7999999999999996E-3</v>
      </c>
      <c r="H66" s="9">
        <v>3.0000000000000001E-3</v>
      </c>
      <c r="I66" s="9">
        <v>6.1999999999999998E-3</v>
      </c>
      <c r="J66" s="9">
        <v>4.1999999999999997E-3</v>
      </c>
      <c r="K66" s="9">
        <v>2E-3</v>
      </c>
      <c r="L66" s="9">
        <v>2.5000000000000001E-3</v>
      </c>
      <c r="M66" s="9">
        <v>5.3E-3</v>
      </c>
      <c r="N66" s="9">
        <v>4.7000000000000002E-3</v>
      </c>
      <c r="O66" s="9"/>
      <c r="P66" s="9">
        <v>1.66E-2</v>
      </c>
      <c r="Q66" s="9">
        <v>8.5000000000000006E-3</v>
      </c>
      <c r="R66" s="9"/>
      <c r="S66" s="9">
        <v>2.3999999999999998E-3</v>
      </c>
      <c r="T66" s="9">
        <v>1.5E-3</v>
      </c>
      <c r="U66" s="9">
        <v>1.8E-3</v>
      </c>
      <c r="V66" s="9">
        <v>6.6E-3</v>
      </c>
      <c r="W66" s="9">
        <v>2.5999999999999999E-3</v>
      </c>
      <c r="X66" s="9">
        <v>1.6999999999999999E-3</v>
      </c>
      <c r="Y66" s="9">
        <v>1.04E-2</v>
      </c>
      <c r="Z66" s="9">
        <v>3.2000000000000002E-3</v>
      </c>
      <c r="AA66" s="9">
        <v>0</v>
      </c>
      <c r="AB66" s="9">
        <v>2.5000000000000001E-3</v>
      </c>
      <c r="AC66" s="9">
        <v>8.8000000000000005E-3</v>
      </c>
      <c r="AD66" s="9">
        <v>3.3999999999999998E-3</v>
      </c>
      <c r="AE66" s="9">
        <v>3.0000000000000001E-3</v>
      </c>
    </row>
    <row r="67" spans="2:31" x14ac:dyDescent="0.3">
      <c r="B67" s="5">
        <v>202534</v>
      </c>
      <c r="C67" s="5"/>
      <c r="D67" s="9">
        <v>4.4999999999999997E-3</v>
      </c>
      <c r="E67" s="9">
        <v>3.8999999999999998E-3</v>
      </c>
      <c r="F67" s="9">
        <v>4.5999999999999999E-3</v>
      </c>
      <c r="G67" s="9">
        <v>5.0000000000000001E-3</v>
      </c>
      <c r="H67" s="9">
        <v>3.3E-3</v>
      </c>
      <c r="I67" s="9">
        <v>5.5999999999999999E-3</v>
      </c>
      <c r="J67" s="9">
        <v>4.0000000000000001E-3</v>
      </c>
      <c r="K67" s="9">
        <v>1E-3</v>
      </c>
      <c r="L67" s="9">
        <v>3.3999999999999998E-3</v>
      </c>
      <c r="M67" s="9">
        <v>5.0000000000000001E-3</v>
      </c>
      <c r="N67" s="9">
        <v>3.8999999999999998E-3</v>
      </c>
      <c r="O67" s="9"/>
      <c r="P67" s="9">
        <v>1.9199999999999998E-2</v>
      </c>
      <c r="Q67" s="9">
        <v>6.1999999999999998E-3</v>
      </c>
      <c r="R67" s="9"/>
      <c r="S67" s="9">
        <v>2.3999999999999998E-3</v>
      </c>
      <c r="T67" s="9">
        <v>1.5E-3</v>
      </c>
      <c r="U67" s="9">
        <v>2.7000000000000001E-3</v>
      </c>
      <c r="V67" s="9">
        <v>4.4000000000000003E-3</v>
      </c>
      <c r="W67" s="9">
        <v>5.1000000000000004E-3</v>
      </c>
      <c r="X67" s="9">
        <v>2.5000000000000001E-3</v>
      </c>
      <c r="Y67" s="9">
        <v>1.09E-2</v>
      </c>
      <c r="Z67" s="9">
        <v>3.3E-3</v>
      </c>
      <c r="AA67" s="9"/>
      <c r="AB67" s="9"/>
      <c r="AC67" s="9">
        <v>6.4999999999999997E-3</v>
      </c>
      <c r="AD67" s="9">
        <v>2.8E-3</v>
      </c>
      <c r="AE67" s="9">
        <v>2.8E-3</v>
      </c>
    </row>
    <row r="68" spans="2:31" x14ac:dyDescent="0.3">
      <c r="B68" s="5">
        <v>202535</v>
      </c>
      <c r="C68" s="5"/>
      <c r="D68" s="9">
        <v>4.4999999999999997E-3</v>
      </c>
      <c r="E68" s="9">
        <v>4.1000000000000003E-3</v>
      </c>
      <c r="F68" s="9">
        <v>4.5999999999999999E-3</v>
      </c>
      <c r="G68" s="9">
        <v>3.3E-3</v>
      </c>
      <c r="H68" s="9">
        <v>4.0000000000000001E-3</v>
      </c>
      <c r="I68" s="9">
        <v>6.6E-3</v>
      </c>
      <c r="J68" s="9">
        <v>4.3E-3</v>
      </c>
      <c r="K68" s="9"/>
      <c r="L68" s="9">
        <v>3.3999999999999998E-3</v>
      </c>
      <c r="M68" s="9">
        <v>5.1999999999999998E-3</v>
      </c>
      <c r="N68" s="9">
        <v>3.7000000000000002E-3</v>
      </c>
      <c r="O68" s="9"/>
      <c r="P68" s="9">
        <v>1.89E-2</v>
      </c>
      <c r="Q68" s="9">
        <v>7.1999999999999998E-3</v>
      </c>
      <c r="R68" s="9"/>
      <c r="S68" s="9">
        <v>1.8E-3</v>
      </c>
      <c r="T68" s="9">
        <v>1.9E-3</v>
      </c>
      <c r="U68" s="9">
        <v>3.0999999999999999E-3</v>
      </c>
      <c r="V68" s="9">
        <v>4.4000000000000003E-3</v>
      </c>
      <c r="W68" s="9">
        <v>2.8999999999999998E-3</v>
      </c>
      <c r="X68" s="9">
        <v>2.5000000000000001E-3</v>
      </c>
      <c r="Y68" s="9">
        <v>1.23E-2</v>
      </c>
      <c r="Z68" s="9">
        <v>3.5999999999999999E-3</v>
      </c>
      <c r="AA68" s="9"/>
      <c r="AB68" s="9"/>
      <c r="AC68" s="9">
        <v>4.5999999999999999E-3</v>
      </c>
      <c r="AD68" s="9">
        <v>1.6999999999999999E-3</v>
      </c>
      <c r="AE68" s="9">
        <v>3.3E-3</v>
      </c>
    </row>
    <row r="69" spans="2:31" x14ac:dyDescent="0.3">
      <c r="B69" s="5">
        <v>202536</v>
      </c>
      <c r="C69" s="5"/>
      <c r="D69" s="9">
        <v>4.1999999999999997E-3</v>
      </c>
      <c r="E69" s="9">
        <v>3.8E-3</v>
      </c>
      <c r="F69" s="9">
        <v>4.1999999999999997E-3</v>
      </c>
      <c r="G69" s="9">
        <v>3.2000000000000002E-3</v>
      </c>
      <c r="H69" s="9">
        <v>3.2000000000000002E-3</v>
      </c>
      <c r="I69" s="9">
        <v>6.4000000000000003E-3</v>
      </c>
      <c r="J69" s="9">
        <v>3.0000000000000001E-3</v>
      </c>
      <c r="K69" s="9"/>
      <c r="L69" s="9">
        <v>4.5999999999999999E-3</v>
      </c>
      <c r="M69" s="9">
        <v>2.2000000000000001E-3</v>
      </c>
      <c r="N69" s="9">
        <v>3.3999999999999998E-3</v>
      </c>
      <c r="O69" s="9">
        <v>5.9999999999999995E-4</v>
      </c>
      <c r="P69" s="9">
        <v>1.3899999999999999E-2</v>
      </c>
      <c r="Q69" s="9">
        <v>5.4999999999999997E-3</v>
      </c>
      <c r="R69" s="9"/>
      <c r="S69" s="9">
        <v>1.5E-3</v>
      </c>
      <c r="T69" s="9">
        <v>1.6000000000000001E-3</v>
      </c>
      <c r="U69" s="9">
        <v>4.0000000000000001E-3</v>
      </c>
      <c r="V69" s="9">
        <v>3.5999999999999999E-3</v>
      </c>
      <c r="W69" s="9">
        <v>3.7000000000000002E-3</v>
      </c>
      <c r="X69" s="9">
        <v>3.0000000000000001E-3</v>
      </c>
      <c r="Y69" s="9">
        <v>1.23E-2</v>
      </c>
      <c r="Z69" s="9">
        <v>5.1999999999999998E-3</v>
      </c>
      <c r="AA69" s="9"/>
      <c r="AB69" s="9"/>
      <c r="AC69" s="9">
        <v>4.0000000000000001E-3</v>
      </c>
      <c r="AD69" s="9">
        <v>2.0999999999999999E-3</v>
      </c>
      <c r="AE69" s="9">
        <v>3.0999999999999999E-3</v>
      </c>
    </row>
    <row r="70" spans="2:31" ht="15" thickBot="1" x14ac:dyDescent="0.35">
      <c r="B70" s="5">
        <v>202537</v>
      </c>
      <c r="C70" s="5"/>
      <c r="D70" s="9">
        <v>4.8999999999999998E-3</v>
      </c>
      <c r="E70" s="9">
        <v>4.7000000000000002E-3</v>
      </c>
      <c r="F70" s="9">
        <v>4.8999999999999998E-3</v>
      </c>
      <c r="G70" s="9">
        <v>4.0000000000000001E-3</v>
      </c>
      <c r="H70" s="9">
        <v>3.2000000000000002E-3</v>
      </c>
      <c r="I70" s="9">
        <v>9.2999999999999992E-3</v>
      </c>
      <c r="J70" s="9">
        <v>6.3E-3</v>
      </c>
      <c r="K70" s="9"/>
      <c r="L70" s="9">
        <v>4.1999999999999997E-3</v>
      </c>
      <c r="M70" s="9"/>
      <c r="N70" s="9">
        <v>3.3999999999999998E-3</v>
      </c>
      <c r="O70" s="9">
        <v>1.11E-2</v>
      </c>
      <c r="P70" s="9">
        <v>1.14E-2</v>
      </c>
      <c r="Q70" s="9">
        <v>1.0500000000000001E-2</v>
      </c>
      <c r="R70" s="9"/>
      <c r="S70" s="9">
        <v>1.6000000000000001E-3</v>
      </c>
      <c r="T70" s="9">
        <v>1.6999999999999999E-3</v>
      </c>
      <c r="U70" s="9">
        <v>3.5999999999999999E-3</v>
      </c>
      <c r="V70" s="9">
        <v>4.4999999999999997E-3</v>
      </c>
      <c r="W70" s="9">
        <v>3.8999999999999998E-3</v>
      </c>
      <c r="X70" s="9">
        <v>4.1999999999999997E-3</v>
      </c>
      <c r="Y70" s="9">
        <v>1.1599999999999999E-2</v>
      </c>
      <c r="Z70" s="9">
        <v>3.7000000000000002E-3</v>
      </c>
      <c r="AA70" s="9"/>
      <c r="AB70" s="9"/>
      <c r="AC70" s="9">
        <v>4.4000000000000003E-3</v>
      </c>
      <c r="AD70" s="9">
        <v>3.3999999999999998E-3</v>
      </c>
      <c r="AE70" s="9">
        <v>3.3E-3</v>
      </c>
    </row>
    <row r="71" spans="2:31" ht="15" thickBot="1" x14ac:dyDescent="0.35">
      <c r="B71" s="22" t="s">
        <v>82</v>
      </c>
      <c r="C71" s="22"/>
      <c r="D71" s="24">
        <f t="shared" ref="D71:AE71" si="17">AVERAGE(D34:D70)</f>
        <v>3.2270270270270273E-3</v>
      </c>
      <c r="E71" s="24">
        <f t="shared" si="17"/>
        <v>3.6513513513513514E-3</v>
      </c>
      <c r="F71" s="24">
        <f t="shared" si="17"/>
        <v>3.178378378378378E-3</v>
      </c>
      <c r="G71" s="24">
        <f t="shared" si="17"/>
        <v>4.5459459459459475E-3</v>
      </c>
      <c r="H71" s="24">
        <f t="shared" si="17"/>
        <v>3.2621621621621625E-3</v>
      </c>
      <c r="I71" s="24">
        <f t="shared" si="17"/>
        <v>5.0756756756756751E-3</v>
      </c>
      <c r="J71" s="24">
        <f t="shared" si="17"/>
        <v>3.0864864864864859E-3</v>
      </c>
      <c r="K71" s="24">
        <f t="shared" si="17"/>
        <v>3.2558823529411757E-3</v>
      </c>
      <c r="L71" s="24">
        <f t="shared" si="17"/>
        <v>2.7297297297297295E-3</v>
      </c>
      <c r="M71" s="24">
        <f t="shared" si="17"/>
        <v>3.5388888888888892E-3</v>
      </c>
      <c r="N71" s="24">
        <f t="shared" si="17"/>
        <v>3.0218749999999998E-3</v>
      </c>
      <c r="O71" s="24">
        <f t="shared" si="17"/>
        <v>5.8500000000000002E-3</v>
      </c>
      <c r="P71" s="24">
        <f t="shared" si="17"/>
        <v>9.3135135135135154E-3</v>
      </c>
      <c r="Q71" s="24">
        <f t="shared" si="17"/>
        <v>3.805405405405405E-3</v>
      </c>
      <c r="R71" s="24">
        <f t="shared" si="17"/>
        <v>-6.7871428571428569E-2</v>
      </c>
      <c r="S71" s="24">
        <f t="shared" si="17"/>
        <v>3.0864864864864868E-3</v>
      </c>
      <c r="T71" s="24">
        <f t="shared" si="17"/>
        <v>1.7631578947368426E-3</v>
      </c>
      <c r="U71" s="24">
        <f t="shared" si="17"/>
        <v>2.7468749999999998E-3</v>
      </c>
      <c r="V71" s="24">
        <f t="shared" si="17"/>
        <v>3.6459459459459451E-3</v>
      </c>
      <c r="W71" s="24">
        <f t="shared" si="17"/>
        <v>3.2387096774193548E-3</v>
      </c>
      <c r="X71" s="24">
        <f t="shared" si="17"/>
        <v>2.6354838709677416E-3</v>
      </c>
      <c r="Y71" s="24">
        <f t="shared" si="17"/>
        <v>4.9702702702702703E-3</v>
      </c>
      <c r="Z71" s="24">
        <f t="shared" si="17"/>
        <v>1.7864864864864862E-3</v>
      </c>
      <c r="AA71" s="24">
        <f t="shared" si="17"/>
        <v>4.3151515151515158E-3</v>
      </c>
      <c r="AB71" s="24">
        <f t="shared" si="17"/>
        <v>2.3757575757575762E-3</v>
      </c>
      <c r="AC71" s="24">
        <f t="shared" si="17"/>
        <v>2.784375E-3</v>
      </c>
      <c r="AD71" s="24">
        <f t="shared" si="17"/>
        <v>1.5312499999999996E-3</v>
      </c>
      <c r="AE71" s="24">
        <f t="shared" si="17"/>
        <v>1.8243243243243243E-3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T72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7.33203125" bestFit="1" customWidth="1"/>
    <col min="16" max="16" width="11.109375" bestFit="1" customWidth="1"/>
    <col min="17" max="17" width="8.664062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44140625" bestFit="1" customWidth="1"/>
    <col min="23" max="23" width="8.6640625" bestFit="1" customWidth="1"/>
    <col min="24" max="24" width="10.6640625" bestFit="1" customWidth="1"/>
    <col min="25" max="25" width="9" bestFit="1" customWidth="1"/>
    <col min="26" max="26" width="11.33203125" bestFit="1" customWidth="1"/>
    <col min="27" max="27" width="9.109375" bestFit="1" customWidth="1"/>
    <col min="28" max="28" width="11.109375" bestFit="1" customWidth="1"/>
    <col min="30" max="30" width="11.109375" bestFit="1" customWidth="1"/>
    <col min="31" max="31" width="7.44140625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45914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45920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140</v>
      </c>
      <c r="C6" s="7"/>
      <c r="D6" s="7">
        <v>7</v>
      </c>
      <c r="E6" s="7">
        <v>4590</v>
      </c>
      <c r="F6" s="7">
        <v>5360</v>
      </c>
      <c r="G6" s="7">
        <v>44</v>
      </c>
      <c r="H6" s="9">
        <f t="shared" ref="H6:H11" si="0">IFERROR(G6/F6,0)</f>
        <v>8.2089552238805968E-3</v>
      </c>
      <c r="I6" s="9">
        <f>IFERROR((4590-F6)/4590,0)</f>
        <v>-0.16775599128540306</v>
      </c>
      <c r="J6" s="7">
        <v>22590</v>
      </c>
      <c r="K6" s="11">
        <f t="shared" ref="K6:K11" si="1">IFERROR(J6/D6/F6*100,0)</f>
        <v>60.207889125799575</v>
      </c>
      <c r="L6" s="11">
        <f>K6-60.59</f>
        <v>-0.38211087420042844</v>
      </c>
      <c r="M6" s="11">
        <v>0</v>
      </c>
      <c r="N6" s="11">
        <f t="shared" ref="N6:N11" si="2">K6-M6</f>
        <v>60.207889125799575</v>
      </c>
      <c r="O6" s="11">
        <f>IFERROR(107460/4590,0)</f>
        <v>23.411764705882351</v>
      </c>
      <c r="P6" s="11">
        <v>0</v>
      </c>
      <c r="Q6" s="11">
        <f>IFERROR(O6-P6,0)</f>
        <v>23.411764705882351</v>
      </c>
      <c r="R6" s="7">
        <v>4830</v>
      </c>
      <c r="S6" s="11">
        <f>IFERROR(R6/D6/F6*1000,0)</f>
        <v>128.73134328358211</v>
      </c>
      <c r="T6" s="13">
        <f t="shared" ref="T6:T11" si="3">IFERROR(J6/R6,0)</f>
        <v>4.6770186335403725</v>
      </c>
      <c r="U6" s="7">
        <v>0</v>
      </c>
      <c r="V6" s="11">
        <f>IFERROR(U6/D6/F6*1000,0)</f>
        <v>0</v>
      </c>
      <c r="W6" s="11">
        <f t="shared" ref="W6:W11" si="4">IFERROR(V6/S6,0)</f>
        <v>0</v>
      </c>
      <c r="X6" s="11">
        <v>254.4685714286</v>
      </c>
      <c r="Y6" s="11">
        <f>IFERROR((F6*S6)/(F6*K6)*100,0)</f>
        <v>213.81142098273577</v>
      </c>
      <c r="Z6" s="11">
        <f t="shared" ref="Z6:Z11" si="5">IFERROR(Y6*X6/1000,0)</f>
        <v>54.408286852595758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25</v>
      </c>
      <c r="AG6" s="7">
        <f>IF(M6=0,0,IFERROR(N6/100*7*F6,0))</f>
        <v>0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>IFERROR(0/F6,0)</f>
        <v>0</v>
      </c>
      <c r="AP6" s="11">
        <v>0</v>
      </c>
      <c r="AQ6" s="7"/>
      <c r="AR6" s="7"/>
      <c r="AS6" s="7">
        <v>15</v>
      </c>
      <c r="AT6" s="7"/>
    </row>
    <row r="7" spans="1:46" x14ac:dyDescent="0.3">
      <c r="A7" s="5" t="s">
        <v>50</v>
      </c>
      <c r="B7" s="5">
        <v>100</v>
      </c>
      <c r="C7" s="7">
        <v>30</v>
      </c>
      <c r="D7" s="7">
        <v>7</v>
      </c>
      <c r="E7" s="7">
        <v>14440</v>
      </c>
      <c r="F7" s="7">
        <v>10714</v>
      </c>
      <c r="G7" s="7">
        <v>43</v>
      </c>
      <c r="H7" s="9">
        <f t="shared" si="0"/>
        <v>4.0134403584095573E-3</v>
      </c>
      <c r="I7" s="9">
        <f>IFERROR((14440-F7)/14440,0)</f>
        <v>0.25803324099722991</v>
      </c>
      <c r="J7" s="7">
        <v>51210</v>
      </c>
      <c r="K7" s="11">
        <f t="shared" si="1"/>
        <v>68.281820848555967</v>
      </c>
      <c r="L7" s="11">
        <f>K7-68.5666</f>
        <v>-0.28477915144402743</v>
      </c>
      <c r="M7" s="11">
        <v>75</v>
      </c>
      <c r="N7" s="11">
        <f t="shared" si="2"/>
        <v>-6.7181791514440334</v>
      </c>
      <c r="O7" s="11">
        <f>IFERROR(5549530/14440,0)</f>
        <v>384.31648199445982</v>
      </c>
      <c r="P7" s="11">
        <v>0</v>
      </c>
      <c r="Q7" s="11">
        <f>IFERROR(O7-P7,0)</f>
        <v>384.31648199445982</v>
      </c>
      <c r="R7" s="7">
        <v>9730</v>
      </c>
      <c r="S7" s="11">
        <f>IFERROR(R7/D7/F7*1000,0)</f>
        <v>129.73679298114615</v>
      </c>
      <c r="T7" s="13">
        <f t="shared" si="3"/>
        <v>5.2631038026721484</v>
      </c>
      <c r="U7" s="7">
        <v>0</v>
      </c>
      <c r="V7" s="11">
        <f>IFERROR(U7/D7/F7*1000,0)</f>
        <v>0</v>
      </c>
      <c r="W7" s="11">
        <f t="shared" si="4"/>
        <v>0</v>
      </c>
      <c r="X7" s="11">
        <v>373.15</v>
      </c>
      <c r="Y7" s="11">
        <f>IFERROR((F7*S7)/(F7*K7)*100,0)</f>
        <v>190.0019527436047</v>
      </c>
      <c r="Z7" s="11">
        <f t="shared" si="5"/>
        <v>70.899228666276088</v>
      </c>
      <c r="AA7" s="7">
        <v>2083</v>
      </c>
      <c r="AB7" s="15">
        <f>IFERROR(AA7/1980,0)</f>
        <v>1.0520202020202021</v>
      </c>
      <c r="AC7" s="11">
        <v>0</v>
      </c>
      <c r="AD7" s="15">
        <f>IFERROR(AC7/65.35,0)</f>
        <v>0</v>
      </c>
      <c r="AE7" s="11">
        <v>0</v>
      </c>
      <c r="AF7" s="11">
        <v>25</v>
      </c>
      <c r="AG7" s="7">
        <f>IF(M7=0,0,IFERROR(N7/100*7*F7,0))</f>
        <v>-5038.4999999999955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>IFERROR(0/F7,0)</f>
        <v>0</v>
      </c>
      <c r="AP7" s="11">
        <v>0</v>
      </c>
      <c r="AQ7" s="7"/>
      <c r="AR7" s="7"/>
      <c r="AS7" s="7">
        <v>15</v>
      </c>
      <c r="AT7" s="7"/>
    </row>
    <row r="8" spans="1:46" x14ac:dyDescent="0.3">
      <c r="A8" s="5" t="s">
        <v>51</v>
      </c>
      <c r="B8" s="5">
        <v>100</v>
      </c>
      <c r="C8" s="7">
        <v>30</v>
      </c>
      <c r="D8" s="7">
        <v>7</v>
      </c>
      <c r="E8" s="7">
        <v>16063</v>
      </c>
      <c r="F8" s="7">
        <v>12646</v>
      </c>
      <c r="G8" s="7">
        <v>47</v>
      </c>
      <c r="H8" s="9">
        <f t="shared" si="0"/>
        <v>3.7165902261584692E-3</v>
      </c>
      <c r="I8" s="9">
        <f>IFERROR((16063-F8)/16063,0)</f>
        <v>0.21272489572309033</v>
      </c>
      <c r="J8" s="7">
        <v>54930</v>
      </c>
      <c r="K8" s="11">
        <f t="shared" si="1"/>
        <v>62.052371161971031</v>
      </c>
      <c r="L8" s="11">
        <f>K8-61.7213</f>
        <v>0.33107116197103181</v>
      </c>
      <c r="M8" s="11">
        <v>72</v>
      </c>
      <c r="N8" s="11">
        <f t="shared" si="2"/>
        <v>-9.9476288380289688</v>
      </c>
      <c r="O8" s="11">
        <f>IFERROR(5793120/16063,0)</f>
        <v>360.64994085787214</v>
      </c>
      <c r="P8" s="11">
        <v>0</v>
      </c>
      <c r="Q8" s="11">
        <f>IFERROR(O8-P8,0)</f>
        <v>360.64994085787214</v>
      </c>
      <c r="R8" s="7">
        <v>10360</v>
      </c>
      <c r="S8" s="11">
        <f>IFERROR(R8/D8/F8*1000,0)</f>
        <v>117.03305393009647</v>
      </c>
      <c r="T8" s="13">
        <f t="shared" si="3"/>
        <v>5.3021235521235521</v>
      </c>
      <c r="U8" s="7">
        <v>0</v>
      </c>
      <c r="V8" s="11">
        <f>IFERROR(U8/D8/F8*1000,0)</f>
        <v>0</v>
      </c>
      <c r="W8" s="11">
        <f t="shared" si="4"/>
        <v>0</v>
      </c>
      <c r="X8" s="11">
        <v>370</v>
      </c>
      <c r="Y8" s="11">
        <f>IFERROR((F8*S8)/(F8*K8)*100,0)</f>
        <v>188.60367740760969</v>
      </c>
      <c r="Z8" s="11">
        <f t="shared" si="5"/>
        <v>69.783360640815587</v>
      </c>
      <c r="AA8" s="7">
        <v>1735</v>
      </c>
      <c r="AB8" s="15">
        <f>IFERROR(AA8/1580,0)</f>
        <v>1.0981012658227849</v>
      </c>
      <c r="AC8" s="11">
        <v>0</v>
      </c>
      <c r="AD8" s="15">
        <f>IFERROR(AC8/63.8,0)</f>
        <v>0</v>
      </c>
      <c r="AE8" s="11">
        <v>0</v>
      </c>
      <c r="AF8" s="11">
        <v>25</v>
      </c>
      <c r="AG8" s="7">
        <f>IF(M8=0,0,IFERROR(N8/100*7*F8,0))</f>
        <v>-8805.8400000000038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>IFERROR(0/F8,0)</f>
        <v>0</v>
      </c>
      <c r="AP8" s="11">
        <v>0</v>
      </c>
      <c r="AQ8" s="7"/>
      <c r="AR8" s="7"/>
      <c r="AS8" s="7">
        <v>15</v>
      </c>
      <c r="AT8" s="7"/>
    </row>
    <row r="9" spans="1:46" x14ac:dyDescent="0.3">
      <c r="A9" s="5" t="s">
        <v>52</v>
      </c>
      <c r="B9" s="5">
        <v>61</v>
      </c>
      <c r="C9" s="7"/>
      <c r="D9" s="7">
        <v>7</v>
      </c>
      <c r="E9" s="7">
        <v>4686</v>
      </c>
      <c r="F9" s="7">
        <v>3936</v>
      </c>
      <c r="G9" s="7">
        <v>24</v>
      </c>
      <c r="H9" s="9">
        <f t="shared" si="0"/>
        <v>6.0975609756097563E-3</v>
      </c>
      <c r="I9" s="9">
        <f>IFERROR((4686-F9)/4686,0)</f>
        <v>0.16005121638924455</v>
      </c>
      <c r="J9" s="7">
        <v>26680</v>
      </c>
      <c r="K9" s="11">
        <f t="shared" si="1"/>
        <v>96.835075493612081</v>
      </c>
      <c r="L9" s="11">
        <f>K9-112.5108</f>
        <v>-15.675724506387922</v>
      </c>
      <c r="M9" s="11">
        <v>85</v>
      </c>
      <c r="N9" s="11">
        <f t="shared" si="2"/>
        <v>11.835075493612081</v>
      </c>
      <c r="O9" s="11">
        <f>IFERROR(1188568/4686,0)</f>
        <v>253.64233888177552</v>
      </c>
      <c r="P9" s="11">
        <v>258</v>
      </c>
      <c r="Q9" s="11">
        <f>IFERROR(O9-P9,0)</f>
        <v>-4.3576611182244847</v>
      </c>
      <c r="R9" s="7">
        <v>4503</v>
      </c>
      <c r="S9" s="11">
        <f>IFERROR(R9/D9/F9*1000,0)</f>
        <v>163.4364111498258</v>
      </c>
      <c r="T9" s="13">
        <f t="shared" si="3"/>
        <v>5.9249389296024875</v>
      </c>
      <c r="U9" s="7">
        <v>5040</v>
      </c>
      <c r="V9" s="11">
        <f>IFERROR(U9/D9/F9*1000,0)</f>
        <v>182.92682926829269</v>
      </c>
      <c r="W9" s="11">
        <f t="shared" si="4"/>
        <v>1.1192538307794804</v>
      </c>
      <c r="X9" s="11">
        <v>310.93714285710001</v>
      </c>
      <c r="Y9" s="11">
        <f>IFERROR((F9*S9)/(F9*K9)*100,0)</f>
        <v>168.77811094452775</v>
      </c>
      <c r="Z9" s="11">
        <f t="shared" si="5"/>
        <v>52.479383593910107</v>
      </c>
      <c r="AA9" s="7">
        <v>1980</v>
      </c>
      <c r="AB9" s="15">
        <f>IFERROR(AA9/1960,0)</f>
        <v>1.010204081632653</v>
      </c>
      <c r="AC9" s="11">
        <v>0</v>
      </c>
      <c r="AD9" s="15">
        <f>IFERROR(AC9/63.8,0)</f>
        <v>0</v>
      </c>
      <c r="AE9" s="11">
        <v>14</v>
      </c>
      <c r="AF9" s="11">
        <v>29</v>
      </c>
      <c r="AG9" s="7">
        <f>IF(M9=0,0,IFERROR(N9/100*7*F9,0))</f>
        <v>3260.8000000000006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>IFERROR(0/F9,0)</f>
        <v>0</v>
      </c>
      <c r="AP9" s="11">
        <v>0</v>
      </c>
      <c r="AQ9" s="7"/>
      <c r="AR9" s="7"/>
      <c r="AS9" s="7">
        <v>0</v>
      </c>
      <c r="AT9" s="7"/>
    </row>
    <row r="10" spans="1:46" ht="15" thickBot="1" x14ac:dyDescent="0.35">
      <c r="A10" s="5" t="s">
        <v>54</v>
      </c>
      <c r="B10" s="5">
        <v>61</v>
      </c>
      <c r="C10" s="7"/>
      <c r="D10" s="7">
        <v>7</v>
      </c>
      <c r="E10" s="7">
        <v>4819</v>
      </c>
      <c r="F10" s="7">
        <v>4303</v>
      </c>
      <c r="G10" s="7">
        <v>15</v>
      </c>
      <c r="H10" s="9">
        <f t="shared" si="0"/>
        <v>3.4859400418312805E-3</v>
      </c>
      <c r="I10" s="9">
        <f>IFERROR((4819-F10)/4819,0)</f>
        <v>0.10707615687902054</v>
      </c>
      <c r="J10" s="7">
        <v>26880</v>
      </c>
      <c r="K10" s="11">
        <f t="shared" si="1"/>
        <v>89.240065070880775</v>
      </c>
      <c r="L10" s="11">
        <f>K10-89.1286</f>
        <v>0.11146507088076874</v>
      </c>
      <c r="M10" s="11">
        <v>85</v>
      </c>
      <c r="N10" s="11">
        <f t="shared" si="2"/>
        <v>4.2400650708807746</v>
      </c>
      <c r="O10" s="11">
        <f>IFERROR(1226416/4819,0)</f>
        <v>254.49595351732725</v>
      </c>
      <c r="P10" s="11">
        <v>258</v>
      </c>
      <c r="Q10" s="11">
        <f>IFERROR(O10-P10,0)</f>
        <v>-3.5040464826727487</v>
      </c>
      <c r="R10" s="7">
        <v>3861</v>
      </c>
      <c r="S10" s="11">
        <f>IFERROR(R10/D10/F10*1000,0)</f>
        <v>128.18299525248165</v>
      </c>
      <c r="T10" s="13">
        <f t="shared" si="3"/>
        <v>6.9619269619269621</v>
      </c>
      <c r="U10" s="7">
        <v>5040</v>
      </c>
      <c r="V10" s="11">
        <f>IFERROR(U10/D10/F10*1000,0)</f>
        <v>167.32512200790148</v>
      </c>
      <c r="W10" s="11">
        <f t="shared" si="4"/>
        <v>1.3053613053613056</v>
      </c>
      <c r="X10" s="11">
        <v>310.93714285710001</v>
      </c>
      <c r="Y10" s="11">
        <f>IFERROR((F10*S10)/(F10*K10)*100,0)</f>
        <v>143.63839285714283</v>
      </c>
      <c r="Z10" s="11">
        <f t="shared" si="5"/>
        <v>44.662511479585675</v>
      </c>
      <c r="AA10" s="7">
        <v>2070</v>
      </c>
      <c r="AB10" s="15">
        <f>IFERROR(AA10/1960,0)</f>
        <v>1.0561224489795917</v>
      </c>
      <c r="AC10" s="11">
        <v>0</v>
      </c>
      <c r="AD10" s="15">
        <f>IFERROR(AC10/63.8,0)</f>
        <v>0</v>
      </c>
      <c r="AE10" s="11">
        <v>12</v>
      </c>
      <c r="AF10" s="11">
        <v>29</v>
      </c>
      <c r="AG10" s="7">
        <f>IF(M10=0,0,IFERROR(N10/100*7*F10,0))</f>
        <v>1277.1499999999983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>IFERROR(0/F10,0)</f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16" t="s">
        <v>55</v>
      </c>
      <c r="B11" s="16"/>
      <c r="C11" s="17"/>
      <c r="D11" s="17">
        <f>AVERAGE(D6:D10)</f>
        <v>7</v>
      </c>
      <c r="E11" s="17">
        <f>SUM(E6:E10)</f>
        <v>44598</v>
      </c>
      <c r="F11" s="17">
        <f>SUM(F6:F10)</f>
        <v>36959</v>
      </c>
      <c r="G11" s="17">
        <f>SUM(G6:G10)</f>
        <v>173</v>
      </c>
      <c r="H11" s="18">
        <f t="shared" si="0"/>
        <v>4.6808625774506889E-3</v>
      </c>
      <c r="I11" s="18"/>
      <c r="J11" s="17">
        <f>SUM(J6:J10)</f>
        <v>182290</v>
      </c>
      <c r="K11" s="19">
        <f t="shared" si="1"/>
        <v>70.460317030841125</v>
      </c>
      <c r="L11" s="19"/>
      <c r="M11" s="19">
        <f>IFERROR(SUMPRODUCT($F6:$F10,M6:M10)/$F11, 0)</f>
        <v>65.325820503801509</v>
      </c>
      <c r="N11" s="19">
        <f t="shared" si="2"/>
        <v>5.1344965270396159</v>
      </c>
      <c r="O11" s="19">
        <f>IFERROR(SUMPRODUCT($E6:$E10,O6:O10)/$E11, 0)</f>
        <v>310.89048836270683</v>
      </c>
      <c r="P11" s="19">
        <f>IFERROR(SUMPRODUCT($E6:$E10,P6:P10)/$E11, 0)</f>
        <v>54.986546481905016</v>
      </c>
      <c r="Q11" s="19">
        <f>IFERROR(SUMPRODUCT($E6:$E10,Q6:Q10)/$E11, 0)</f>
        <v>255.90394188080182</v>
      </c>
      <c r="R11" s="17">
        <f>SUM(R6:R10)</f>
        <v>33284</v>
      </c>
      <c r="S11" s="19">
        <f>IFERROR(R11/D11/$F11*1000,0)</f>
        <v>128.65221307008153</v>
      </c>
      <c r="T11" s="20">
        <f t="shared" si="3"/>
        <v>5.4768056723951446</v>
      </c>
      <c r="U11" s="17">
        <f>SUM(U6:U10)</f>
        <v>10080</v>
      </c>
      <c r="V11" s="19">
        <f>IFERROR(U11/D11/$F11*1000,0)</f>
        <v>38.962093130225384</v>
      </c>
      <c r="W11" s="19">
        <f t="shared" si="4"/>
        <v>0.30284821535873091</v>
      </c>
      <c r="X11" s="19">
        <f>IFERROR(SUMPRODUCT(R6:R10,X6:X10)/R11,0)</f>
        <v>339.31351288477714</v>
      </c>
      <c r="Y11" s="19">
        <f>IFERROR(($F11*S11)/($F11*K11)*100,0)</f>
        <v>182.58818366339352</v>
      </c>
      <c r="Z11" s="19">
        <f t="shared" si="5"/>
        <v>61.954638010076934</v>
      </c>
      <c r="AA11" s="17"/>
      <c r="AB11" s="21">
        <f>IFERROR(SUMPRODUCT($F6:$F10,AB6:AB10)/$F11,0)</f>
        <v>0.91124194960103599</v>
      </c>
      <c r="AC11" s="19"/>
      <c r="AD11" s="21">
        <f>AVERAGE(AD6:AD10)</f>
        <v>0</v>
      </c>
      <c r="AE11" s="19"/>
      <c r="AF11" s="19"/>
      <c r="AG11" s="17">
        <f>SUM(AG6:AG10)</f>
        <v>-9306.3900000000012</v>
      </c>
      <c r="AH11" s="17">
        <f>SUM(AH6:AH10)</f>
        <v>0</v>
      </c>
      <c r="AI11" s="17">
        <f>IFERROR(SUMPRODUCT(AH6:AH10,AI6:AI10)/AH11, 0)</f>
        <v>0</v>
      </c>
      <c r="AJ11" s="19">
        <f>AVERAGE(AJ6:AJ10)</f>
        <v>0</v>
      </c>
      <c r="AK11" s="19">
        <f>AVERAGE(AK6:AK10)</f>
        <v>0</v>
      </c>
      <c r="AL11" s="19">
        <f>AVERAGE(AL6:AL10)</f>
        <v>0</v>
      </c>
      <c r="AM11" s="19">
        <f>AVERAGE(AM6:AM10)</f>
        <v>0</v>
      </c>
      <c r="AN11" s="19">
        <f>AVERAGE(AN6:AN10)</f>
        <v>0</v>
      </c>
      <c r="AO11" s="20"/>
      <c r="AP11" s="19"/>
      <c r="AQ11" s="17"/>
      <c r="AR11" s="17"/>
      <c r="AS11" s="17"/>
      <c r="AT11" s="17"/>
    </row>
    <row r="13" spans="1:46" x14ac:dyDescent="0.3">
      <c r="A13" s="4" t="s">
        <v>57</v>
      </c>
      <c r="B13" s="4">
        <v>101</v>
      </c>
      <c r="C13" s="6">
        <v>38</v>
      </c>
      <c r="D13" s="6">
        <v>7</v>
      </c>
      <c r="E13" s="6">
        <v>3499</v>
      </c>
      <c r="F13" s="6">
        <v>3499</v>
      </c>
      <c r="G13" s="6">
        <v>21</v>
      </c>
      <c r="H13" s="8">
        <f t="shared" ref="H13:H28" si="6">IFERROR(G13/F13,0)</f>
        <v>6.0017147756501856E-3</v>
      </c>
      <c r="I13" s="8">
        <f>IFERROR((3499-F13)/3499,0)</f>
        <v>0</v>
      </c>
      <c r="J13" s="6">
        <v>14070</v>
      </c>
      <c r="K13" s="10">
        <f t="shared" ref="K13:K28" si="7">IFERROR(J13/D13/F13*100,0)</f>
        <v>57.444984281223213</v>
      </c>
      <c r="L13" s="10">
        <f>K13-53.0032</f>
        <v>4.4417842812232138</v>
      </c>
      <c r="M13" s="10">
        <v>0</v>
      </c>
      <c r="N13" s="10">
        <f t="shared" ref="N13:N28" si="8">K13-M13</f>
        <v>57.444984281223213</v>
      </c>
      <c r="O13" s="10">
        <f>IFERROR(29620/3499,0)</f>
        <v>8.4652757930837375</v>
      </c>
      <c r="P13" s="10">
        <v>0</v>
      </c>
      <c r="Q13" s="10">
        <f t="shared" ref="Q13:Q27" si="9">IFERROR(O13-P13,0)</f>
        <v>8.4652757930837375</v>
      </c>
      <c r="R13" s="6">
        <v>2390</v>
      </c>
      <c r="S13" s="10">
        <f t="shared" ref="S13:S27" si="10">IFERROR(R13/D13/F13*1000,0)</f>
        <v>97.57890009390438</v>
      </c>
      <c r="T13" s="12">
        <f t="shared" ref="T13:T28" si="11">IFERROR(J13/R13,0)</f>
        <v>5.8870292887029292</v>
      </c>
      <c r="U13" s="6">
        <v>4550</v>
      </c>
      <c r="V13" s="10">
        <f t="shared" ref="V13:V27" si="12">IFERROR(U13/D13/F13*1000,0)</f>
        <v>185.76736210345811</v>
      </c>
      <c r="W13" s="10">
        <f t="shared" ref="W13:W28" si="13">IFERROR(V13/S13,0)</f>
        <v>1.903765690376569</v>
      </c>
      <c r="X13" s="10">
        <v>286.86</v>
      </c>
      <c r="Y13" s="10">
        <f t="shared" ref="Y13:Y27" si="14">IFERROR((F13*S13)/(F13*K13)*100,0)</f>
        <v>169.86496090973699</v>
      </c>
      <c r="Z13" s="10">
        <f t="shared" ref="Z13:Z28" si="15">IFERROR(Y13*X13/1000,0)</f>
        <v>48.727462686567158</v>
      </c>
      <c r="AA13" s="6">
        <v>0</v>
      </c>
      <c r="AB13" s="14">
        <f>IFERROR(AA13/0,0)</f>
        <v>0</v>
      </c>
      <c r="AC13" s="10">
        <v>0</v>
      </c>
      <c r="AD13" s="14">
        <f>IFERROR(AC13/0,0)</f>
        <v>0</v>
      </c>
      <c r="AE13" s="10">
        <v>14</v>
      </c>
      <c r="AF13" s="10">
        <v>26</v>
      </c>
      <c r="AG13" s="6">
        <f t="shared" ref="AG13:AG27" si="16">IF(M13=0,0,IFERROR(N13/100*7*F13,0))</f>
        <v>0</v>
      </c>
      <c r="AH13" s="6">
        <v>0</v>
      </c>
      <c r="AI13" s="6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2">
        <f>IFERROR(0/F13,0)</f>
        <v>0</v>
      </c>
      <c r="AP13" s="10">
        <v>0</v>
      </c>
      <c r="AQ13" s="6"/>
      <c r="AR13" s="6"/>
      <c r="AS13" s="6">
        <v>0</v>
      </c>
      <c r="AT13" s="6"/>
    </row>
    <row r="14" spans="1:46" x14ac:dyDescent="0.3">
      <c r="A14" s="5" t="s">
        <v>58</v>
      </c>
      <c r="B14" s="5">
        <v>61</v>
      </c>
      <c r="C14" s="7"/>
      <c r="D14" s="7">
        <v>7</v>
      </c>
      <c r="E14" s="7">
        <v>10225</v>
      </c>
      <c r="F14" s="7">
        <v>7038</v>
      </c>
      <c r="G14" s="7">
        <v>72</v>
      </c>
      <c r="H14" s="9">
        <f t="shared" si="6"/>
        <v>1.0230179028132993E-2</v>
      </c>
      <c r="I14" s="9">
        <f>IFERROR((10225-F14)/10225,0)</f>
        <v>0.31168704156479216</v>
      </c>
      <c r="J14" s="7">
        <v>36330</v>
      </c>
      <c r="K14" s="11">
        <f t="shared" si="7"/>
        <v>73.742540494458652</v>
      </c>
      <c r="L14" s="11">
        <f>K14-73.5584</f>
        <v>0.18414049445864578</v>
      </c>
      <c r="M14" s="11">
        <v>85</v>
      </c>
      <c r="N14" s="11">
        <f t="shared" si="8"/>
        <v>-11.257459505541348</v>
      </c>
      <c r="O14" s="11">
        <f>IFERROR(2078160/10225,0)</f>
        <v>203.24303178484107</v>
      </c>
      <c r="P14" s="11">
        <v>258</v>
      </c>
      <c r="Q14" s="11">
        <f t="shared" si="9"/>
        <v>-54.756968215158935</v>
      </c>
      <c r="R14" s="7">
        <v>6830</v>
      </c>
      <c r="S14" s="11">
        <f t="shared" si="10"/>
        <v>138.63516421061178</v>
      </c>
      <c r="T14" s="13">
        <f t="shared" si="11"/>
        <v>5.3191800878477302</v>
      </c>
      <c r="U14" s="7">
        <v>11930</v>
      </c>
      <c r="V14" s="11">
        <f t="shared" si="12"/>
        <v>242.15483294767182</v>
      </c>
      <c r="W14" s="11">
        <f t="shared" si="13"/>
        <v>1.746705710102489</v>
      </c>
      <c r="X14" s="11">
        <v>286.66142857139999</v>
      </c>
      <c r="Y14" s="11">
        <f t="shared" si="14"/>
        <v>187.99889898155791</v>
      </c>
      <c r="Z14" s="11">
        <f t="shared" si="15"/>
        <v>53.892032951903701</v>
      </c>
      <c r="AA14" s="7">
        <v>2020</v>
      </c>
      <c r="AB14" s="15">
        <f>IFERROR(AA14/1960,0)</f>
        <v>1.0306122448979591</v>
      </c>
      <c r="AC14" s="11">
        <v>0</v>
      </c>
      <c r="AD14" s="15">
        <f>IFERROR(AC14/63.8,0)</f>
        <v>0</v>
      </c>
      <c r="AE14" s="11">
        <v>14</v>
      </c>
      <c r="AF14" s="11">
        <v>26</v>
      </c>
      <c r="AG14" s="7">
        <f t="shared" si="16"/>
        <v>-5546.1</v>
      </c>
      <c r="AH14" s="7">
        <v>0</v>
      </c>
      <c r="AI14" s="7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3">
        <f>IFERROR(0/F14,0)</f>
        <v>0</v>
      </c>
      <c r="AP14" s="11">
        <v>0</v>
      </c>
      <c r="AQ14" s="7"/>
      <c r="AR14" s="7"/>
      <c r="AS14" s="7">
        <v>0</v>
      </c>
      <c r="AT14" s="7"/>
    </row>
    <row r="15" spans="1:46" x14ac:dyDescent="0.3">
      <c r="A15" s="5" t="s">
        <v>59</v>
      </c>
      <c r="B15" s="5">
        <v>89</v>
      </c>
      <c r="C15" s="7"/>
      <c r="D15" s="7">
        <v>7</v>
      </c>
      <c r="E15" s="7">
        <v>56050</v>
      </c>
      <c r="F15" s="7">
        <v>52718</v>
      </c>
      <c r="G15" s="7">
        <v>449</v>
      </c>
      <c r="H15" s="9">
        <f t="shared" si="6"/>
        <v>8.5170150612693951E-3</v>
      </c>
      <c r="I15" s="9">
        <f>IFERROR((56050-F15)/56050,0)</f>
        <v>5.9446922390722572E-2</v>
      </c>
      <c r="J15" s="7">
        <v>930</v>
      </c>
      <c r="K15" s="11">
        <f t="shared" si="7"/>
        <v>0.25201476318741772</v>
      </c>
      <c r="L15" s="11">
        <f>K15-42.8896</f>
        <v>-42.637585236812583</v>
      </c>
      <c r="M15" s="11">
        <v>82.1</v>
      </c>
      <c r="N15" s="11">
        <f t="shared" si="8"/>
        <v>-81.847985236812576</v>
      </c>
      <c r="O15" s="11">
        <f>IFERROR(22735151/56050,0)</f>
        <v>405.62267618198035</v>
      </c>
      <c r="P15" s="11">
        <v>420</v>
      </c>
      <c r="Q15" s="11">
        <f t="shared" si="9"/>
        <v>-14.377323818019647</v>
      </c>
      <c r="R15" s="7">
        <v>17190</v>
      </c>
      <c r="S15" s="11">
        <f t="shared" si="10"/>
        <v>46.582083647222689</v>
      </c>
      <c r="T15" s="13">
        <f t="shared" si="11"/>
        <v>5.4101221640488653E-2</v>
      </c>
      <c r="U15" s="7">
        <v>18100</v>
      </c>
      <c r="V15" s="11">
        <f t="shared" si="12"/>
        <v>49.048034555830753</v>
      </c>
      <c r="W15" s="11">
        <f t="shared" si="13"/>
        <v>1.0529377545084351</v>
      </c>
      <c r="X15" s="11">
        <v>288.98</v>
      </c>
      <c r="Y15" s="11">
        <f t="shared" si="14"/>
        <v>18483.870967741932</v>
      </c>
      <c r="Z15" s="11">
        <f t="shared" si="15"/>
        <v>5341.4690322580636</v>
      </c>
      <c r="AA15" s="7">
        <v>0</v>
      </c>
      <c r="AB15" s="15">
        <f>IFERROR(AA15/1725,0)</f>
        <v>0</v>
      </c>
      <c r="AC15" s="11">
        <v>0</v>
      </c>
      <c r="AD15" s="15">
        <f>IFERROR(AC15/65.55,0)</f>
        <v>0</v>
      </c>
      <c r="AE15" s="11">
        <v>20</v>
      </c>
      <c r="AF15" s="11">
        <v>25</v>
      </c>
      <c r="AG15" s="7">
        <f t="shared" si="16"/>
        <v>-302040.34599999996</v>
      </c>
      <c r="AH15" s="7">
        <v>5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60</v>
      </c>
      <c r="B16" s="5">
        <v>82</v>
      </c>
      <c r="C16" s="7">
        <v>9</v>
      </c>
      <c r="D16" s="7">
        <v>7</v>
      </c>
      <c r="E16" s="7">
        <v>51536</v>
      </c>
      <c r="F16" s="7">
        <v>47834</v>
      </c>
      <c r="G16" s="7">
        <v>88</v>
      </c>
      <c r="H16" s="9">
        <f t="shared" si="6"/>
        <v>1.8396956139984113E-3</v>
      </c>
      <c r="I16" s="9">
        <f>IFERROR((51536-F16)/51536,0)</f>
        <v>7.1833281589568462E-2</v>
      </c>
      <c r="J16" s="7">
        <v>294600</v>
      </c>
      <c r="K16" s="11">
        <f t="shared" si="7"/>
        <v>87.982845435703226</v>
      </c>
      <c r="L16" s="11">
        <f>K16-84.1812</f>
        <v>3.8016454357032217</v>
      </c>
      <c r="M16" s="11">
        <v>81</v>
      </c>
      <c r="N16" s="11">
        <f t="shared" si="8"/>
        <v>6.9828454357032257</v>
      </c>
      <c r="O16" s="11">
        <f>IFERROR(17884362/51536,0)</f>
        <v>347.02658335920523</v>
      </c>
      <c r="P16" s="11">
        <v>0</v>
      </c>
      <c r="Q16" s="11">
        <f t="shared" si="9"/>
        <v>347.02658335920523</v>
      </c>
      <c r="R16" s="7">
        <v>40860</v>
      </c>
      <c r="S16" s="11">
        <f t="shared" si="10"/>
        <v>122.02916037008941</v>
      </c>
      <c r="T16" s="13">
        <f t="shared" si="11"/>
        <v>7.2099853157121876</v>
      </c>
      <c r="U16" s="7">
        <v>74352</v>
      </c>
      <c r="V16" s="11">
        <f t="shared" si="12"/>
        <v>222.05364982469138</v>
      </c>
      <c r="W16" s="11">
        <f t="shared" si="13"/>
        <v>1.8196769456681354</v>
      </c>
      <c r="X16" s="11">
        <v>298.95571428570003</v>
      </c>
      <c r="Y16" s="11">
        <f t="shared" si="14"/>
        <v>138.69653767820776</v>
      </c>
      <c r="Z16" s="11">
        <f t="shared" si="15"/>
        <v>41.46412249054211</v>
      </c>
      <c r="AA16" s="7">
        <v>1704</v>
      </c>
      <c r="AB16" s="15">
        <f>IFERROR(AA16/1725,0)</f>
        <v>0.98782608695652174</v>
      </c>
      <c r="AC16" s="11">
        <v>0</v>
      </c>
      <c r="AD16" s="15">
        <f>IFERROR(AC16/64.25,0)</f>
        <v>0</v>
      </c>
      <c r="AE16" s="11">
        <v>23</v>
      </c>
      <c r="AF16" s="11">
        <v>26</v>
      </c>
      <c r="AG16" s="7">
        <f t="shared" si="16"/>
        <v>23381.219999999968</v>
      </c>
      <c r="AH16" s="7">
        <v>88</v>
      </c>
      <c r="AI16" s="7">
        <v>6.5909090909000003</v>
      </c>
      <c r="AJ16" s="11">
        <v>16</v>
      </c>
      <c r="AK16" s="11">
        <v>16</v>
      </c>
      <c r="AL16" s="11">
        <v>0</v>
      </c>
      <c r="AM16" s="11">
        <v>0</v>
      </c>
      <c r="AN16" s="11">
        <v>0</v>
      </c>
      <c r="AO16" s="13">
        <f>IFERROR(150/F16,0)</f>
        <v>3.1358447965882008E-3</v>
      </c>
      <c r="AP16" s="11">
        <v>1500</v>
      </c>
      <c r="AQ16" s="7"/>
      <c r="AR16" s="7"/>
      <c r="AS16" s="7">
        <v>14</v>
      </c>
      <c r="AT16" s="7"/>
    </row>
    <row r="17" spans="1:46" x14ac:dyDescent="0.3">
      <c r="A17" s="5" t="s">
        <v>61</v>
      </c>
      <c r="B17" s="5">
        <v>29</v>
      </c>
      <c r="C17" s="7"/>
      <c r="D17" s="7">
        <v>7</v>
      </c>
      <c r="E17" s="7">
        <v>49067</v>
      </c>
      <c r="F17" s="7">
        <v>47747</v>
      </c>
      <c r="G17" s="7">
        <v>180</v>
      </c>
      <c r="H17" s="9">
        <f t="shared" si="6"/>
        <v>3.7698703583471213E-3</v>
      </c>
      <c r="I17" s="9">
        <f>IFERROR((49067-F17)/49067,0)</f>
        <v>2.6901991154951392E-2</v>
      </c>
      <c r="J17" s="7">
        <v>317940</v>
      </c>
      <c r="K17" s="11">
        <f t="shared" si="7"/>
        <v>95.126395375625691</v>
      </c>
      <c r="L17" s="11">
        <f>K17-93.1536</f>
        <v>1.9727953756256937</v>
      </c>
      <c r="M17" s="11">
        <v>95.95</v>
      </c>
      <c r="N17" s="11">
        <f t="shared" si="8"/>
        <v>-0.82360462437431181</v>
      </c>
      <c r="O17" s="11">
        <f>IFERROR(2926430/49067,0)</f>
        <v>59.641510587563943</v>
      </c>
      <c r="P17" s="11">
        <v>59</v>
      </c>
      <c r="Q17" s="11">
        <f t="shared" si="9"/>
        <v>0.64151058756394264</v>
      </c>
      <c r="R17" s="7">
        <v>38340</v>
      </c>
      <c r="S17" s="11">
        <f t="shared" si="10"/>
        <v>114.71176947541954</v>
      </c>
      <c r="T17" s="13">
        <f t="shared" si="11"/>
        <v>8.2926447574334894</v>
      </c>
      <c r="U17" s="7">
        <v>62060</v>
      </c>
      <c r="V17" s="11">
        <f t="shared" si="12"/>
        <v>185.68107495160504</v>
      </c>
      <c r="W17" s="11">
        <f t="shared" si="13"/>
        <v>1.6186750130412102</v>
      </c>
      <c r="X17" s="11">
        <v>302.77571428570002</v>
      </c>
      <c r="Y17" s="11">
        <f t="shared" si="14"/>
        <v>120.58879033779959</v>
      </c>
      <c r="Z17" s="11">
        <f t="shared" si="15"/>
        <v>36.511357129375796</v>
      </c>
      <c r="AA17" s="7">
        <v>1559</v>
      </c>
      <c r="AB17" s="15">
        <f>IFERROR(AA17/1640,0)</f>
        <v>0.95060975609756093</v>
      </c>
      <c r="AC17" s="11">
        <v>0</v>
      </c>
      <c r="AD17" s="15">
        <f>IFERROR(AC17/58.25,0)</f>
        <v>0</v>
      </c>
      <c r="AE17" s="11">
        <v>22</v>
      </c>
      <c r="AF17" s="11">
        <v>26</v>
      </c>
      <c r="AG17" s="7">
        <f t="shared" si="16"/>
        <v>-2752.7255000000187</v>
      </c>
      <c r="AH17" s="7">
        <v>64</v>
      </c>
      <c r="AI17" s="7">
        <v>6.875</v>
      </c>
      <c r="AJ17" s="11">
        <v>8</v>
      </c>
      <c r="AK17" s="11">
        <v>8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1500</v>
      </c>
      <c r="AQ17" s="7"/>
      <c r="AR17" s="7"/>
      <c r="AS17" s="7">
        <v>14</v>
      </c>
      <c r="AT17" s="7"/>
    </row>
    <row r="18" spans="1:46" x14ac:dyDescent="0.3">
      <c r="A18" s="5" t="s">
        <v>62</v>
      </c>
      <c r="B18" s="5">
        <v>61</v>
      </c>
      <c r="C18" s="7"/>
      <c r="D18" s="7">
        <v>7</v>
      </c>
      <c r="E18" s="7">
        <v>52424</v>
      </c>
      <c r="F18" s="7">
        <v>42847</v>
      </c>
      <c r="G18" s="7">
        <v>422</v>
      </c>
      <c r="H18" s="9">
        <f t="shared" si="6"/>
        <v>9.8489975960977423E-3</v>
      </c>
      <c r="I18" s="9">
        <f>IFERROR((52424-F18)/52424,0)</f>
        <v>0.18268350373874562</v>
      </c>
      <c r="J18" s="7">
        <v>266080</v>
      </c>
      <c r="K18" s="11">
        <f t="shared" si="7"/>
        <v>88.714329057877023</v>
      </c>
      <c r="L18" s="11">
        <f>K18-82.5797</f>
        <v>6.1346290578770208</v>
      </c>
      <c r="M18" s="11">
        <v>91.05</v>
      </c>
      <c r="N18" s="11">
        <f t="shared" si="8"/>
        <v>-2.3356709421229738</v>
      </c>
      <c r="O18" s="11">
        <f>IFERROR(12628780/52424,0)</f>
        <v>240.89691744239281</v>
      </c>
      <c r="P18" s="11">
        <v>257</v>
      </c>
      <c r="Q18" s="11">
        <f t="shared" si="9"/>
        <v>-16.103082557607195</v>
      </c>
      <c r="R18" s="7">
        <v>34814</v>
      </c>
      <c r="S18" s="11">
        <f t="shared" si="10"/>
        <v>116.07413754588586</v>
      </c>
      <c r="T18" s="13">
        <f t="shared" si="11"/>
        <v>7.6429022806916755</v>
      </c>
      <c r="U18" s="7">
        <v>48464</v>
      </c>
      <c r="V18" s="11">
        <f t="shared" si="12"/>
        <v>161.58490842832805</v>
      </c>
      <c r="W18" s="11">
        <f t="shared" si="13"/>
        <v>1.3920836445108291</v>
      </c>
      <c r="X18" s="11">
        <v>291.75428571430001</v>
      </c>
      <c r="Y18" s="11">
        <f t="shared" si="14"/>
        <v>130.84034876728805</v>
      </c>
      <c r="Z18" s="11">
        <f t="shared" si="15"/>
        <v>38.173232497210016</v>
      </c>
      <c r="AA18" s="7">
        <v>0</v>
      </c>
      <c r="AB18" s="15">
        <f>IFERROR(AA18/1725,0)</f>
        <v>0</v>
      </c>
      <c r="AC18" s="11">
        <v>0</v>
      </c>
      <c r="AD18" s="15">
        <f>IFERROR(AC18/63.7,0)</f>
        <v>0</v>
      </c>
      <c r="AE18" s="11">
        <v>22</v>
      </c>
      <c r="AF18" s="11">
        <v>26</v>
      </c>
      <c r="AG18" s="7">
        <f t="shared" si="16"/>
        <v>-7005.354500000014</v>
      </c>
      <c r="AH18" s="7">
        <v>58</v>
      </c>
      <c r="AI18" s="7">
        <v>11.3793103448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>
        <f>IFERROR(1200/F18,0)</f>
        <v>2.8006628235349034E-2</v>
      </c>
      <c r="AP18" s="11">
        <v>0</v>
      </c>
      <c r="AQ18" s="7"/>
      <c r="AR18" s="7"/>
      <c r="AS18" s="7">
        <v>0</v>
      </c>
      <c r="AT18" s="7"/>
    </row>
    <row r="19" spans="1:46" x14ac:dyDescent="0.3">
      <c r="A19" s="5" t="s">
        <v>63</v>
      </c>
      <c r="B19" s="5">
        <v>51</v>
      </c>
      <c r="C19" s="7"/>
      <c r="D19" s="7">
        <v>7</v>
      </c>
      <c r="E19" s="7">
        <v>50525</v>
      </c>
      <c r="F19" s="7">
        <v>45954</v>
      </c>
      <c r="G19" s="7">
        <v>198</v>
      </c>
      <c r="H19" s="9">
        <f t="shared" si="6"/>
        <v>4.3086564825695261E-3</v>
      </c>
      <c r="I19" s="9">
        <f>IFERROR((50525-F19)/50525,0)</f>
        <v>9.0470064324591787E-2</v>
      </c>
      <c r="J19" s="7">
        <v>281180</v>
      </c>
      <c r="K19" s="11">
        <f t="shared" si="7"/>
        <v>87.410391758217841</v>
      </c>
      <c r="L19" s="11">
        <f>K19-88.0321</f>
        <v>-0.62170824178215867</v>
      </c>
      <c r="M19" s="11">
        <v>90</v>
      </c>
      <c r="N19" s="11">
        <f t="shared" si="8"/>
        <v>-2.5896082417821589</v>
      </c>
      <c r="O19" s="11">
        <f>IFERROR(9396110/50525,0)</f>
        <v>185.96952003958435</v>
      </c>
      <c r="P19" s="11">
        <v>202</v>
      </c>
      <c r="Q19" s="11">
        <f t="shared" si="9"/>
        <v>-16.030479960415647</v>
      </c>
      <c r="R19" s="7">
        <v>36663</v>
      </c>
      <c r="S19" s="11">
        <f t="shared" si="10"/>
        <v>113.97422266987483</v>
      </c>
      <c r="T19" s="13">
        <f t="shared" si="11"/>
        <v>7.6693123857840328</v>
      </c>
      <c r="U19" s="7">
        <v>64344</v>
      </c>
      <c r="V19" s="11">
        <f t="shared" si="12"/>
        <v>200.02611306959133</v>
      </c>
      <c r="W19" s="11">
        <f t="shared" si="13"/>
        <v>1.7550118648228461</v>
      </c>
      <c r="X19" s="11">
        <v>310.12571428569998</v>
      </c>
      <c r="Y19" s="11">
        <f t="shared" si="14"/>
        <v>130.38978590226898</v>
      </c>
      <c r="Z19" s="11">
        <f t="shared" si="15"/>
        <v>40.437225488500665</v>
      </c>
      <c r="AA19" s="7">
        <v>1672</v>
      </c>
      <c r="AB19" s="15">
        <f>IFERROR(AA19/1580,0)</f>
        <v>1.0582278481012659</v>
      </c>
      <c r="AC19" s="11">
        <v>61.13</v>
      </c>
      <c r="AD19" s="15">
        <f>IFERROR(AC19/62.4,0)</f>
        <v>0.97964743589743597</v>
      </c>
      <c r="AE19" s="11">
        <v>21</v>
      </c>
      <c r="AF19" s="11">
        <v>26</v>
      </c>
      <c r="AG19" s="7">
        <f t="shared" si="16"/>
        <v>-8330.2000000000116</v>
      </c>
      <c r="AH19" s="7">
        <v>61</v>
      </c>
      <c r="AI19" s="7">
        <v>11.147540983600001</v>
      </c>
      <c r="AJ19" s="11">
        <v>9</v>
      </c>
      <c r="AK19" s="11">
        <v>11</v>
      </c>
      <c r="AL19" s="11">
        <v>0</v>
      </c>
      <c r="AM19" s="11">
        <v>0</v>
      </c>
      <c r="AN19" s="11">
        <v>0</v>
      </c>
      <c r="AO19" s="13">
        <f>IFERROR(1200/F19,0)</f>
        <v>2.6113069591330459E-2</v>
      </c>
      <c r="AP19" s="11">
        <v>1800</v>
      </c>
      <c r="AQ19" s="7"/>
      <c r="AR19" s="7"/>
      <c r="AS19" s="7">
        <v>14.45</v>
      </c>
      <c r="AT19" s="7"/>
    </row>
    <row r="20" spans="1:46" x14ac:dyDescent="0.3">
      <c r="A20" s="5" t="s">
        <v>64</v>
      </c>
      <c r="B20" s="5">
        <v>70</v>
      </c>
      <c r="C20" s="7"/>
      <c r="D20" s="7">
        <v>7</v>
      </c>
      <c r="E20" s="7">
        <v>50845</v>
      </c>
      <c r="F20" s="7">
        <v>46624</v>
      </c>
      <c r="G20" s="7">
        <v>150</v>
      </c>
      <c r="H20" s="9">
        <f t="shared" si="6"/>
        <v>3.2172271791352093E-3</v>
      </c>
      <c r="I20" s="9">
        <f>IFERROR((50845-F20)/50845,0)</f>
        <v>8.3017012488936962E-2</v>
      </c>
      <c r="J20" s="7">
        <v>287300</v>
      </c>
      <c r="K20" s="11">
        <f t="shared" si="7"/>
        <v>88.029463672909117</v>
      </c>
      <c r="L20" s="11">
        <f>K20-86.0857</f>
        <v>1.9437636729091139</v>
      </c>
      <c r="M20" s="11">
        <v>88.4</v>
      </c>
      <c r="N20" s="11">
        <f t="shared" si="8"/>
        <v>-0.37053632709088902</v>
      </c>
      <c r="O20" s="11">
        <f>IFERROR(15760350/50845,0)</f>
        <v>309.96853181237094</v>
      </c>
      <c r="P20" s="11">
        <v>316</v>
      </c>
      <c r="Q20" s="11">
        <f t="shared" si="9"/>
        <v>-6.0314681876290592</v>
      </c>
      <c r="R20" s="7">
        <v>39264</v>
      </c>
      <c r="S20" s="11">
        <f t="shared" si="10"/>
        <v>120.30591234434748</v>
      </c>
      <c r="T20" s="13">
        <f t="shared" si="11"/>
        <v>7.3171352893235531</v>
      </c>
      <c r="U20" s="7">
        <v>67500</v>
      </c>
      <c r="V20" s="11">
        <f t="shared" si="12"/>
        <v>206.82174723012062</v>
      </c>
      <c r="W20" s="11">
        <f t="shared" si="13"/>
        <v>1.7191320293398535</v>
      </c>
      <c r="X20" s="11">
        <v>318.95999999999998</v>
      </c>
      <c r="Y20" s="11">
        <f t="shared" si="14"/>
        <v>136.66550643926206</v>
      </c>
      <c r="Z20" s="11">
        <f t="shared" si="15"/>
        <v>43.590829933867028</v>
      </c>
      <c r="AA20" s="7">
        <v>1731</v>
      </c>
      <c r="AB20" s="15">
        <f>IFERROR(AA20/1725,0)</f>
        <v>1.0034782608695652</v>
      </c>
      <c r="AC20" s="11">
        <v>61.72</v>
      </c>
      <c r="AD20" s="15">
        <f>IFERROR(AC20/63.7,0)</f>
        <v>0.96891679748822601</v>
      </c>
      <c r="AE20" s="11">
        <v>22</v>
      </c>
      <c r="AF20" s="11">
        <v>26</v>
      </c>
      <c r="AG20" s="7">
        <f t="shared" si="16"/>
        <v>-1209.3119999999926</v>
      </c>
      <c r="AH20" s="7">
        <v>70</v>
      </c>
      <c r="AI20" s="7">
        <v>9.7142857143000008</v>
      </c>
      <c r="AJ20" s="11">
        <v>14</v>
      </c>
      <c r="AK20" s="11">
        <v>15</v>
      </c>
      <c r="AL20" s="11">
        <v>0</v>
      </c>
      <c r="AM20" s="11">
        <v>0</v>
      </c>
      <c r="AN20" s="11">
        <v>0</v>
      </c>
      <c r="AO20" s="13">
        <f>IFERROR(200/F20,0)</f>
        <v>4.289636238846946E-3</v>
      </c>
      <c r="AP20" s="11">
        <v>1800</v>
      </c>
      <c r="AQ20" s="7"/>
      <c r="AR20" s="7"/>
      <c r="AS20" s="7">
        <v>15</v>
      </c>
      <c r="AT20" s="7"/>
    </row>
    <row r="21" spans="1:46" x14ac:dyDescent="0.3">
      <c r="A21" s="5" t="s">
        <v>65</v>
      </c>
      <c r="B21" s="5">
        <v>37</v>
      </c>
      <c r="C21" s="7"/>
      <c r="D21" s="7">
        <v>7</v>
      </c>
      <c r="E21" s="7">
        <v>21024</v>
      </c>
      <c r="F21" s="7">
        <v>19797</v>
      </c>
      <c r="G21" s="7">
        <v>77</v>
      </c>
      <c r="H21" s="9">
        <f t="shared" si="6"/>
        <v>3.8894782037682475E-3</v>
      </c>
      <c r="I21" s="9">
        <f>IFERROR((21024-F21)/21024,0)</f>
        <v>5.8361872146118723E-2</v>
      </c>
      <c r="J21" s="7">
        <v>93180</v>
      </c>
      <c r="K21" s="11">
        <f t="shared" si="7"/>
        <v>67.239625051414706</v>
      </c>
      <c r="L21" s="11">
        <f>K21-75.4187</f>
        <v>-8.1790749485852956</v>
      </c>
      <c r="M21" s="11">
        <v>93.5</v>
      </c>
      <c r="N21" s="11">
        <f t="shared" si="8"/>
        <v>-26.260374948585294</v>
      </c>
      <c r="O21" s="11">
        <f>IFERROR(1552421/21024,0)</f>
        <v>73.840420471841711</v>
      </c>
      <c r="P21" s="11">
        <v>117</v>
      </c>
      <c r="Q21" s="11">
        <f t="shared" si="9"/>
        <v>-43.159579528158289</v>
      </c>
      <c r="R21" s="7">
        <v>17279</v>
      </c>
      <c r="S21" s="11">
        <f t="shared" si="10"/>
        <v>124.68700163805484</v>
      </c>
      <c r="T21" s="13">
        <f t="shared" si="11"/>
        <v>5.3926731871057356</v>
      </c>
      <c r="U21" s="7">
        <v>22520</v>
      </c>
      <c r="V21" s="11">
        <f t="shared" si="12"/>
        <v>162.50658469176426</v>
      </c>
      <c r="W21" s="11">
        <f t="shared" si="13"/>
        <v>1.3033161641298685</v>
      </c>
      <c r="X21" s="11">
        <v>287.06</v>
      </c>
      <c r="Y21" s="11">
        <f t="shared" si="14"/>
        <v>185.43678901051734</v>
      </c>
      <c r="Z21" s="11">
        <f t="shared" si="15"/>
        <v>53.231484653359111</v>
      </c>
      <c r="AA21" s="7">
        <v>1950</v>
      </c>
      <c r="AB21" s="15">
        <f>IFERROR(AA21/1920,0)</f>
        <v>1.015625</v>
      </c>
      <c r="AC21" s="11">
        <v>0</v>
      </c>
      <c r="AD21" s="15">
        <f>IFERROR(AC21/62,0)</f>
        <v>0</v>
      </c>
      <c r="AE21" s="11">
        <v>20</v>
      </c>
      <c r="AF21" s="11">
        <v>26</v>
      </c>
      <c r="AG21" s="7">
        <f t="shared" si="16"/>
        <v>-36391.36500000002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61</v>
      </c>
      <c r="C22" s="7"/>
      <c r="D22" s="7">
        <v>7</v>
      </c>
      <c r="E22" s="7">
        <v>21875</v>
      </c>
      <c r="F22" s="7">
        <v>20215</v>
      </c>
      <c r="G22" s="7">
        <v>61</v>
      </c>
      <c r="H22" s="9">
        <f t="shared" si="6"/>
        <v>3.0175612169181299E-3</v>
      </c>
      <c r="I22" s="9">
        <f>IFERROR((21875-F22)/21875,0)</f>
        <v>7.5885714285714292E-2</v>
      </c>
      <c r="J22" s="7">
        <v>123060</v>
      </c>
      <c r="K22" s="11">
        <f t="shared" si="7"/>
        <v>86.965124907247088</v>
      </c>
      <c r="L22" s="11">
        <f>K22-88.1126</f>
        <v>-1.1474750927529129</v>
      </c>
      <c r="M22" s="11">
        <v>85</v>
      </c>
      <c r="N22" s="11">
        <f t="shared" si="8"/>
        <v>1.9651249072470875</v>
      </c>
      <c r="O22" s="11">
        <f>IFERROR(5884040/21875,0)</f>
        <v>268.98468571428572</v>
      </c>
      <c r="P22" s="11">
        <v>258</v>
      </c>
      <c r="Q22" s="11">
        <f t="shared" si="9"/>
        <v>10.984685714285717</v>
      </c>
      <c r="R22" s="7">
        <v>15490</v>
      </c>
      <c r="S22" s="11">
        <f t="shared" si="10"/>
        <v>109.46609660436026</v>
      </c>
      <c r="T22" s="13">
        <f t="shared" si="11"/>
        <v>7.9444803098773402</v>
      </c>
      <c r="U22" s="7">
        <v>24231</v>
      </c>
      <c r="V22" s="11">
        <f t="shared" si="12"/>
        <v>171.2377654499841</v>
      </c>
      <c r="W22" s="11">
        <f t="shared" si="13"/>
        <v>1.5642995480955457</v>
      </c>
      <c r="X22" s="11">
        <v>286.40428571429999</v>
      </c>
      <c r="Y22" s="11">
        <f t="shared" si="14"/>
        <v>125.87355761417196</v>
      </c>
      <c r="Z22" s="11">
        <f t="shared" si="15"/>
        <v>36.05072635880471</v>
      </c>
      <c r="AA22" s="7">
        <v>1937</v>
      </c>
      <c r="AB22" s="15">
        <f>IFERROR(AA22/1960,0)</f>
        <v>0.98826530612244901</v>
      </c>
      <c r="AC22" s="11">
        <v>65.53</v>
      </c>
      <c r="AD22" s="15">
        <f>IFERROR(AC22/63.8,0)</f>
        <v>1.0271159874608151</v>
      </c>
      <c r="AE22" s="11">
        <v>22</v>
      </c>
      <c r="AF22" s="11">
        <v>26</v>
      </c>
      <c r="AG22" s="7">
        <f t="shared" si="16"/>
        <v>2780.7499999999914</v>
      </c>
      <c r="AH22" s="7">
        <v>0</v>
      </c>
      <c r="AI22" s="7">
        <v>0</v>
      </c>
      <c r="AJ22" s="11">
        <v>6</v>
      </c>
      <c r="AK22" s="11">
        <v>7</v>
      </c>
      <c r="AL22" s="11">
        <v>0</v>
      </c>
      <c r="AM22" s="11">
        <v>0</v>
      </c>
      <c r="AN22" s="11">
        <v>0</v>
      </c>
      <c r="AO22" s="13">
        <f>IFERROR(510/F22,0)</f>
        <v>2.5228790502102399E-2</v>
      </c>
      <c r="AP22" s="11">
        <v>1800</v>
      </c>
      <c r="AQ22" s="7"/>
      <c r="AR22" s="7"/>
      <c r="AS22" s="7">
        <v>14.45</v>
      </c>
      <c r="AT22" s="7"/>
    </row>
    <row r="23" spans="1:46" x14ac:dyDescent="0.3">
      <c r="A23" s="5" t="s">
        <v>68</v>
      </c>
      <c r="B23" s="5">
        <v>51</v>
      </c>
      <c r="C23" s="7"/>
      <c r="D23" s="7">
        <v>7</v>
      </c>
      <c r="E23" s="7">
        <v>21339</v>
      </c>
      <c r="F23" s="7">
        <v>20185</v>
      </c>
      <c r="G23" s="7">
        <v>62</v>
      </c>
      <c r="H23" s="9">
        <f t="shared" si="6"/>
        <v>3.0715878127322268E-3</v>
      </c>
      <c r="I23" s="9">
        <f>IFERROR((21339-F23)/21339,0)</f>
        <v>5.4079385163315993E-2</v>
      </c>
      <c r="J23" s="7">
        <v>125220</v>
      </c>
      <c r="K23" s="11">
        <f t="shared" si="7"/>
        <v>88.623093527725672</v>
      </c>
      <c r="L23" s="11">
        <f>K23-89.2972</f>
        <v>-0.67410647227433174</v>
      </c>
      <c r="M23" s="11">
        <v>88</v>
      </c>
      <c r="N23" s="11">
        <f t="shared" si="8"/>
        <v>0.62309352772567195</v>
      </c>
      <c r="O23" s="11">
        <f>IFERROR(4169400/21339,0)</f>
        <v>195.38872486995641</v>
      </c>
      <c r="P23" s="11">
        <v>204</v>
      </c>
      <c r="Q23" s="11">
        <f t="shared" si="9"/>
        <v>-8.6112751300435946</v>
      </c>
      <c r="R23" s="7">
        <v>16890</v>
      </c>
      <c r="S23" s="11">
        <f t="shared" si="10"/>
        <v>119.53713861070808</v>
      </c>
      <c r="T23" s="13">
        <f t="shared" si="11"/>
        <v>7.4138543516873892</v>
      </c>
      <c r="U23" s="7">
        <v>35171</v>
      </c>
      <c r="V23" s="11">
        <f t="shared" si="12"/>
        <v>248.91892848296118</v>
      </c>
      <c r="W23" s="11">
        <f t="shared" si="13"/>
        <v>2.0823564239194789</v>
      </c>
      <c r="X23" s="11">
        <v>291.54857142859998</v>
      </c>
      <c r="Y23" s="11">
        <f t="shared" si="14"/>
        <v>134.88260661236225</v>
      </c>
      <c r="Z23" s="11">
        <f t="shared" si="15"/>
        <v>39.324831268400047</v>
      </c>
      <c r="AA23" s="7">
        <v>0</v>
      </c>
      <c r="AB23" s="15">
        <f>IFERROR(AA23/1950,0)</f>
        <v>0</v>
      </c>
      <c r="AC23" s="11">
        <v>0</v>
      </c>
      <c r="AD23" s="15">
        <f>IFERROR(AC23/63.4,0)</f>
        <v>0</v>
      </c>
      <c r="AE23" s="11">
        <v>21</v>
      </c>
      <c r="AF23" s="11">
        <v>26</v>
      </c>
      <c r="AG23" s="7">
        <f t="shared" si="16"/>
        <v>880.39999999998815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IFERROR(420/F23,0)</f>
        <v>2.0807530344315085E-2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69</v>
      </c>
      <c r="B24" s="5">
        <v>38</v>
      </c>
      <c r="C24" s="7"/>
      <c r="D24" s="7">
        <v>7</v>
      </c>
      <c r="E24" s="7">
        <v>64976</v>
      </c>
      <c r="F24" s="7">
        <v>62730</v>
      </c>
      <c r="G24" s="7">
        <v>84</v>
      </c>
      <c r="H24" s="9">
        <f t="shared" si="6"/>
        <v>1.3390722142515542E-3</v>
      </c>
      <c r="I24" s="9">
        <f>IFERROR((64976-F24)/64976,0)</f>
        <v>3.4566609209554296E-2</v>
      </c>
      <c r="J24" s="7">
        <v>426370</v>
      </c>
      <c r="K24" s="11">
        <f t="shared" si="7"/>
        <v>97.098676869121633</v>
      </c>
      <c r="L24" s="11">
        <f>K24-93.9163</f>
        <v>3.1823768691216259</v>
      </c>
      <c r="M24" s="11">
        <v>94</v>
      </c>
      <c r="N24" s="11">
        <f t="shared" si="8"/>
        <v>3.0986768691216326</v>
      </c>
      <c r="O24" s="11">
        <f>IFERROR(7796510/64976,0)</f>
        <v>119.99061191824674</v>
      </c>
      <c r="P24" s="11">
        <v>120</v>
      </c>
      <c r="Q24" s="11">
        <f t="shared" si="9"/>
        <v>-9.3880817532578931E-3</v>
      </c>
      <c r="R24" s="7">
        <v>52530</v>
      </c>
      <c r="S24" s="11">
        <f t="shared" si="10"/>
        <v>119.62833914053427</v>
      </c>
      <c r="T24" s="13">
        <f t="shared" si="11"/>
        <v>8.1166952217780324</v>
      </c>
      <c r="U24" s="7">
        <v>94940</v>
      </c>
      <c r="V24" s="11">
        <f t="shared" si="12"/>
        <v>216.21006126027649</v>
      </c>
      <c r="W24" s="11">
        <f t="shared" si="13"/>
        <v>1.8073481819912431</v>
      </c>
      <c r="X24" s="11">
        <v>295.91285714290001</v>
      </c>
      <c r="Y24" s="11">
        <f t="shared" si="14"/>
        <v>123.20285198301946</v>
      </c>
      <c r="Z24" s="11">
        <f t="shared" si="15"/>
        <v>36.457307938449091</v>
      </c>
      <c r="AA24" s="7">
        <v>1653</v>
      </c>
      <c r="AB24" s="15">
        <f>IFERROR(AA24/1570,0)</f>
        <v>1.0528662420382167</v>
      </c>
      <c r="AC24" s="11">
        <v>0</v>
      </c>
      <c r="AD24" s="15">
        <f>IFERROR(AC24/60.5,0)</f>
        <v>0</v>
      </c>
      <c r="AE24" s="11">
        <v>20</v>
      </c>
      <c r="AF24" s="11">
        <v>26</v>
      </c>
      <c r="AG24" s="7">
        <f t="shared" si="16"/>
        <v>13606.6</v>
      </c>
      <c r="AH24" s="7">
        <v>79</v>
      </c>
      <c r="AI24" s="7">
        <v>6.5822784810000003</v>
      </c>
      <c r="AJ24" s="11">
        <v>14</v>
      </c>
      <c r="AK24" s="11">
        <v>14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1500</v>
      </c>
      <c r="AQ24" s="7"/>
      <c r="AR24" s="7"/>
      <c r="AS24" s="7">
        <v>14</v>
      </c>
      <c r="AT24" s="7"/>
    </row>
    <row r="25" spans="1:46" x14ac:dyDescent="0.3">
      <c r="A25" s="5" t="s">
        <v>70</v>
      </c>
      <c r="B25" s="5">
        <v>109</v>
      </c>
      <c r="C25" s="7">
        <v>37</v>
      </c>
      <c r="D25" s="7">
        <v>7</v>
      </c>
      <c r="E25" s="7">
        <v>47224</v>
      </c>
      <c r="F25" s="7">
        <v>39471</v>
      </c>
      <c r="G25" s="7">
        <v>133</v>
      </c>
      <c r="H25" s="9">
        <f t="shared" si="6"/>
        <v>3.3695624635808569E-3</v>
      </c>
      <c r="I25" s="9">
        <f>IFERROR((47224-F25)/47224,0)</f>
        <v>0.16417499576486533</v>
      </c>
      <c r="J25" s="7">
        <v>156010</v>
      </c>
      <c r="K25" s="11">
        <f t="shared" si="7"/>
        <v>56.46460149766375</v>
      </c>
      <c r="L25" s="11">
        <f>K25-57.2206</f>
        <v>-0.75599850233624721</v>
      </c>
      <c r="M25" s="11">
        <v>69</v>
      </c>
      <c r="N25" s="11">
        <f t="shared" si="8"/>
        <v>-12.53539850233625</v>
      </c>
      <c r="O25" s="11">
        <f>IFERROR(19217670/47224,0)</f>
        <v>406.94710316788075</v>
      </c>
      <c r="P25" s="11">
        <v>0</v>
      </c>
      <c r="Q25" s="11">
        <f t="shared" si="9"/>
        <v>406.94710316788075</v>
      </c>
      <c r="R25" s="7">
        <v>34570</v>
      </c>
      <c r="S25" s="11">
        <f t="shared" si="10"/>
        <v>125.11898428140734</v>
      </c>
      <c r="T25" s="13">
        <f t="shared" si="11"/>
        <v>4.512872432745155</v>
      </c>
      <c r="U25" s="7">
        <v>58200</v>
      </c>
      <c r="V25" s="11">
        <f t="shared" si="12"/>
        <v>210.64289514544129</v>
      </c>
      <c r="W25" s="11">
        <f t="shared" si="13"/>
        <v>1.6835406421752961</v>
      </c>
      <c r="X25" s="11">
        <v>308.60142857139999</v>
      </c>
      <c r="Y25" s="11">
        <f t="shared" si="14"/>
        <v>221.58835972053072</v>
      </c>
      <c r="Z25" s="11">
        <f t="shared" si="15"/>
        <v>68.382484364549043</v>
      </c>
      <c r="AA25" s="7">
        <v>1670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15</v>
      </c>
      <c r="AF25" s="11">
        <v>27</v>
      </c>
      <c r="AG25" s="7">
        <f t="shared" si="16"/>
        <v>-34634.929999999993</v>
      </c>
      <c r="AH25" s="7">
        <v>104</v>
      </c>
      <c r="AI25" s="7">
        <v>14.1346153846</v>
      </c>
      <c r="AJ25" s="11">
        <v>24</v>
      </c>
      <c r="AK25" s="11">
        <v>0</v>
      </c>
      <c r="AL25" s="11">
        <v>0</v>
      </c>
      <c r="AM25" s="11">
        <v>0</v>
      </c>
      <c r="AN25" s="11">
        <v>0</v>
      </c>
      <c r="AO25" s="13">
        <f>IFERROR(1400/F25,0)</f>
        <v>3.5469078564009021E-2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71</v>
      </c>
      <c r="B26" s="5">
        <v>29</v>
      </c>
      <c r="C26" s="7"/>
      <c r="D26" s="7">
        <v>7</v>
      </c>
      <c r="E26" s="7">
        <v>24546</v>
      </c>
      <c r="F26" s="7">
        <v>23765</v>
      </c>
      <c r="G26" s="7">
        <v>151</v>
      </c>
      <c r="H26" s="9">
        <f t="shared" si="6"/>
        <v>6.353881758889123E-3</v>
      </c>
      <c r="I26" s="9">
        <f>IFERROR((24546-F26)/24546,0)</f>
        <v>3.181781145604172E-2</v>
      </c>
      <c r="J26" s="7">
        <v>149020</v>
      </c>
      <c r="K26" s="11">
        <f t="shared" si="7"/>
        <v>89.579513690601416</v>
      </c>
      <c r="L26" s="11">
        <f>K26-90.8656</f>
        <v>-1.2860863093985841</v>
      </c>
      <c r="M26" s="11">
        <v>96</v>
      </c>
      <c r="N26" s="11">
        <f t="shared" si="8"/>
        <v>-6.4204863093985836</v>
      </c>
      <c r="O26" s="11">
        <f>IFERROR(1398120/24546,0)</f>
        <v>56.959178684918115</v>
      </c>
      <c r="P26" s="11">
        <v>60</v>
      </c>
      <c r="Q26" s="11">
        <f t="shared" si="9"/>
        <v>-3.0408213150818852</v>
      </c>
      <c r="R26" s="7">
        <v>18180</v>
      </c>
      <c r="S26" s="11">
        <f t="shared" si="10"/>
        <v>109.28436175648463</v>
      </c>
      <c r="T26" s="13">
        <f t="shared" si="11"/>
        <v>8.1969196919691978</v>
      </c>
      <c r="U26" s="7">
        <v>25200</v>
      </c>
      <c r="V26" s="11">
        <f t="shared" si="12"/>
        <v>151.48327372185989</v>
      </c>
      <c r="W26" s="11">
        <f t="shared" si="13"/>
        <v>1.3861386138613863</v>
      </c>
      <c r="X26" s="11">
        <v>292.16571428570001</v>
      </c>
      <c r="Y26" s="11">
        <f t="shared" si="14"/>
        <v>121.99704737619112</v>
      </c>
      <c r="Z26" s="11">
        <f t="shared" si="15"/>
        <v>35.643354487411266</v>
      </c>
      <c r="AA26" s="7">
        <v>1472</v>
      </c>
      <c r="AB26" s="15">
        <f>IFERROR(AA26/1530,0)</f>
        <v>0.96209150326797388</v>
      </c>
      <c r="AC26" s="11">
        <v>0</v>
      </c>
      <c r="AD26" s="15">
        <f>IFERROR(AC26/57,0)</f>
        <v>0</v>
      </c>
      <c r="AE26" s="11">
        <v>14</v>
      </c>
      <c r="AF26" s="11">
        <v>27</v>
      </c>
      <c r="AG26" s="7">
        <f t="shared" si="16"/>
        <v>-10680.800000000014</v>
      </c>
      <c r="AH26" s="7">
        <v>32</v>
      </c>
      <c r="AI26" s="7">
        <v>18.125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ht="15" thickBot="1" x14ac:dyDescent="0.35">
      <c r="A27" s="5" t="s">
        <v>72</v>
      </c>
      <c r="B27" s="5">
        <v>29</v>
      </c>
      <c r="C27" s="7"/>
      <c r="D27" s="7">
        <v>7</v>
      </c>
      <c r="E27" s="7">
        <v>12056</v>
      </c>
      <c r="F27" s="7">
        <v>11677</v>
      </c>
      <c r="G27" s="7">
        <v>92</v>
      </c>
      <c r="H27" s="9">
        <f t="shared" si="6"/>
        <v>7.8787359767063456E-3</v>
      </c>
      <c r="I27" s="9">
        <f>IFERROR((12056-F27)/12056,0)</f>
        <v>3.1436629064366291E-2</v>
      </c>
      <c r="J27" s="7">
        <v>73560</v>
      </c>
      <c r="K27" s="11">
        <f t="shared" si="7"/>
        <v>89.993760628341434</v>
      </c>
      <c r="L27" s="11">
        <f>K27-92.5434</f>
        <v>-2.5496393716585715</v>
      </c>
      <c r="M27" s="11">
        <v>95.5</v>
      </c>
      <c r="N27" s="11">
        <f t="shared" si="8"/>
        <v>-5.506239371658566</v>
      </c>
      <c r="O27" s="11">
        <f>IFERROR(783510/12056,0)</f>
        <v>64.989216987392169</v>
      </c>
      <c r="P27" s="11">
        <v>65</v>
      </c>
      <c r="Q27" s="11">
        <f t="shared" si="9"/>
        <v>-1.0783012607831211E-2</v>
      </c>
      <c r="R27" s="7">
        <v>10110</v>
      </c>
      <c r="S27" s="11">
        <f t="shared" si="10"/>
        <v>123.68636758462911</v>
      </c>
      <c r="T27" s="13">
        <f t="shared" si="11"/>
        <v>7.275964391691395</v>
      </c>
      <c r="U27" s="7">
        <v>12300</v>
      </c>
      <c r="V27" s="11">
        <f t="shared" si="12"/>
        <v>150.47896353026093</v>
      </c>
      <c r="W27" s="11">
        <f t="shared" si="13"/>
        <v>1.2166172106824926</v>
      </c>
      <c r="X27" s="11">
        <v>292.02142857140001</v>
      </c>
      <c r="Y27" s="11">
        <f t="shared" si="14"/>
        <v>137.43882544861336</v>
      </c>
      <c r="Z27" s="11">
        <f t="shared" si="15"/>
        <v>40.135082148679359</v>
      </c>
      <c r="AA27" s="7">
        <v>1761</v>
      </c>
      <c r="AB27" s="15">
        <f>IFERROR(AA27/1900,0)</f>
        <v>0.92684210526315791</v>
      </c>
      <c r="AC27" s="11">
        <v>0</v>
      </c>
      <c r="AD27" s="15">
        <f>IFERROR(AC27/60.5,0)</f>
        <v>0</v>
      </c>
      <c r="AE27" s="11">
        <v>14</v>
      </c>
      <c r="AF27" s="11">
        <v>27</v>
      </c>
      <c r="AG27" s="7">
        <f t="shared" si="16"/>
        <v>-4500.7449999999953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16" t="s">
        <v>73</v>
      </c>
      <c r="B28" s="16"/>
      <c r="C28" s="17"/>
      <c r="D28" s="17">
        <f>AVERAGE(D13:D27)</f>
        <v>7</v>
      </c>
      <c r="E28" s="17">
        <f>SUM(E13:E27)</f>
        <v>537211</v>
      </c>
      <c r="F28" s="17">
        <f>SUM(F13:F27)</f>
        <v>492101</v>
      </c>
      <c r="G28" s="17">
        <f>SUM(G13:G27)</f>
        <v>2240</v>
      </c>
      <c r="H28" s="18">
        <f t="shared" si="6"/>
        <v>4.5519110914222895E-3</v>
      </c>
      <c r="I28" s="18"/>
      <c r="J28" s="17">
        <f>SUM(J13:J27)</f>
        <v>2644850</v>
      </c>
      <c r="K28" s="19">
        <f t="shared" si="7"/>
        <v>76.780115115741339</v>
      </c>
      <c r="L28" s="19"/>
      <c r="M28" s="19">
        <f>IFERROR(SUMPRODUCT($F13:$F27,M13:M27)/$F28, 0)</f>
        <v>87.183696842721318</v>
      </c>
      <c r="N28" s="19">
        <f t="shared" si="8"/>
        <v>-10.403581726979979</v>
      </c>
      <c r="O28" s="19">
        <f>IFERROR(SUMPRODUCT($E13:$E27,O13:O27)/$E28, 0)</f>
        <v>231.26971339008324</v>
      </c>
      <c r="P28" s="19">
        <f>IFERROR(SUMPRODUCT($E13:$E27,P13:P27)/$E28, 0)</f>
        <v>170.00819975763713</v>
      </c>
      <c r="Q28" s="19">
        <f>IFERROR(SUMPRODUCT($E13:$E27,Q13:Q27)/$E28, 0)</f>
        <v>61.261513632446096</v>
      </c>
      <c r="R28" s="17">
        <f>SUM(R13:R27)</f>
        <v>381400</v>
      </c>
      <c r="S28" s="19">
        <f>IFERROR(R28/D28/$F28*1000,0)</f>
        <v>110.72059249161103</v>
      </c>
      <c r="T28" s="20">
        <f t="shared" si="11"/>
        <v>6.9345831148400627</v>
      </c>
      <c r="U28" s="17">
        <f>SUM(U13:U27)</f>
        <v>623862</v>
      </c>
      <c r="V28" s="19">
        <f>IFERROR(U28/D28/$F28*1000,0)</f>
        <v>181.10742074725079</v>
      </c>
      <c r="W28" s="19">
        <f t="shared" si="13"/>
        <v>1.6357157839538545</v>
      </c>
      <c r="X28" s="19">
        <f>IFERROR(SUMPRODUCT(R13:R27,X13:X27)/R28,0)</f>
        <v>299.64095262566497</v>
      </c>
      <c r="Y28" s="19">
        <f>IFERROR(($F28*S28)/($F28*K28)*100,0)</f>
        <v>144.20477531807097</v>
      </c>
      <c r="Z28" s="19">
        <f t="shared" si="15"/>
        <v>43.209656249476765</v>
      </c>
      <c r="AA28" s="17"/>
      <c r="AB28" s="21">
        <f>IFERROR(SUMPRODUCT($F13:$F27,AB13:AB27)/$F28,0)</f>
        <v>0.68101286017206308</v>
      </c>
      <c r="AC28" s="19"/>
      <c r="AD28" s="21">
        <f>AVERAGE(AD13:AD27)</f>
        <v>0.19837868138976514</v>
      </c>
      <c r="AE28" s="19"/>
      <c r="AF28" s="19"/>
      <c r="AG28" s="17">
        <f>SUM(AG13:AG27)</f>
        <v>-372442.908</v>
      </c>
      <c r="AH28" s="17">
        <f>SUM(AH13:AH27)</f>
        <v>561</v>
      </c>
      <c r="AI28" s="17">
        <f>IFERROR(SUMPRODUCT(AH13:AH27,AI13:AI27)/AH28, 0)</f>
        <v>9.9999999999921574</v>
      </c>
      <c r="AJ28" s="19">
        <f>AVERAGE(AJ13:AJ27)</f>
        <v>6.0666666666666664</v>
      </c>
      <c r="AK28" s="19">
        <f>AVERAGE(AK13:AK27)</f>
        <v>4.7333333333333334</v>
      </c>
      <c r="AL28" s="19">
        <f>AVERAGE(AL13:AL27)</f>
        <v>0</v>
      </c>
      <c r="AM28" s="19">
        <f>AVERAGE(AM13:AM27)</f>
        <v>0</v>
      </c>
      <c r="AN28" s="19">
        <f>AVERAGE(AN13:AN27)</f>
        <v>0</v>
      </c>
      <c r="AO28" s="20"/>
      <c r="AP28" s="19"/>
      <c r="AQ28" s="17"/>
      <c r="AR28" s="17"/>
      <c r="AS28" s="17"/>
      <c r="AT28" s="17"/>
    </row>
    <row r="29" spans="1:46" ht="15" thickBot="1" x14ac:dyDescent="0.35"/>
    <row r="30" spans="1:46" ht="15" thickBot="1" x14ac:dyDescent="0.35">
      <c r="A30" s="23" t="s">
        <v>74</v>
      </c>
      <c r="B30" s="23"/>
      <c r="C30" s="23"/>
      <c r="D30" s="23">
        <f>IFERROR($F$11/$F30*D$11,0)+IFERROR($F$28/$F30*D$28,0)</f>
        <v>7</v>
      </c>
      <c r="E30" s="23">
        <f>E11+E28</f>
        <v>581809</v>
      </c>
      <c r="F30" s="23">
        <f>F11+F28</f>
        <v>529060</v>
      </c>
      <c r="G30" s="23">
        <f>G11+G28</f>
        <v>2413</v>
      </c>
      <c r="H30" s="24">
        <f>IFERROR(G30/F30,0)</f>
        <v>4.560919366423468E-3</v>
      </c>
      <c r="I30" s="23"/>
      <c r="J30" s="23">
        <f>J11+J28</f>
        <v>2827140</v>
      </c>
      <c r="K30" s="25">
        <f>IFERROR(J30/D30/F30*100,0)</f>
        <v>76.338627538869474</v>
      </c>
      <c r="L30" s="23"/>
      <c r="M30" s="25">
        <f>IFERROR($F$11/$F30*M$11,0)+IFERROR($F$28/$F30*M$28,0)</f>
        <v>85.65675235323026</v>
      </c>
      <c r="N30" s="25">
        <f>K30-M30</f>
        <v>-9.318124814360786</v>
      </c>
      <c r="O30" s="23">
        <f>IFERROR($E$11/$E30*O$11,0)+IFERROR($E$28/$E30*O$28,0)</f>
        <v>237.37296604212037</v>
      </c>
      <c r="P30" s="23">
        <f>IFERROR($E$11/$E30*P$11,0)+IFERROR($E$28/$E30*P$28,0)</f>
        <v>161.19132739438544</v>
      </c>
      <c r="Q30" s="23">
        <f>IFERROR($E$11/$E30*Q$11,0)+IFERROR($E$28/$E30*Q$28,0)</f>
        <v>76.1816386477349</v>
      </c>
      <c r="R30" s="23">
        <f>R11+R28</f>
        <v>414684</v>
      </c>
      <c r="S30" s="25">
        <f>IFERROR(R30/D30/$F30*1000,0)</f>
        <v>111.9732571514978</v>
      </c>
      <c r="T30" s="26">
        <f>IFERROR(J30/R30,0)</f>
        <v>6.8175767572416586</v>
      </c>
      <c r="U30" s="23">
        <f>U11+U28</f>
        <v>633942</v>
      </c>
      <c r="V30" s="25">
        <f>IFERROR(U30/D30/$F30*1000,0)</f>
        <v>171.17745219283796</v>
      </c>
      <c r="W30" s="25">
        <f>IFERROR(V30/S30,0)</f>
        <v>1.5287351332580952</v>
      </c>
      <c r="X30" s="25">
        <f>IFERROR($F$11/$F30*X$11,0)+IFERROR($F$28/$F30*X$28,0)</f>
        <v>302.41239283020991</v>
      </c>
      <c r="Y30" s="25">
        <f>IFERROR(($F30*S30)/($F30*K30)*100,0)</f>
        <v>146.67968335490991</v>
      </c>
      <c r="Z30" s="25">
        <f>IFERROR(Y30*X30/1000,0)</f>
        <v>44.357754022935822</v>
      </c>
      <c r="AA30" s="23"/>
      <c r="AB30" s="27"/>
      <c r="AC30" s="23"/>
      <c r="AD30" s="27"/>
      <c r="AE30" s="23"/>
      <c r="AF30" s="23"/>
      <c r="AG30" s="23">
        <f>AG11+AG28</f>
        <v>-381749.29800000001</v>
      </c>
      <c r="AH30" s="23">
        <f>AH11+AH28</f>
        <v>561</v>
      </c>
      <c r="AI30" s="23">
        <f>IFERROR(AH$11/AH30*AI$11,0)+IFERROR(AH$28/AH30*AI$28,0)</f>
        <v>9.9999999999921574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2" spans="1:46" x14ac:dyDescent="0.3">
      <c r="A32" s="31" t="s">
        <v>75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x14ac:dyDescent="0.3">
      <c r="A33" s="32"/>
      <c r="B33" s="32" t="s">
        <v>76</v>
      </c>
      <c r="C33" s="32"/>
      <c r="D33" s="32" t="s">
        <v>77</v>
      </c>
      <c r="E33" s="32" t="s">
        <v>78</v>
      </c>
      <c r="F33" s="32" t="s">
        <v>79</v>
      </c>
      <c r="G33" s="32" t="s">
        <v>50</v>
      </c>
      <c r="H33" s="32" t="s">
        <v>51</v>
      </c>
      <c r="I33" s="32" t="s">
        <v>49</v>
      </c>
      <c r="J33" s="32" t="s">
        <v>52</v>
      </c>
      <c r="K33" s="32" t="s">
        <v>53</v>
      </c>
      <c r="L33" s="32" t="s">
        <v>54</v>
      </c>
      <c r="M33" s="32" t="s">
        <v>56</v>
      </c>
      <c r="N33" s="32" t="s">
        <v>65</v>
      </c>
      <c r="O33" s="32" t="s">
        <v>57</v>
      </c>
      <c r="P33" s="32" t="s">
        <v>58</v>
      </c>
      <c r="Q33" s="32" t="s">
        <v>59</v>
      </c>
      <c r="R33" s="32" t="s">
        <v>80</v>
      </c>
      <c r="S33" s="32" t="s">
        <v>60</v>
      </c>
      <c r="T33" s="32" t="s">
        <v>69</v>
      </c>
      <c r="U33" s="32" t="s">
        <v>61</v>
      </c>
      <c r="V33" s="32" t="s">
        <v>70</v>
      </c>
      <c r="W33" s="32" t="s">
        <v>71</v>
      </c>
      <c r="X33" s="32" t="s">
        <v>72</v>
      </c>
      <c r="Y33" s="32" t="s">
        <v>62</v>
      </c>
      <c r="Z33" s="32" t="s">
        <v>66</v>
      </c>
      <c r="AA33" s="32" t="s">
        <v>67</v>
      </c>
      <c r="AB33" s="32" t="s">
        <v>81</v>
      </c>
      <c r="AC33" s="32" t="s">
        <v>63</v>
      </c>
      <c r="AD33" s="32" t="s">
        <v>68</v>
      </c>
      <c r="AE33" s="32" t="s">
        <v>64</v>
      </c>
    </row>
    <row r="34" spans="1:31" x14ac:dyDescent="0.3">
      <c r="B34" s="4">
        <v>202501</v>
      </c>
      <c r="C34" s="4"/>
      <c r="D34" s="8">
        <v>2.8E-3</v>
      </c>
      <c r="E34" s="8">
        <v>5.1000000000000004E-3</v>
      </c>
      <c r="F34" s="8">
        <v>2.5999999999999999E-3</v>
      </c>
      <c r="G34" s="8">
        <v>7.7999999999999996E-3</v>
      </c>
      <c r="H34" s="8">
        <v>4.4999999999999997E-3</v>
      </c>
      <c r="I34" s="8">
        <v>3.5000000000000001E-3</v>
      </c>
      <c r="J34" s="8">
        <v>3.2000000000000002E-3</v>
      </c>
      <c r="K34" s="8">
        <v>4.7999999999999996E-3</v>
      </c>
      <c r="L34" s="8">
        <v>1.9E-3</v>
      </c>
      <c r="M34" s="8">
        <v>2.3999999999999998E-3</v>
      </c>
      <c r="N34" s="8">
        <v>2E-3</v>
      </c>
      <c r="O34" s="8"/>
      <c r="P34" s="8">
        <v>5.7999999999999996E-3</v>
      </c>
      <c r="Q34" s="8">
        <v>2.3999999999999998E-3</v>
      </c>
      <c r="R34" s="8">
        <v>3.3999999999999998E-3</v>
      </c>
      <c r="S34" s="8">
        <v>1.6999999999999999E-3</v>
      </c>
      <c r="T34" s="8"/>
      <c r="U34" s="8">
        <v>2.5000000000000001E-3</v>
      </c>
      <c r="V34" s="8">
        <v>5.3E-3</v>
      </c>
      <c r="W34" s="8">
        <v>6.3E-3</v>
      </c>
      <c r="X34" s="8">
        <v>2.7000000000000001E-3</v>
      </c>
      <c r="Y34" s="8">
        <v>1.5E-3</v>
      </c>
      <c r="Z34" s="8">
        <v>1.4E-3</v>
      </c>
      <c r="AA34" s="8">
        <v>2.8E-3</v>
      </c>
      <c r="AB34" s="8">
        <v>1.6999999999999999E-3</v>
      </c>
      <c r="AC34" s="8"/>
      <c r="AD34" s="8"/>
      <c r="AE34" s="8">
        <v>6.9999999999999999E-4</v>
      </c>
    </row>
    <row r="35" spans="1:31" x14ac:dyDescent="0.3">
      <c r="B35" s="5">
        <v>202502</v>
      </c>
      <c r="C35" s="5"/>
      <c r="D35" s="9">
        <v>2.8999999999999998E-3</v>
      </c>
      <c r="E35" s="9">
        <v>4.4000000000000003E-3</v>
      </c>
      <c r="F35" s="9">
        <v>2.7000000000000001E-3</v>
      </c>
      <c r="G35" s="9">
        <v>6.3E-3</v>
      </c>
      <c r="H35" s="9">
        <v>4.4999999999999997E-3</v>
      </c>
      <c r="I35" s="9">
        <v>4.4000000000000003E-3</v>
      </c>
      <c r="J35" s="9">
        <v>3.2000000000000002E-3</v>
      </c>
      <c r="K35" s="9">
        <v>2.7000000000000001E-3</v>
      </c>
      <c r="L35" s="9">
        <v>2.0999999999999999E-3</v>
      </c>
      <c r="M35" s="9">
        <v>3.3999999999999998E-3</v>
      </c>
      <c r="N35" s="9">
        <v>1.9E-3</v>
      </c>
      <c r="O35" s="9"/>
      <c r="P35" s="9">
        <v>1.32E-2</v>
      </c>
      <c r="Q35" s="9">
        <v>2.3999999999999998E-3</v>
      </c>
      <c r="R35" s="9">
        <v>4.1999999999999997E-3</v>
      </c>
      <c r="S35" s="9">
        <v>1.6999999999999999E-3</v>
      </c>
      <c r="T35" s="9"/>
      <c r="U35" s="9">
        <v>2.5000000000000001E-3</v>
      </c>
      <c r="V35" s="9">
        <v>5.7999999999999996E-3</v>
      </c>
      <c r="W35" s="9">
        <v>3.5999999999999999E-3</v>
      </c>
      <c r="X35" s="9">
        <v>2.3E-3</v>
      </c>
      <c r="Y35" s="9">
        <v>1.5E-3</v>
      </c>
      <c r="Z35" s="9">
        <v>1E-3</v>
      </c>
      <c r="AA35" s="9">
        <v>3.0000000000000001E-3</v>
      </c>
      <c r="AB35" s="9">
        <v>1.8E-3</v>
      </c>
      <c r="AC35" s="9"/>
      <c r="AD35" s="9"/>
      <c r="AE35" s="9">
        <v>1E-3</v>
      </c>
    </row>
    <row r="36" spans="1:31" x14ac:dyDescent="0.3">
      <c r="B36" s="5">
        <v>202503</v>
      </c>
      <c r="C36" s="5"/>
      <c r="D36" s="9">
        <v>2.8E-3</v>
      </c>
      <c r="E36" s="9">
        <v>4.8999999999999998E-3</v>
      </c>
      <c r="F36" s="9">
        <v>2.5999999999999999E-3</v>
      </c>
      <c r="G36" s="9">
        <v>5.8999999999999999E-3</v>
      </c>
      <c r="H36" s="9">
        <v>5.8999999999999999E-3</v>
      </c>
      <c r="I36" s="9">
        <v>3.5999999999999999E-3</v>
      </c>
      <c r="J36" s="9">
        <v>3.3999999999999998E-3</v>
      </c>
      <c r="K36" s="9">
        <v>3.2000000000000002E-3</v>
      </c>
      <c r="L36" s="9">
        <v>3.0000000000000001E-3</v>
      </c>
      <c r="M36" s="9">
        <v>2.2000000000000001E-3</v>
      </c>
      <c r="N36" s="9">
        <v>1.6000000000000001E-3</v>
      </c>
      <c r="O36" s="9"/>
      <c r="P36" s="9">
        <v>9.7999999999999997E-3</v>
      </c>
      <c r="Q36" s="9">
        <v>2.5000000000000001E-3</v>
      </c>
      <c r="R36" s="9">
        <v>3.3E-3</v>
      </c>
      <c r="S36" s="9">
        <v>1.8E-3</v>
      </c>
      <c r="T36" s="9"/>
      <c r="U36" s="9">
        <v>2.5000000000000001E-3</v>
      </c>
      <c r="V36" s="9">
        <v>5.4999999999999997E-3</v>
      </c>
      <c r="W36" s="9">
        <v>3.5000000000000001E-3</v>
      </c>
      <c r="X36" s="9">
        <v>2.5000000000000001E-3</v>
      </c>
      <c r="Y36" s="9">
        <v>1.6999999999999999E-3</v>
      </c>
      <c r="Z36" s="9">
        <v>6.9999999999999999E-4</v>
      </c>
      <c r="AA36" s="9">
        <v>2.8E-3</v>
      </c>
      <c r="AB36" s="9">
        <v>1.4E-3</v>
      </c>
      <c r="AC36" s="9"/>
      <c r="AD36" s="9"/>
      <c r="AE36" s="9">
        <v>1.6000000000000001E-3</v>
      </c>
    </row>
    <row r="37" spans="1:31" x14ac:dyDescent="0.3">
      <c r="B37" s="5">
        <v>202504</v>
      </c>
      <c r="C37" s="5"/>
      <c r="D37" s="9">
        <v>2.5999999999999999E-3</v>
      </c>
      <c r="E37" s="9">
        <v>5.1000000000000004E-3</v>
      </c>
      <c r="F37" s="9">
        <v>2.3999999999999998E-3</v>
      </c>
      <c r="G37" s="9">
        <v>5.8999999999999999E-3</v>
      </c>
      <c r="H37" s="9">
        <v>5.7999999999999996E-3</v>
      </c>
      <c r="I37" s="9">
        <v>6.3E-3</v>
      </c>
      <c r="J37" s="9">
        <v>5.0000000000000001E-3</v>
      </c>
      <c r="K37" s="9">
        <v>4.1000000000000003E-3</v>
      </c>
      <c r="L37" s="9">
        <v>1.9E-3</v>
      </c>
      <c r="M37" s="9">
        <v>2.3999999999999998E-3</v>
      </c>
      <c r="N37" s="9">
        <v>2.2000000000000001E-3</v>
      </c>
      <c r="O37" s="9"/>
      <c r="P37" s="9">
        <v>7.3000000000000001E-3</v>
      </c>
      <c r="Q37" s="9">
        <v>2.5000000000000001E-3</v>
      </c>
      <c r="R37" s="9">
        <v>4.1000000000000003E-3</v>
      </c>
      <c r="S37" s="9">
        <v>1.6999999999999999E-3</v>
      </c>
      <c r="T37" s="9"/>
      <c r="U37" s="9">
        <v>2.5999999999999999E-3</v>
      </c>
      <c r="V37" s="9">
        <v>3.2000000000000002E-3</v>
      </c>
      <c r="W37" s="9">
        <v>3.7000000000000002E-3</v>
      </c>
      <c r="X37" s="9">
        <v>2.5000000000000001E-3</v>
      </c>
      <c r="Y37" s="9">
        <v>1.6000000000000001E-3</v>
      </c>
      <c r="Z37" s="9">
        <v>8.9999999999999998E-4</v>
      </c>
      <c r="AA37" s="9">
        <v>3.5000000000000001E-3</v>
      </c>
      <c r="AB37" s="9">
        <v>1.6000000000000001E-3</v>
      </c>
      <c r="AC37" s="9"/>
      <c r="AD37" s="9"/>
      <c r="AE37" s="9">
        <v>8.9999999999999998E-4</v>
      </c>
    </row>
    <row r="38" spans="1:31" x14ac:dyDescent="0.3">
      <c r="B38" s="5">
        <v>202505</v>
      </c>
      <c r="C38" s="5"/>
      <c r="D38" s="9">
        <v>2.5999999999999999E-3</v>
      </c>
      <c r="E38" s="9">
        <v>4.1000000000000003E-3</v>
      </c>
      <c r="F38" s="9">
        <v>2.5000000000000001E-3</v>
      </c>
      <c r="G38" s="9">
        <v>5.3E-3</v>
      </c>
      <c r="H38" s="9">
        <v>4.7000000000000002E-3</v>
      </c>
      <c r="I38" s="9">
        <v>2.7000000000000001E-3</v>
      </c>
      <c r="J38" s="9">
        <v>1.6000000000000001E-3</v>
      </c>
      <c r="K38" s="9">
        <v>3.0000000000000001E-3</v>
      </c>
      <c r="L38" s="9">
        <v>2.8E-3</v>
      </c>
      <c r="M38" s="9">
        <v>2.5000000000000001E-3</v>
      </c>
      <c r="N38" s="9">
        <v>2.7000000000000001E-3</v>
      </c>
      <c r="O38" s="9"/>
      <c r="P38" s="9">
        <v>4.5999999999999999E-3</v>
      </c>
      <c r="Q38" s="9">
        <v>4.1000000000000003E-3</v>
      </c>
      <c r="R38" s="9">
        <v>4.1000000000000003E-3</v>
      </c>
      <c r="S38" s="9">
        <v>1.6999999999999999E-3</v>
      </c>
      <c r="T38" s="9"/>
      <c r="U38" s="9">
        <v>2.3E-3</v>
      </c>
      <c r="V38" s="9">
        <v>2.2000000000000001E-3</v>
      </c>
      <c r="W38" s="9">
        <v>4.4000000000000003E-3</v>
      </c>
      <c r="X38" s="9">
        <v>2.3E-3</v>
      </c>
      <c r="Y38" s="9">
        <v>1.6000000000000001E-3</v>
      </c>
      <c r="Z38" s="9">
        <v>8.9999999999999998E-4</v>
      </c>
      <c r="AA38" s="9">
        <v>3.0999999999999999E-3</v>
      </c>
      <c r="AB38" s="9">
        <v>1.5E-3</v>
      </c>
      <c r="AC38" s="9"/>
      <c r="AD38" s="9"/>
      <c r="AE38" s="9">
        <v>8.9999999999999998E-4</v>
      </c>
    </row>
    <row r="39" spans="1:31" x14ac:dyDescent="0.3">
      <c r="B39" s="5">
        <v>202506</v>
      </c>
      <c r="C39" s="5"/>
      <c r="D39" s="9">
        <v>1.9E-3</v>
      </c>
      <c r="E39" s="9">
        <v>4.4999999999999997E-3</v>
      </c>
      <c r="F39" s="9">
        <v>1.6999999999999999E-3</v>
      </c>
      <c r="G39" s="9">
        <v>5.8999999999999999E-3</v>
      </c>
      <c r="H39" s="9">
        <v>5.4000000000000003E-3</v>
      </c>
      <c r="I39" s="9">
        <v>4.4999999999999997E-3</v>
      </c>
      <c r="J39" s="9">
        <v>2.5000000000000001E-3</v>
      </c>
      <c r="K39" s="9">
        <v>3.0000000000000001E-3</v>
      </c>
      <c r="L39" s="9">
        <v>1.2999999999999999E-3</v>
      </c>
      <c r="M39" s="9">
        <v>3.7000000000000002E-3</v>
      </c>
      <c r="N39" s="9">
        <v>2.5000000000000001E-3</v>
      </c>
      <c r="O39" s="9"/>
      <c r="P39" s="9">
        <v>4.0000000000000001E-3</v>
      </c>
      <c r="Q39" s="9">
        <v>2.7000000000000001E-3</v>
      </c>
      <c r="R39" s="9">
        <v>3.8E-3</v>
      </c>
      <c r="S39" s="9">
        <v>1.5E-3</v>
      </c>
      <c r="T39" s="9"/>
      <c r="U39" s="9">
        <v>1.6999999999999999E-3</v>
      </c>
      <c r="V39" s="9">
        <v>3.0000000000000001E-3</v>
      </c>
      <c r="W39" s="9">
        <v>3.5999999999999999E-3</v>
      </c>
      <c r="X39" s="9">
        <v>1.8E-3</v>
      </c>
      <c r="Y39" s="9">
        <v>8.9999999999999998E-4</v>
      </c>
      <c r="Z39" s="9">
        <v>5.9999999999999995E-4</v>
      </c>
      <c r="AA39" s="9">
        <v>1.6999999999999999E-3</v>
      </c>
      <c r="AB39" s="9">
        <v>1E-3</v>
      </c>
      <c r="AC39" s="9">
        <v>0</v>
      </c>
      <c r="AD39" s="9">
        <v>0</v>
      </c>
      <c r="AE39" s="9">
        <v>5.0000000000000001E-4</v>
      </c>
    </row>
    <row r="40" spans="1:31" x14ac:dyDescent="0.3">
      <c r="B40" s="5">
        <v>202507</v>
      </c>
      <c r="C40" s="5"/>
      <c r="D40" s="9">
        <v>2.3999999999999998E-3</v>
      </c>
      <c r="E40" s="9">
        <v>4.5999999999999999E-3</v>
      </c>
      <c r="F40" s="9">
        <v>2.2000000000000001E-3</v>
      </c>
      <c r="G40" s="9">
        <v>5.7999999999999996E-3</v>
      </c>
      <c r="H40" s="9">
        <v>4.3E-3</v>
      </c>
      <c r="I40" s="9">
        <v>4.4999999999999997E-3</v>
      </c>
      <c r="J40" s="9">
        <v>2.5000000000000001E-3</v>
      </c>
      <c r="K40" s="9">
        <v>5.1000000000000004E-3</v>
      </c>
      <c r="L40" s="9">
        <v>3.8E-3</v>
      </c>
      <c r="M40" s="9">
        <v>8.0999999999999996E-3</v>
      </c>
      <c r="N40" s="9">
        <v>2.8E-3</v>
      </c>
      <c r="O40" s="9"/>
      <c r="P40" s="9">
        <v>4.4999999999999997E-3</v>
      </c>
      <c r="Q40" s="9">
        <v>2E-3</v>
      </c>
      <c r="R40" s="9">
        <v>4.8999999999999998E-3</v>
      </c>
      <c r="S40" s="9">
        <v>1.4E-3</v>
      </c>
      <c r="T40" s="9"/>
      <c r="U40" s="9">
        <v>1.9E-3</v>
      </c>
      <c r="V40" s="9">
        <v>4.3E-3</v>
      </c>
      <c r="W40" s="9">
        <v>4.1999999999999997E-3</v>
      </c>
      <c r="X40" s="9">
        <v>4.4000000000000003E-3</v>
      </c>
      <c r="Y40" s="9">
        <v>1.1000000000000001E-3</v>
      </c>
      <c r="Z40" s="9">
        <v>5.0000000000000001E-4</v>
      </c>
      <c r="AA40" s="9">
        <v>2.0999999999999999E-3</v>
      </c>
      <c r="AB40" s="9">
        <v>1.1999999999999999E-3</v>
      </c>
      <c r="AC40" s="9">
        <v>8.9999999999999998E-4</v>
      </c>
      <c r="AD40" s="9">
        <v>8.0000000000000004E-4</v>
      </c>
      <c r="AE40" s="9">
        <v>6.9999999999999999E-4</v>
      </c>
    </row>
    <row r="41" spans="1:31" x14ac:dyDescent="0.3">
      <c r="B41" s="5">
        <v>202508</v>
      </c>
      <c r="C41" s="5"/>
      <c r="D41" s="9">
        <v>2E-3</v>
      </c>
      <c r="E41" s="9">
        <v>4.4000000000000003E-3</v>
      </c>
      <c r="F41" s="9">
        <v>1.8E-3</v>
      </c>
      <c r="G41" s="9">
        <v>6.6E-3</v>
      </c>
      <c r="H41" s="9">
        <v>3.8E-3</v>
      </c>
      <c r="I41" s="9">
        <v>2.7000000000000001E-3</v>
      </c>
      <c r="J41" s="9">
        <v>3.2000000000000002E-3</v>
      </c>
      <c r="K41" s="9">
        <v>4.1999999999999997E-3</v>
      </c>
      <c r="L41" s="9">
        <v>2.0999999999999999E-3</v>
      </c>
      <c r="M41" s="9">
        <v>2.5999999999999999E-3</v>
      </c>
      <c r="N41" s="9">
        <v>2.8999999999999998E-3</v>
      </c>
      <c r="O41" s="9"/>
      <c r="P41" s="9">
        <v>5.1999999999999998E-3</v>
      </c>
      <c r="Q41" s="9">
        <v>1.9E-3</v>
      </c>
      <c r="R41" s="9">
        <v>2.3999999999999998E-3</v>
      </c>
      <c r="S41" s="9">
        <v>1.2999999999999999E-3</v>
      </c>
      <c r="T41" s="9"/>
      <c r="U41" s="9">
        <v>1.9E-3</v>
      </c>
      <c r="V41" s="9">
        <v>3.0999999999999999E-3</v>
      </c>
      <c r="W41" s="9">
        <v>3.2000000000000002E-3</v>
      </c>
      <c r="X41" s="9">
        <v>2.3E-3</v>
      </c>
      <c r="Y41" s="9">
        <v>1.1000000000000001E-3</v>
      </c>
      <c r="Z41" s="9">
        <v>5.0000000000000001E-4</v>
      </c>
      <c r="AA41" s="9">
        <v>2.8E-3</v>
      </c>
      <c r="AB41" s="9">
        <v>1.2999999999999999E-3</v>
      </c>
      <c r="AC41" s="9">
        <v>1.1999999999999999E-3</v>
      </c>
      <c r="AD41" s="9">
        <v>6.9999999999999999E-4</v>
      </c>
      <c r="AE41" s="9">
        <v>5.9999999999999995E-4</v>
      </c>
    </row>
    <row r="42" spans="1:31" x14ac:dyDescent="0.3">
      <c r="B42" s="5">
        <v>202509</v>
      </c>
      <c r="C42" s="5"/>
      <c r="D42" s="9">
        <v>3.0000000000000001E-3</v>
      </c>
      <c r="E42" s="9">
        <v>8.8000000000000005E-3</v>
      </c>
      <c r="F42" s="9">
        <v>2.5000000000000001E-3</v>
      </c>
      <c r="G42" s="9">
        <v>1.7299999999999999E-2</v>
      </c>
      <c r="H42" s="9">
        <v>5.7000000000000002E-3</v>
      </c>
      <c r="I42" s="9">
        <v>9.1999999999999998E-3</v>
      </c>
      <c r="J42" s="9">
        <v>5.1000000000000004E-3</v>
      </c>
      <c r="K42" s="9">
        <v>4.4000000000000003E-3</v>
      </c>
      <c r="L42" s="9">
        <v>3.8999999999999998E-3</v>
      </c>
      <c r="M42" s="9">
        <v>2.0999999999999999E-3</v>
      </c>
      <c r="N42" s="9">
        <v>5.1999999999999998E-3</v>
      </c>
      <c r="O42" s="9"/>
      <c r="P42" s="9">
        <v>5.0000000000000001E-3</v>
      </c>
      <c r="Q42" s="9">
        <v>2.7000000000000001E-3</v>
      </c>
      <c r="R42" s="9">
        <v>4.8999999999999998E-3</v>
      </c>
      <c r="S42" s="9">
        <v>2E-3</v>
      </c>
      <c r="T42" s="9"/>
      <c r="U42" s="9">
        <v>2.5000000000000001E-3</v>
      </c>
      <c r="V42" s="9">
        <v>3.0999999999999999E-3</v>
      </c>
      <c r="W42" s="9">
        <v>4.5999999999999999E-3</v>
      </c>
      <c r="X42" s="9">
        <v>2.8E-3</v>
      </c>
      <c r="Y42" s="9">
        <v>1.6999999999999999E-3</v>
      </c>
      <c r="Z42" s="9">
        <v>1E-3</v>
      </c>
      <c r="AA42" s="9">
        <v>3.5999999999999999E-3</v>
      </c>
      <c r="AB42" s="9">
        <v>1.6000000000000001E-3</v>
      </c>
      <c r="AC42" s="9">
        <v>2.3E-3</v>
      </c>
      <c r="AD42" s="9">
        <v>1.1999999999999999E-3</v>
      </c>
      <c r="AE42" s="9">
        <v>1.1999999999999999E-3</v>
      </c>
    </row>
    <row r="43" spans="1:31" x14ac:dyDescent="0.3">
      <c r="B43" s="5">
        <v>202510</v>
      </c>
      <c r="C43" s="5"/>
      <c r="D43" s="9">
        <v>2.8E-3</v>
      </c>
      <c r="E43" s="9">
        <v>8.0000000000000002E-3</v>
      </c>
      <c r="F43" s="9">
        <v>2.3999999999999998E-3</v>
      </c>
      <c r="G43" s="9">
        <v>1.47E-2</v>
      </c>
      <c r="H43" s="9">
        <v>7.1000000000000004E-3</v>
      </c>
      <c r="I43" s="9">
        <v>1.12E-2</v>
      </c>
      <c r="J43" s="9">
        <v>2.8E-3</v>
      </c>
      <c r="K43" s="9">
        <v>2.0999999999999999E-3</v>
      </c>
      <c r="L43" s="9">
        <v>3.0000000000000001E-3</v>
      </c>
      <c r="M43" s="9">
        <v>2.5000000000000001E-3</v>
      </c>
      <c r="N43" s="9">
        <v>3.3999999999999998E-3</v>
      </c>
      <c r="O43" s="9"/>
      <c r="P43" s="9">
        <v>5.5999999999999999E-3</v>
      </c>
      <c r="Q43" s="9">
        <v>2.8999999999999998E-3</v>
      </c>
      <c r="R43" s="9">
        <v>4.1999999999999997E-3</v>
      </c>
      <c r="S43" s="9">
        <v>2.3E-3</v>
      </c>
      <c r="T43" s="9"/>
      <c r="U43" s="9">
        <v>2.5000000000000001E-3</v>
      </c>
      <c r="V43" s="9">
        <v>2.5999999999999999E-3</v>
      </c>
      <c r="W43" s="9">
        <v>3.3999999999999998E-3</v>
      </c>
      <c r="X43" s="9">
        <v>2.5000000000000001E-3</v>
      </c>
      <c r="Y43" s="9">
        <v>2E-3</v>
      </c>
      <c r="Z43" s="9">
        <v>1E-3</v>
      </c>
      <c r="AA43" s="9">
        <v>3.5000000000000001E-3</v>
      </c>
      <c r="AB43" s="9">
        <v>1.6999999999999999E-3</v>
      </c>
      <c r="AC43" s="9">
        <v>1.6999999999999999E-3</v>
      </c>
      <c r="AD43" s="9">
        <v>1.6000000000000001E-3</v>
      </c>
      <c r="AE43" s="9">
        <v>1.2999999999999999E-3</v>
      </c>
    </row>
    <row r="44" spans="1:31" x14ac:dyDescent="0.3">
      <c r="B44" s="5">
        <v>202511</v>
      </c>
      <c r="C44" s="5"/>
      <c r="D44" s="9">
        <v>2.3E-3</v>
      </c>
      <c r="E44" s="9">
        <v>3.5999999999999999E-3</v>
      </c>
      <c r="F44" s="9">
        <v>2.2000000000000001E-3</v>
      </c>
      <c r="G44" s="9">
        <v>5.0000000000000001E-3</v>
      </c>
      <c r="H44" s="9">
        <v>4.1000000000000003E-3</v>
      </c>
      <c r="I44" s="9">
        <v>6.6E-3</v>
      </c>
      <c r="J44" s="9">
        <v>1.9E-3</v>
      </c>
      <c r="K44" s="9">
        <v>2.0999999999999999E-3</v>
      </c>
      <c r="L44" s="9">
        <v>1.2999999999999999E-3</v>
      </c>
      <c r="M44" s="9">
        <v>2E-3</v>
      </c>
      <c r="N44" s="9">
        <v>2.5999999999999999E-3</v>
      </c>
      <c r="O44" s="9"/>
      <c r="P44" s="9">
        <v>3.5000000000000001E-3</v>
      </c>
      <c r="Q44" s="9">
        <v>2.5000000000000001E-3</v>
      </c>
      <c r="R44" s="9">
        <v>3.5000000000000001E-3</v>
      </c>
      <c r="S44" s="9">
        <v>2.3E-3</v>
      </c>
      <c r="T44" s="9"/>
      <c r="U44" s="9">
        <v>3.0000000000000001E-3</v>
      </c>
      <c r="V44" s="9">
        <v>2.3E-3</v>
      </c>
      <c r="W44" s="9">
        <v>3.0999999999999999E-3</v>
      </c>
      <c r="X44" s="9">
        <v>2.8E-3</v>
      </c>
      <c r="Y44" s="9">
        <v>1.9E-3</v>
      </c>
      <c r="Z44" s="9">
        <v>8.9999999999999998E-4</v>
      </c>
      <c r="AA44" s="9">
        <v>3.5000000000000001E-3</v>
      </c>
      <c r="AB44" s="9">
        <v>1.5E-3</v>
      </c>
      <c r="AC44" s="9">
        <v>1.1000000000000001E-3</v>
      </c>
      <c r="AD44" s="9">
        <v>1.1999999999999999E-3</v>
      </c>
      <c r="AE44" s="9">
        <v>1.4E-3</v>
      </c>
    </row>
    <row r="45" spans="1:31" x14ac:dyDescent="0.3">
      <c r="B45" s="5">
        <v>202512</v>
      </c>
      <c r="C45" s="5"/>
      <c r="D45" s="9">
        <v>2.5000000000000001E-3</v>
      </c>
      <c r="E45" s="9">
        <v>3.0999999999999999E-3</v>
      </c>
      <c r="F45" s="9">
        <v>2.3999999999999998E-3</v>
      </c>
      <c r="G45" s="9">
        <v>3.3999999999999998E-3</v>
      </c>
      <c r="H45" s="9">
        <v>3.2000000000000002E-3</v>
      </c>
      <c r="I45" s="9">
        <v>4.7000000000000002E-3</v>
      </c>
      <c r="J45" s="9">
        <v>8.9999999999999998E-4</v>
      </c>
      <c r="K45" s="9">
        <v>4.1999999999999997E-3</v>
      </c>
      <c r="L45" s="9">
        <v>2.5999999999999999E-3</v>
      </c>
      <c r="M45" s="9">
        <v>1.9E-3</v>
      </c>
      <c r="N45" s="9">
        <v>3.2000000000000002E-3</v>
      </c>
      <c r="O45" s="9"/>
      <c r="P45" s="9">
        <v>4.4000000000000003E-3</v>
      </c>
      <c r="Q45" s="9">
        <v>3.7000000000000002E-3</v>
      </c>
      <c r="R45" s="9">
        <v>3.2000000000000002E-3</v>
      </c>
      <c r="S45" s="9">
        <v>2.5999999999999999E-3</v>
      </c>
      <c r="T45" s="9"/>
      <c r="U45" s="9">
        <v>3.3999999999999998E-3</v>
      </c>
      <c r="V45" s="9">
        <v>2.5000000000000001E-3</v>
      </c>
      <c r="W45" s="9">
        <v>3.0999999999999999E-3</v>
      </c>
      <c r="X45" s="9">
        <v>3.2000000000000002E-3</v>
      </c>
      <c r="Y45" s="9">
        <v>1.5E-3</v>
      </c>
      <c r="Z45" s="9">
        <v>8.0000000000000004E-4</v>
      </c>
      <c r="AA45" s="9">
        <v>3.8999999999999998E-3</v>
      </c>
      <c r="AB45" s="9">
        <v>3.5999999999999999E-3</v>
      </c>
      <c r="AC45" s="9">
        <v>1.1000000000000001E-3</v>
      </c>
      <c r="AD45" s="9">
        <v>1E-3</v>
      </c>
      <c r="AE45" s="9">
        <v>8.9999999999999998E-4</v>
      </c>
    </row>
    <row r="46" spans="1:31" x14ac:dyDescent="0.3">
      <c r="B46" s="5">
        <v>202513</v>
      </c>
      <c r="C46" s="5"/>
      <c r="D46" s="9">
        <v>2.5000000000000001E-3</v>
      </c>
      <c r="E46" s="9">
        <v>3.0000000000000001E-3</v>
      </c>
      <c r="F46" s="9">
        <v>2.5000000000000001E-3</v>
      </c>
      <c r="G46" s="9">
        <v>3.0000000000000001E-3</v>
      </c>
      <c r="H46" s="9">
        <v>2.8999999999999998E-3</v>
      </c>
      <c r="I46" s="9">
        <v>4.7000000000000002E-3</v>
      </c>
      <c r="J46" s="9">
        <v>2.5999999999999999E-3</v>
      </c>
      <c r="K46" s="9">
        <v>4.4999999999999997E-3</v>
      </c>
      <c r="L46" s="9">
        <v>1.6999999999999999E-3</v>
      </c>
      <c r="M46" s="9">
        <v>2E-3</v>
      </c>
      <c r="N46" s="9">
        <v>3.5999999999999999E-3</v>
      </c>
      <c r="O46" s="9"/>
      <c r="P46" s="9">
        <v>5.3E-3</v>
      </c>
      <c r="Q46" s="9">
        <v>2.5000000000000001E-3</v>
      </c>
      <c r="R46" s="9">
        <v>3.8E-3</v>
      </c>
      <c r="S46" s="9">
        <v>3.0000000000000001E-3</v>
      </c>
      <c r="T46" s="9"/>
      <c r="U46" s="9">
        <v>3.5999999999999999E-3</v>
      </c>
      <c r="V46" s="9">
        <v>2.5000000000000001E-3</v>
      </c>
      <c r="W46" s="9">
        <v>3.5000000000000001E-3</v>
      </c>
      <c r="X46" s="9">
        <v>3.0999999999999999E-3</v>
      </c>
      <c r="Y46" s="9">
        <v>2E-3</v>
      </c>
      <c r="Z46" s="9">
        <v>1.1000000000000001E-3</v>
      </c>
      <c r="AA46" s="9">
        <v>3.7000000000000002E-3</v>
      </c>
      <c r="AB46" s="9">
        <v>1.8E-3</v>
      </c>
      <c r="AC46" s="9">
        <v>1.6999999999999999E-3</v>
      </c>
      <c r="AD46" s="9">
        <v>8.9999999999999998E-4</v>
      </c>
      <c r="AE46" s="9">
        <v>1E-3</v>
      </c>
    </row>
    <row r="47" spans="1:31" x14ac:dyDescent="0.3">
      <c r="B47" s="5">
        <v>202514</v>
      </c>
      <c r="C47" s="5"/>
      <c r="D47" s="9">
        <v>2.5999999999999999E-3</v>
      </c>
      <c r="E47" s="9">
        <v>4.1999999999999997E-3</v>
      </c>
      <c r="F47" s="9">
        <v>2.5000000000000001E-3</v>
      </c>
      <c r="G47" s="9">
        <v>4.8999999999999998E-3</v>
      </c>
      <c r="H47" s="9">
        <v>3.2000000000000002E-3</v>
      </c>
      <c r="I47" s="9">
        <v>2.8E-3</v>
      </c>
      <c r="J47" s="9">
        <v>6.1000000000000004E-3</v>
      </c>
      <c r="K47" s="9">
        <v>7.1000000000000004E-3</v>
      </c>
      <c r="L47" s="9">
        <v>8.9999999999999998E-4</v>
      </c>
      <c r="M47" s="9">
        <v>2.0999999999999999E-3</v>
      </c>
      <c r="N47" s="9">
        <v>3.7000000000000002E-3</v>
      </c>
      <c r="O47" s="9"/>
      <c r="P47" s="9">
        <v>3.8999999999999998E-3</v>
      </c>
      <c r="Q47" s="9">
        <v>2.5000000000000001E-3</v>
      </c>
      <c r="R47" s="9">
        <v>-1</v>
      </c>
      <c r="S47" s="9">
        <v>2.8E-3</v>
      </c>
      <c r="T47" s="9"/>
      <c r="U47" s="9">
        <v>3.5999999999999999E-3</v>
      </c>
      <c r="V47" s="9">
        <v>2.0999999999999999E-3</v>
      </c>
      <c r="W47" s="9">
        <v>3.2000000000000002E-3</v>
      </c>
      <c r="X47" s="9">
        <v>3.2000000000000002E-3</v>
      </c>
      <c r="Y47" s="9">
        <v>2.3999999999999998E-3</v>
      </c>
      <c r="Z47" s="9">
        <v>1.1999999999999999E-3</v>
      </c>
      <c r="AA47" s="9">
        <v>4.7999999999999996E-3</v>
      </c>
      <c r="AB47" s="9">
        <v>1.6999999999999999E-3</v>
      </c>
      <c r="AC47" s="9">
        <v>1.6999999999999999E-3</v>
      </c>
      <c r="AD47" s="9">
        <v>1.1000000000000001E-3</v>
      </c>
      <c r="AE47" s="9">
        <v>1.1000000000000001E-3</v>
      </c>
    </row>
    <row r="48" spans="1:31" x14ac:dyDescent="0.3">
      <c r="B48" s="5">
        <v>202515</v>
      </c>
      <c r="C48" s="5"/>
      <c r="D48" s="9">
        <v>2.5000000000000001E-3</v>
      </c>
      <c r="E48" s="9">
        <v>3.3E-3</v>
      </c>
      <c r="F48" s="9">
        <v>2.3999999999999998E-3</v>
      </c>
      <c r="G48" s="9">
        <v>5.1000000000000004E-3</v>
      </c>
      <c r="H48" s="9">
        <v>2.8E-3</v>
      </c>
      <c r="I48" s="9">
        <v>1.9E-3</v>
      </c>
      <c r="J48" s="9">
        <v>2.3999999999999998E-3</v>
      </c>
      <c r="K48" s="9">
        <v>3.0999999999999999E-3</v>
      </c>
      <c r="L48" s="9">
        <v>1.5E-3</v>
      </c>
      <c r="M48" s="9">
        <v>1.8E-3</v>
      </c>
      <c r="N48" s="9"/>
      <c r="O48" s="9"/>
      <c r="P48" s="9">
        <v>5.3E-3</v>
      </c>
      <c r="Q48" s="9">
        <v>2.5000000000000001E-3</v>
      </c>
      <c r="R48" s="9"/>
      <c r="S48" s="9">
        <v>2.5000000000000001E-3</v>
      </c>
      <c r="T48" s="9"/>
      <c r="U48" s="9">
        <v>3.7000000000000002E-3</v>
      </c>
      <c r="V48" s="9">
        <v>2.5999999999999999E-3</v>
      </c>
      <c r="W48" s="9">
        <v>2.8999999999999998E-3</v>
      </c>
      <c r="X48" s="9">
        <v>3.5999999999999999E-3</v>
      </c>
      <c r="Y48" s="9">
        <v>2.5999999999999999E-3</v>
      </c>
      <c r="Z48" s="9">
        <v>8.0000000000000004E-4</v>
      </c>
      <c r="AA48" s="9">
        <v>3.7000000000000002E-3</v>
      </c>
      <c r="AB48" s="9">
        <v>1.9E-3</v>
      </c>
      <c r="AC48" s="9">
        <v>1.4E-3</v>
      </c>
      <c r="AD48" s="9">
        <v>8.9999999999999998E-4</v>
      </c>
      <c r="AE48" s="9">
        <v>1.4E-3</v>
      </c>
    </row>
    <row r="49" spans="2:31" x14ac:dyDescent="0.3">
      <c r="B49" s="5">
        <v>202516</v>
      </c>
      <c r="C49" s="5"/>
      <c r="D49" s="9">
        <v>2.7000000000000001E-3</v>
      </c>
      <c r="E49" s="9">
        <v>2.8E-3</v>
      </c>
      <c r="F49" s="9">
        <v>2.5999999999999999E-3</v>
      </c>
      <c r="G49" s="9">
        <v>3.8999999999999998E-3</v>
      </c>
      <c r="H49" s="9">
        <v>2.5000000000000001E-3</v>
      </c>
      <c r="I49" s="9">
        <v>2.8999999999999998E-3</v>
      </c>
      <c r="J49" s="9">
        <v>1.9E-3</v>
      </c>
      <c r="K49" s="9">
        <v>2.2000000000000001E-3</v>
      </c>
      <c r="L49" s="9">
        <v>2.5999999999999999E-3</v>
      </c>
      <c r="M49" s="9">
        <v>1.9E-3</v>
      </c>
      <c r="N49" s="9"/>
      <c r="O49" s="9"/>
      <c r="P49" s="9">
        <v>5.0000000000000001E-3</v>
      </c>
      <c r="Q49" s="9">
        <v>2.5000000000000001E-3</v>
      </c>
      <c r="R49" s="9"/>
      <c r="S49" s="9">
        <v>2.8E-3</v>
      </c>
      <c r="T49" s="9"/>
      <c r="U49" s="9">
        <v>4.0000000000000001E-3</v>
      </c>
      <c r="V49" s="9">
        <v>2.3E-3</v>
      </c>
      <c r="W49" s="9">
        <v>3.0999999999999999E-3</v>
      </c>
      <c r="X49" s="9">
        <v>3.5999999999999999E-3</v>
      </c>
      <c r="Y49" s="9">
        <v>3.3999999999999998E-3</v>
      </c>
      <c r="Z49" s="9">
        <v>1.1999999999999999E-3</v>
      </c>
      <c r="AA49" s="9">
        <v>4.3E-3</v>
      </c>
      <c r="AB49" s="9">
        <v>2.2000000000000001E-3</v>
      </c>
      <c r="AC49" s="9">
        <v>1.6000000000000001E-3</v>
      </c>
      <c r="AD49" s="9">
        <v>1.2999999999999999E-3</v>
      </c>
      <c r="AE49" s="9">
        <v>1.2999999999999999E-3</v>
      </c>
    </row>
    <row r="50" spans="2:31" x14ac:dyDescent="0.3">
      <c r="B50" s="5">
        <v>202517</v>
      </c>
      <c r="C50" s="5"/>
      <c r="D50" s="9">
        <v>2.8E-3</v>
      </c>
      <c r="E50" s="9">
        <v>2.5999999999999999E-3</v>
      </c>
      <c r="F50" s="9">
        <v>2.8E-3</v>
      </c>
      <c r="G50" s="9">
        <v>2.8E-3</v>
      </c>
      <c r="H50" s="9">
        <v>2.8999999999999998E-3</v>
      </c>
      <c r="I50" s="9">
        <v>3.8E-3</v>
      </c>
      <c r="J50" s="9">
        <v>1.4E-3</v>
      </c>
      <c r="K50" s="9">
        <v>2.3999999999999998E-3</v>
      </c>
      <c r="L50" s="9">
        <v>1.6999999999999999E-3</v>
      </c>
      <c r="M50" s="9">
        <v>1.2999999999999999E-3</v>
      </c>
      <c r="N50" s="9"/>
      <c r="O50" s="9"/>
      <c r="P50" s="9">
        <v>8.2000000000000007E-3</v>
      </c>
      <c r="Q50" s="9">
        <v>3.0999999999999999E-3</v>
      </c>
      <c r="R50" s="9"/>
      <c r="S50" s="9">
        <v>2.8E-3</v>
      </c>
      <c r="T50" s="9"/>
      <c r="U50" s="9">
        <v>3.8999999999999998E-3</v>
      </c>
      <c r="V50" s="9">
        <v>2.8999999999999998E-3</v>
      </c>
      <c r="W50" s="9">
        <v>3.5999999999999999E-3</v>
      </c>
      <c r="X50" s="9">
        <v>2.7000000000000001E-3</v>
      </c>
      <c r="Y50" s="9">
        <v>3.3E-3</v>
      </c>
      <c r="Z50" s="9">
        <v>8.9999999999999998E-4</v>
      </c>
      <c r="AA50" s="9">
        <v>4.1999999999999997E-3</v>
      </c>
      <c r="AB50" s="9">
        <v>2E-3</v>
      </c>
      <c r="AC50" s="9">
        <v>2.2000000000000001E-3</v>
      </c>
      <c r="AD50" s="9">
        <v>8.9999999999999998E-4</v>
      </c>
      <c r="AE50" s="9">
        <v>1.2999999999999999E-3</v>
      </c>
    </row>
    <row r="51" spans="2:31" x14ac:dyDescent="0.3">
      <c r="B51" s="5">
        <v>202518</v>
      </c>
      <c r="C51" s="5"/>
      <c r="D51" s="9">
        <v>3.7000000000000002E-3</v>
      </c>
      <c r="E51" s="9">
        <v>2.5999999999999999E-3</v>
      </c>
      <c r="F51" s="9">
        <v>3.7000000000000002E-3</v>
      </c>
      <c r="G51" s="9">
        <v>3.0999999999999999E-3</v>
      </c>
      <c r="H51" s="9">
        <v>2.2000000000000001E-3</v>
      </c>
      <c r="I51" s="9">
        <v>8.6999999999999994E-3</v>
      </c>
      <c r="J51" s="9">
        <v>2.5999999999999999E-3</v>
      </c>
      <c r="K51" s="9">
        <v>2.3999999999999998E-3</v>
      </c>
      <c r="L51" s="9">
        <v>1.6999999999999999E-3</v>
      </c>
      <c r="M51" s="9">
        <v>1.4E-3</v>
      </c>
      <c r="N51" s="9"/>
      <c r="O51" s="9"/>
      <c r="P51" s="9">
        <v>4.8999999999999998E-3</v>
      </c>
      <c r="Q51" s="9">
        <v>4.1999999999999997E-3</v>
      </c>
      <c r="R51" s="9"/>
      <c r="S51" s="9">
        <v>3.0000000000000001E-3</v>
      </c>
      <c r="T51" s="9"/>
      <c r="U51" s="9">
        <v>4.1999999999999997E-3</v>
      </c>
      <c r="V51" s="9">
        <v>2.0999999999999999E-3</v>
      </c>
      <c r="W51" s="9">
        <v>3.3E-3</v>
      </c>
      <c r="X51" s="9">
        <v>3.7000000000000002E-3</v>
      </c>
      <c r="Y51" s="9">
        <v>4.1999999999999997E-3</v>
      </c>
      <c r="Z51" s="9">
        <v>9.1999999999999998E-3</v>
      </c>
      <c r="AA51" s="9">
        <v>9.4000000000000004E-3</v>
      </c>
      <c r="AB51" s="9">
        <v>1.9E-3</v>
      </c>
      <c r="AC51" s="9">
        <v>1.8E-3</v>
      </c>
      <c r="AD51" s="9">
        <v>1.6000000000000001E-3</v>
      </c>
      <c r="AE51" s="9">
        <v>1.8E-3</v>
      </c>
    </row>
    <row r="52" spans="2:31" x14ac:dyDescent="0.3">
      <c r="B52" s="5">
        <v>202519</v>
      </c>
      <c r="C52" s="5"/>
      <c r="D52" s="9">
        <v>2.8999999999999998E-3</v>
      </c>
      <c r="E52" s="9">
        <v>2.3E-3</v>
      </c>
      <c r="F52" s="9">
        <v>2.8999999999999998E-3</v>
      </c>
      <c r="G52" s="9">
        <v>2.5000000000000001E-3</v>
      </c>
      <c r="H52" s="9">
        <v>2.0999999999999999E-3</v>
      </c>
      <c r="I52" s="9">
        <v>1E-3</v>
      </c>
      <c r="J52" s="9">
        <v>2.0999999999999999E-3</v>
      </c>
      <c r="K52" s="9">
        <v>4.3E-3</v>
      </c>
      <c r="L52" s="9">
        <v>1.2999999999999999E-3</v>
      </c>
      <c r="M52" s="9">
        <v>1.6999999999999999E-3</v>
      </c>
      <c r="N52" s="9"/>
      <c r="O52" s="9"/>
      <c r="P52" s="9">
        <v>5.1999999999999998E-3</v>
      </c>
      <c r="Q52" s="9">
        <v>3.2000000000000002E-3</v>
      </c>
      <c r="R52" s="9"/>
      <c r="S52" s="9">
        <v>2.5999999999999999E-3</v>
      </c>
      <c r="T52" s="9">
        <v>1.1999999999999999E-3</v>
      </c>
      <c r="U52" s="9">
        <v>3.8999999999999998E-3</v>
      </c>
      <c r="V52" s="9">
        <v>3.3999999999999998E-3</v>
      </c>
      <c r="W52" s="9">
        <v>4.1000000000000003E-3</v>
      </c>
      <c r="X52" s="9">
        <v>3.5000000000000001E-3</v>
      </c>
      <c r="Y52" s="9">
        <v>4.4999999999999997E-3</v>
      </c>
      <c r="Z52" s="9">
        <v>2E-3</v>
      </c>
      <c r="AA52" s="9">
        <v>4.8999999999999998E-3</v>
      </c>
      <c r="AB52" s="9">
        <v>3.0000000000000001E-3</v>
      </c>
      <c r="AC52" s="9">
        <v>1.9E-3</v>
      </c>
      <c r="AD52" s="9">
        <v>1E-3</v>
      </c>
      <c r="AE52" s="9">
        <v>2E-3</v>
      </c>
    </row>
    <row r="53" spans="2:31" x14ac:dyDescent="0.3">
      <c r="B53" s="5">
        <v>202520</v>
      </c>
      <c r="C53" s="5"/>
      <c r="D53" s="9">
        <v>2.7000000000000001E-3</v>
      </c>
      <c r="E53" s="9">
        <v>2.2000000000000001E-3</v>
      </c>
      <c r="F53" s="9">
        <v>2.7000000000000001E-3</v>
      </c>
      <c r="G53" s="9">
        <v>2.8E-3</v>
      </c>
      <c r="H53" s="9">
        <v>1.8E-3</v>
      </c>
      <c r="I53" s="9">
        <v>2.8999999999999998E-3</v>
      </c>
      <c r="J53" s="9">
        <v>2.0999999999999999E-3</v>
      </c>
      <c r="K53" s="9">
        <v>3.3999999999999998E-3</v>
      </c>
      <c r="L53" s="9">
        <v>8.9999999999999998E-4</v>
      </c>
      <c r="M53" s="9">
        <v>3.5000000000000001E-3</v>
      </c>
      <c r="N53" s="9">
        <v>6.9999999999999999E-4</v>
      </c>
      <c r="O53" s="9"/>
      <c r="P53" s="9">
        <v>4.4000000000000003E-3</v>
      </c>
      <c r="Q53" s="9">
        <v>3.5999999999999999E-3</v>
      </c>
      <c r="R53" s="9"/>
      <c r="S53" s="9">
        <v>2.7000000000000001E-3</v>
      </c>
      <c r="T53" s="9">
        <v>1.1999999999999999E-3</v>
      </c>
      <c r="U53" s="9">
        <v>3.8E-3</v>
      </c>
      <c r="V53" s="9">
        <v>2.8E-3</v>
      </c>
      <c r="W53" s="9">
        <v>4.0000000000000001E-3</v>
      </c>
      <c r="X53" s="9">
        <v>2.3E-3</v>
      </c>
      <c r="Y53" s="9">
        <v>4.3E-3</v>
      </c>
      <c r="Z53" s="9">
        <v>1.1999999999999999E-3</v>
      </c>
      <c r="AA53" s="9">
        <v>4.0000000000000001E-3</v>
      </c>
      <c r="AB53" s="9">
        <v>2.5000000000000001E-3</v>
      </c>
      <c r="AC53" s="9">
        <v>1.9E-3</v>
      </c>
      <c r="AD53" s="9">
        <v>1.4E-3</v>
      </c>
      <c r="AE53" s="9">
        <v>1.8E-3</v>
      </c>
    </row>
    <row r="54" spans="2:31" x14ac:dyDescent="0.3">
      <c r="B54" s="5">
        <v>202521</v>
      </c>
      <c r="C54" s="5"/>
      <c r="D54" s="9">
        <v>3.8E-3</v>
      </c>
      <c r="E54" s="9">
        <v>2.0999999999999999E-3</v>
      </c>
      <c r="F54" s="9">
        <v>3.8999999999999998E-3</v>
      </c>
      <c r="G54" s="9">
        <v>2.8999999999999998E-3</v>
      </c>
      <c r="H54" s="9">
        <v>1.9E-3</v>
      </c>
      <c r="I54" s="9">
        <v>2.8999999999999998E-3</v>
      </c>
      <c r="J54" s="9">
        <v>2.0000000000000001E-4</v>
      </c>
      <c r="K54" s="9">
        <v>2.7000000000000001E-3</v>
      </c>
      <c r="L54" s="9">
        <v>1.5E-3</v>
      </c>
      <c r="M54" s="9">
        <v>2E-3</v>
      </c>
      <c r="N54" s="9">
        <v>8.9999999999999998E-4</v>
      </c>
      <c r="O54" s="9"/>
      <c r="P54" s="9">
        <v>5.7000000000000002E-3</v>
      </c>
      <c r="Q54" s="9">
        <v>3.7000000000000002E-3</v>
      </c>
      <c r="R54" s="9"/>
      <c r="S54" s="9">
        <v>3.0999999999999999E-3</v>
      </c>
      <c r="T54" s="9">
        <v>1.5E-3</v>
      </c>
      <c r="U54" s="9">
        <v>4.1000000000000003E-3</v>
      </c>
      <c r="V54" s="9">
        <v>2.3999999999999998E-3</v>
      </c>
      <c r="W54" s="9">
        <v>0</v>
      </c>
      <c r="X54" s="9">
        <v>0</v>
      </c>
      <c r="Y54" s="9">
        <v>1.4200000000000001E-2</v>
      </c>
      <c r="Z54" s="9">
        <v>1.4E-3</v>
      </c>
      <c r="AA54" s="9">
        <v>3.8E-3</v>
      </c>
      <c r="AB54" s="9">
        <v>1.6999999999999999E-3</v>
      </c>
      <c r="AC54" s="9">
        <v>2.0999999999999999E-3</v>
      </c>
      <c r="AD54" s="9">
        <v>1.1000000000000001E-3</v>
      </c>
      <c r="AE54" s="9">
        <v>4.4000000000000003E-3</v>
      </c>
    </row>
    <row r="55" spans="2:31" x14ac:dyDescent="0.3">
      <c r="B55" s="5">
        <v>202522</v>
      </c>
      <c r="C55" s="5"/>
      <c r="D55" s="9">
        <v>2.7000000000000001E-3</v>
      </c>
      <c r="E55" s="9">
        <v>2.2000000000000001E-3</v>
      </c>
      <c r="F55" s="9">
        <v>2.8E-3</v>
      </c>
      <c r="G55" s="9">
        <v>2.3999999999999998E-3</v>
      </c>
      <c r="H55" s="9">
        <v>2E-3</v>
      </c>
      <c r="I55" s="9">
        <v>3.8999999999999998E-3</v>
      </c>
      <c r="J55" s="9">
        <v>6.9999999999999999E-4</v>
      </c>
      <c r="K55" s="9">
        <v>3.7000000000000002E-3</v>
      </c>
      <c r="L55" s="9">
        <v>2.2000000000000001E-3</v>
      </c>
      <c r="M55" s="9">
        <v>2.5000000000000001E-3</v>
      </c>
      <c r="N55" s="9">
        <v>2.2000000000000001E-3</v>
      </c>
      <c r="O55" s="9"/>
      <c r="P55" s="9">
        <v>8.3999999999999995E-3</v>
      </c>
      <c r="Q55" s="9">
        <v>3.3999999999999998E-3</v>
      </c>
      <c r="R55" s="9"/>
      <c r="S55" s="9">
        <v>3.0000000000000001E-3</v>
      </c>
      <c r="T55" s="9">
        <v>1.6999999999999999E-3</v>
      </c>
      <c r="U55" s="9">
        <v>2.9999999999999997E-4</v>
      </c>
      <c r="V55" s="9">
        <v>3.2000000000000002E-3</v>
      </c>
      <c r="W55" s="9"/>
      <c r="X55" s="9"/>
      <c r="Y55" s="9">
        <v>5.7999999999999996E-3</v>
      </c>
      <c r="Z55" s="9">
        <v>1.2999999999999999E-3</v>
      </c>
      <c r="AA55" s="9">
        <v>4.1000000000000003E-3</v>
      </c>
      <c r="AB55" s="9">
        <v>2.5000000000000001E-3</v>
      </c>
      <c r="AC55" s="9">
        <v>1.9E-3</v>
      </c>
      <c r="AD55" s="9">
        <v>1.1999999999999999E-3</v>
      </c>
      <c r="AE55" s="9">
        <v>2.3E-3</v>
      </c>
    </row>
    <row r="56" spans="2:31" x14ac:dyDescent="0.3">
      <c r="B56" s="5">
        <v>202523</v>
      </c>
      <c r="C56" s="5"/>
      <c r="D56" s="9">
        <v>3.0000000000000001E-3</v>
      </c>
      <c r="E56" s="9">
        <v>1.9E-3</v>
      </c>
      <c r="F56" s="9">
        <v>3.0999999999999999E-3</v>
      </c>
      <c r="G56" s="9">
        <v>1.6999999999999999E-3</v>
      </c>
      <c r="H56" s="9">
        <v>1.1000000000000001E-3</v>
      </c>
      <c r="I56" s="9">
        <v>1E-3</v>
      </c>
      <c r="J56" s="9">
        <v>2.2000000000000001E-3</v>
      </c>
      <c r="K56" s="9">
        <v>1.6999999999999999E-3</v>
      </c>
      <c r="L56" s="9">
        <v>4.7999999999999996E-3</v>
      </c>
      <c r="M56" s="9">
        <v>2.5000000000000001E-3</v>
      </c>
      <c r="N56" s="9">
        <v>5.1999999999999998E-3</v>
      </c>
      <c r="O56" s="9"/>
      <c r="P56" s="9">
        <v>9.4999999999999998E-3</v>
      </c>
      <c r="Q56" s="9">
        <v>3.5000000000000001E-3</v>
      </c>
      <c r="R56" s="9"/>
      <c r="S56" s="9">
        <v>3.0000000000000001E-3</v>
      </c>
      <c r="T56" s="9">
        <v>1.9E-3</v>
      </c>
      <c r="U56" s="9"/>
      <c r="V56" s="9">
        <v>2.5999999999999999E-3</v>
      </c>
      <c r="W56" s="9"/>
      <c r="X56" s="9"/>
      <c r="Y56" s="9">
        <v>3.8E-3</v>
      </c>
      <c r="Z56" s="9">
        <v>1.6000000000000001E-3</v>
      </c>
      <c r="AA56" s="9">
        <v>6.1999999999999998E-3</v>
      </c>
      <c r="AB56" s="9">
        <v>3.5000000000000001E-3</v>
      </c>
      <c r="AC56" s="9">
        <v>1.9E-3</v>
      </c>
      <c r="AD56" s="9">
        <v>1.4E-3</v>
      </c>
      <c r="AE56" s="9">
        <v>2.3999999999999998E-3</v>
      </c>
    </row>
    <row r="57" spans="2:31" x14ac:dyDescent="0.3">
      <c r="B57" s="5">
        <v>202524</v>
      </c>
      <c r="C57" s="5"/>
      <c r="D57" s="9">
        <v>3.3E-3</v>
      </c>
      <c r="E57" s="9">
        <v>2.5999999999999999E-3</v>
      </c>
      <c r="F57" s="9">
        <v>3.3E-3</v>
      </c>
      <c r="G57" s="9">
        <v>2.3999999999999998E-3</v>
      </c>
      <c r="H57" s="9">
        <v>2.0999999999999999E-3</v>
      </c>
      <c r="I57" s="9">
        <v>5.8999999999999999E-3</v>
      </c>
      <c r="J57" s="9">
        <v>3.0999999999999999E-3</v>
      </c>
      <c r="K57" s="9">
        <v>2.3999999999999998E-3</v>
      </c>
      <c r="L57" s="9">
        <v>3.3E-3</v>
      </c>
      <c r="M57" s="9">
        <v>5.1999999999999998E-3</v>
      </c>
      <c r="N57" s="9">
        <v>5.1000000000000004E-3</v>
      </c>
      <c r="O57" s="9"/>
      <c r="P57" s="9">
        <v>8.9999999999999993E-3</v>
      </c>
      <c r="Q57" s="9">
        <v>4.1999999999999997E-3</v>
      </c>
      <c r="R57" s="9"/>
      <c r="S57" s="9">
        <v>2.8999999999999998E-3</v>
      </c>
      <c r="T57" s="9">
        <v>1.9E-3</v>
      </c>
      <c r="U57" s="9"/>
      <c r="V57" s="9">
        <v>2.5000000000000001E-3</v>
      </c>
      <c r="W57" s="9"/>
      <c r="X57" s="9"/>
      <c r="Y57" s="9">
        <v>4.1999999999999997E-3</v>
      </c>
      <c r="Z57" s="9">
        <v>1.6000000000000001E-3</v>
      </c>
      <c r="AA57" s="9">
        <v>6.3E-3</v>
      </c>
      <c r="AB57" s="9">
        <v>3.0000000000000001E-3</v>
      </c>
      <c r="AC57" s="9">
        <v>2.3E-3</v>
      </c>
      <c r="AD57" s="9">
        <v>1.8E-3</v>
      </c>
      <c r="AE57" s="9">
        <v>2.0999999999999999E-3</v>
      </c>
    </row>
    <row r="58" spans="2:31" x14ac:dyDescent="0.3">
      <c r="B58" s="5">
        <v>202525</v>
      </c>
      <c r="C58" s="5"/>
      <c r="D58" s="9">
        <v>3.2000000000000002E-3</v>
      </c>
      <c r="E58" s="9">
        <v>2.8999999999999998E-3</v>
      </c>
      <c r="F58" s="9">
        <v>3.2000000000000002E-3</v>
      </c>
      <c r="G58" s="9">
        <v>2.0999999999999999E-3</v>
      </c>
      <c r="H58" s="9">
        <v>2.0999999999999999E-3</v>
      </c>
      <c r="I58" s="9">
        <v>6.8999999999999999E-3</v>
      </c>
      <c r="J58" s="9">
        <v>4.3E-3</v>
      </c>
      <c r="K58" s="9">
        <v>3.8999999999999998E-3</v>
      </c>
      <c r="L58" s="9">
        <v>4.4000000000000003E-3</v>
      </c>
      <c r="M58" s="9">
        <v>6.4000000000000003E-3</v>
      </c>
      <c r="N58" s="9">
        <v>4.4999999999999997E-3</v>
      </c>
      <c r="O58" s="9"/>
      <c r="P58" s="9">
        <v>9.7000000000000003E-3</v>
      </c>
      <c r="Q58" s="9">
        <v>3.3999999999999998E-3</v>
      </c>
      <c r="R58" s="9"/>
      <c r="S58" s="9">
        <v>3.0000000000000001E-3</v>
      </c>
      <c r="T58" s="9">
        <v>1.9E-3</v>
      </c>
      <c r="U58" s="9"/>
      <c r="V58" s="9">
        <v>3.3999999999999998E-3</v>
      </c>
      <c r="W58" s="9"/>
      <c r="X58" s="9"/>
      <c r="Y58" s="9">
        <v>5.0000000000000001E-3</v>
      </c>
      <c r="Z58" s="9">
        <v>1.1999999999999999E-3</v>
      </c>
      <c r="AA58" s="9">
        <v>3.5999999999999999E-3</v>
      </c>
      <c r="AB58" s="9">
        <v>3.0999999999999999E-3</v>
      </c>
      <c r="AC58" s="9">
        <v>2.8E-3</v>
      </c>
      <c r="AD58" s="9">
        <v>1.6999999999999999E-3</v>
      </c>
      <c r="AE58" s="9">
        <v>1.8E-3</v>
      </c>
    </row>
    <row r="59" spans="2:31" x14ac:dyDescent="0.3">
      <c r="B59" s="5">
        <v>202526</v>
      </c>
      <c r="C59" s="5"/>
      <c r="D59" s="9">
        <v>3.5000000000000001E-3</v>
      </c>
      <c r="E59" s="9">
        <v>2.3E-3</v>
      </c>
      <c r="F59" s="9">
        <v>3.5999999999999999E-3</v>
      </c>
      <c r="G59" s="9">
        <v>2E-3</v>
      </c>
      <c r="H59" s="9">
        <v>1.6000000000000001E-3</v>
      </c>
      <c r="I59" s="9">
        <v>7.0000000000000001E-3</v>
      </c>
      <c r="J59" s="9">
        <v>3.3999999999999998E-3</v>
      </c>
      <c r="K59" s="9">
        <v>2.5000000000000001E-3</v>
      </c>
      <c r="L59" s="9">
        <v>3.3E-3</v>
      </c>
      <c r="M59" s="9">
        <v>6.0000000000000001E-3</v>
      </c>
      <c r="N59" s="9">
        <v>2.7000000000000001E-3</v>
      </c>
      <c r="O59" s="9"/>
      <c r="P59" s="9">
        <v>1.9300000000000001E-2</v>
      </c>
      <c r="Q59" s="9">
        <v>3.2000000000000002E-3</v>
      </c>
      <c r="R59" s="9"/>
      <c r="S59" s="9">
        <v>3.3E-3</v>
      </c>
      <c r="T59" s="9">
        <v>1.9E-3</v>
      </c>
      <c r="U59" s="9"/>
      <c r="V59" s="9">
        <v>3.5999999999999999E-3</v>
      </c>
      <c r="W59" s="9"/>
      <c r="X59" s="9"/>
      <c r="Y59" s="9">
        <v>5.4999999999999997E-3</v>
      </c>
      <c r="Z59" s="9">
        <v>1.1999999999999999E-3</v>
      </c>
      <c r="AA59" s="9">
        <v>5.4999999999999997E-3</v>
      </c>
      <c r="AB59" s="9">
        <v>3.3E-3</v>
      </c>
      <c r="AC59" s="9">
        <v>3.0999999999999999E-3</v>
      </c>
      <c r="AD59" s="9">
        <v>1.6999999999999999E-3</v>
      </c>
      <c r="AE59" s="9">
        <v>2.2000000000000001E-3</v>
      </c>
    </row>
    <row r="60" spans="2:31" x14ac:dyDescent="0.3">
      <c r="B60" s="5">
        <v>202527</v>
      </c>
      <c r="C60" s="5"/>
      <c r="D60" s="9">
        <v>3.5000000000000001E-3</v>
      </c>
      <c r="E60" s="9">
        <v>2.7000000000000001E-3</v>
      </c>
      <c r="F60" s="9">
        <v>3.5999999999999999E-3</v>
      </c>
      <c r="G60" s="9">
        <v>1.5E-3</v>
      </c>
      <c r="H60" s="9">
        <v>2.2000000000000001E-3</v>
      </c>
      <c r="I60" s="9">
        <v>5.0000000000000001E-3</v>
      </c>
      <c r="J60" s="9">
        <v>4.4000000000000003E-3</v>
      </c>
      <c r="K60" s="9">
        <v>4.4999999999999997E-3</v>
      </c>
      <c r="L60" s="9">
        <v>3.5999999999999999E-3</v>
      </c>
      <c r="M60" s="9">
        <v>4.4000000000000003E-3</v>
      </c>
      <c r="N60" s="9">
        <v>1.4E-3</v>
      </c>
      <c r="O60" s="9"/>
      <c r="P60" s="9">
        <v>2.12E-2</v>
      </c>
      <c r="Q60" s="9">
        <v>4.1999999999999997E-3</v>
      </c>
      <c r="R60" s="9"/>
      <c r="S60" s="9">
        <v>3.2000000000000002E-3</v>
      </c>
      <c r="T60" s="9">
        <v>1.9E-3</v>
      </c>
      <c r="U60" s="9"/>
      <c r="V60" s="9">
        <v>3.3999999999999998E-3</v>
      </c>
      <c r="W60" s="9"/>
      <c r="X60" s="9"/>
      <c r="Y60" s="9">
        <v>5.7999999999999996E-3</v>
      </c>
      <c r="Z60" s="9">
        <v>1.1999999999999999E-3</v>
      </c>
      <c r="AA60" s="9">
        <v>6.3E-3</v>
      </c>
      <c r="AB60" s="9">
        <v>3.8999999999999998E-3</v>
      </c>
      <c r="AC60" s="9">
        <v>2.7000000000000001E-3</v>
      </c>
      <c r="AD60" s="9">
        <v>1.1999999999999999E-3</v>
      </c>
      <c r="AE60" s="9">
        <v>1.9E-3</v>
      </c>
    </row>
    <row r="61" spans="2:31" x14ac:dyDescent="0.3">
      <c r="B61" s="5">
        <v>202528</v>
      </c>
      <c r="C61" s="5"/>
      <c r="D61" s="9">
        <v>3.8E-3</v>
      </c>
      <c r="E61" s="9">
        <v>2.0999999999999999E-3</v>
      </c>
      <c r="F61" s="9">
        <v>3.8999999999999998E-3</v>
      </c>
      <c r="G61" s="9">
        <v>1.8E-3</v>
      </c>
      <c r="H61" s="9">
        <v>1.8E-3</v>
      </c>
      <c r="I61" s="9">
        <v>3.0000000000000001E-3</v>
      </c>
      <c r="J61" s="9">
        <v>1.9E-3</v>
      </c>
      <c r="K61" s="9">
        <v>2.5000000000000001E-3</v>
      </c>
      <c r="L61" s="9">
        <v>3.0999999999999999E-3</v>
      </c>
      <c r="M61" s="9">
        <v>5.7999999999999996E-3</v>
      </c>
      <c r="N61" s="9">
        <v>1.5E-3</v>
      </c>
      <c r="O61" s="9"/>
      <c r="P61" s="9">
        <v>1.24E-2</v>
      </c>
      <c r="Q61" s="9">
        <v>4.7000000000000002E-3</v>
      </c>
      <c r="R61" s="9"/>
      <c r="S61" s="9">
        <v>8.6999999999999994E-3</v>
      </c>
      <c r="T61" s="9">
        <v>2.0999999999999999E-3</v>
      </c>
      <c r="U61" s="9">
        <v>1.5E-3</v>
      </c>
      <c r="V61" s="9">
        <v>4.5999999999999999E-3</v>
      </c>
      <c r="W61" s="9">
        <v>8.0000000000000004E-4</v>
      </c>
      <c r="X61" s="9">
        <v>2.2000000000000001E-3</v>
      </c>
      <c r="Y61" s="9">
        <v>6.4000000000000003E-3</v>
      </c>
      <c r="Z61" s="9">
        <v>1.8E-3</v>
      </c>
      <c r="AA61" s="9">
        <v>6.4000000000000003E-3</v>
      </c>
      <c r="AB61" s="9">
        <v>3.7000000000000002E-3</v>
      </c>
      <c r="AC61" s="9">
        <v>3.0999999999999999E-3</v>
      </c>
      <c r="AD61" s="9">
        <v>2.0999999999999999E-3</v>
      </c>
      <c r="AE61" s="9">
        <v>2.3999999999999998E-3</v>
      </c>
    </row>
    <row r="62" spans="2:31" x14ac:dyDescent="0.3">
      <c r="B62" s="5">
        <v>202529</v>
      </c>
      <c r="C62" s="5"/>
      <c r="D62" s="9">
        <v>3.3E-3</v>
      </c>
      <c r="E62" s="9">
        <v>2.8E-3</v>
      </c>
      <c r="F62" s="9">
        <v>3.3E-3</v>
      </c>
      <c r="G62" s="9">
        <v>2.8999999999999998E-3</v>
      </c>
      <c r="H62" s="9">
        <v>1.6000000000000001E-3</v>
      </c>
      <c r="I62" s="9">
        <v>6.1000000000000004E-3</v>
      </c>
      <c r="J62" s="9">
        <v>3.3999999999999998E-3</v>
      </c>
      <c r="K62" s="9">
        <v>3.2000000000000002E-3</v>
      </c>
      <c r="L62" s="9">
        <v>4.3E-3</v>
      </c>
      <c r="M62" s="9">
        <v>3.8E-3</v>
      </c>
      <c r="N62" s="9">
        <v>1.4E-3</v>
      </c>
      <c r="O62" s="9"/>
      <c r="P62" s="9">
        <v>1.5800000000000002E-2</v>
      </c>
      <c r="Q62" s="9">
        <v>3.3999999999999998E-3</v>
      </c>
      <c r="R62" s="9"/>
      <c r="S62" s="9">
        <v>3.5000000000000001E-3</v>
      </c>
      <c r="T62" s="9">
        <v>2.0999999999999999E-3</v>
      </c>
      <c r="U62" s="9">
        <v>1.6000000000000001E-3</v>
      </c>
      <c r="V62" s="9">
        <v>4.1999999999999997E-3</v>
      </c>
      <c r="W62" s="9">
        <v>1.1000000000000001E-3</v>
      </c>
      <c r="X62" s="9">
        <v>1.6999999999999999E-3</v>
      </c>
      <c r="Y62" s="9">
        <v>5.8999999999999999E-3</v>
      </c>
      <c r="Z62" s="9">
        <v>1.6999999999999999E-3</v>
      </c>
      <c r="AA62" s="9">
        <v>7.3000000000000001E-3</v>
      </c>
      <c r="AB62" s="9">
        <v>3.3999999999999998E-3</v>
      </c>
      <c r="AC62" s="9">
        <v>3.3E-3</v>
      </c>
      <c r="AD62" s="9">
        <v>1.6000000000000001E-3</v>
      </c>
      <c r="AE62" s="9">
        <v>2E-3</v>
      </c>
    </row>
    <row r="63" spans="2:31" x14ac:dyDescent="0.3">
      <c r="B63" s="5">
        <v>202530</v>
      </c>
      <c r="C63" s="5"/>
      <c r="D63" s="9">
        <v>4.0000000000000001E-3</v>
      </c>
      <c r="E63" s="9">
        <v>2.5000000000000001E-3</v>
      </c>
      <c r="F63" s="9">
        <v>4.1000000000000003E-3</v>
      </c>
      <c r="G63" s="9">
        <v>2.0999999999999999E-3</v>
      </c>
      <c r="H63" s="9">
        <v>2E-3</v>
      </c>
      <c r="I63" s="9">
        <v>4.1000000000000003E-3</v>
      </c>
      <c r="J63" s="9">
        <v>2.7000000000000001E-3</v>
      </c>
      <c r="K63" s="9">
        <v>3.0000000000000001E-3</v>
      </c>
      <c r="L63" s="9">
        <v>3.8E-3</v>
      </c>
      <c r="M63" s="9">
        <v>5.7000000000000002E-3</v>
      </c>
      <c r="N63" s="9">
        <v>1.5E-3</v>
      </c>
      <c r="O63" s="9"/>
      <c r="P63" s="9">
        <v>1.2500000000000001E-2</v>
      </c>
      <c r="Q63" s="9">
        <v>3.7000000000000002E-3</v>
      </c>
      <c r="R63" s="9"/>
      <c r="S63" s="9">
        <v>1.0800000000000001E-2</v>
      </c>
      <c r="T63" s="9">
        <v>2E-3</v>
      </c>
      <c r="U63" s="9">
        <v>1.6999999999999999E-3</v>
      </c>
      <c r="V63" s="9">
        <v>4.7000000000000002E-3</v>
      </c>
      <c r="W63" s="9">
        <v>1.1000000000000001E-3</v>
      </c>
      <c r="X63" s="9">
        <v>1.5E-3</v>
      </c>
      <c r="Y63" s="9">
        <v>7.7999999999999996E-3</v>
      </c>
      <c r="Z63" s="9">
        <v>2.3999999999999998E-3</v>
      </c>
      <c r="AA63" s="9">
        <v>5.7000000000000002E-3</v>
      </c>
      <c r="AB63" s="9">
        <v>3.0999999999999999E-3</v>
      </c>
      <c r="AC63" s="9">
        <v>3.3E-3</v>
      </c>
      <c r="AD63" s="9">
        <v>1.6000000000000001E-3</v>
      </c>
      <c r="AE63" s="9">
        <v>2.3999999999999998E-3</v>
      </c>
    </row>
    <row r="64" spans="2:31" x14ac:dyDescent="0.3">
      <c r="B64" s="5">
        <v>202531</v>
      </c>
      <c r="C64" s="5"/>
      <c r="D64" s="9">
        <v>4.7999999999999996E-3</v>
      </c>
      <c r="E64" s="9">
        <v>3.5000000000000001E-3</v>
      </c>
      <c r="F64" s="9">
        <v>4.7999999999999996E-3</v>
      </c>
      <c r="G64" s="9">
        <v>3.3E-3</v>
      </c>
      <c r="H64" s="9">
        <v>3.5999999999999999E-3</v>
      </c>
      <c r="I64" s="9">
        <v>7.1000000000000004E-3</v>
      </c>
      <c r="J64" s="9">
        <v>4.8999999999999998E-3</v>
      </c>
      <c r="K64" s="9">
        <v>1.5E-3</v>
      </c>
      <c r="L64" s="9">
        <v>3.3999999999999998E-3</v>
      </c>
      <c r="M64" s="9">
        <v>7.4999999999999997E-3</v>
      </c>
      <c r="N64" s="9">
        <v>5.7999999999999996E-3</v>
      </c>
      <c r="O64" s="9"/>
      <c r="P64" s="9">
        <v>1.3299999999999999E-2</v>
      </c>
      <c r="Q64" s="9">
        <v>4.1999999999999997E-3</v>
      </c>
      <c r="R64" s="9"/>
      <c r="S64" s="9">
        <v>1.0800000000000001E-2</v>
      </c>
      <c r="T64" s="9">
        <v>2.3999999999999998E-3</v>
      </c>
      <c r="U64" s="9">
        <v>1.8E-3</v>
      </c>
      <c r="V64" s="9">
        <v>7.7999999999999996E-3</v>
      </c>
      <c r="W64" s="9">
        <v>1.6000000000000001E-3</v>
      </c>
      <c r="X64" s="9">
        <v>2.3E-3</v>
      </c>
      <c r="Y64" s="9">
        <v>7.9000000000000008E-3</v>
      </c>
      <c r="Z64" s="9">
        <v>1.9E-3</v>
      </c>
      <c r="AA64" s="9">
        <v>6.4000000000000003E-3</v>
      </c>
      <c r="AB64" s="9">
        <v>3.5999999999999999E-3</v>
      </c>
      <c r="AC64" s="9">
        <v>4.4000000000000003E-3</v>
      </c>
      <c r="AD64" s="9">
        <v>2.5000000000000001E-3</v>
      </c>
      <c r="AE64" s="9">
        <v>2E-3</v>
      </c>
    </row>
    <row r="65" spans="2:31" x14ac:dyDescent="0.3">
      <c r="B65" s="5">
        <v>202532</v>
      </c>
      <c r="C65" s="5"/>
      <c r="D65" s="9">
        <v>4.4000000000000003E-3</v>
      </c>
      <c r="E65" s="9">
        <v>3.8E-3</v>
      </c>
      <c r="F65" s="9">
        <v>4.4999999999999997E-3</v>
      </c>
      <c r="G65" s="9">
        <v>4.7999999999999996E-3</v>
      </c>
      <c r="H65" s="9">
        <v>2.5999999999999999E-3</v>
      </c>
      <c r="I65" s="9">
        <v>8.2000000000000007E-3</v>
      </c>
      <c r="J65" s="9">
        <v>4.7000000000000002E-3</v>
      </c>
      <c r="K65" s="9">
        <v>3.8E-3</v>
      </c>
      <c r="L65" s="9">
        <v>3.2000000000000002E-3</v>
      </c>
      <c r="M65" s="9">
        <v>6.4000000000000003E-3</v>
      </c>
      <c r="N65" s="9">
        <v>4.4000000000000003E-3</v>
      </c>
      <c r="O65" s="9"/>
      <c r="P65" s="9">
        <v>1.2699999999999999E-2</v>
      </c>
      <c r="Q65" s="9">
        <v>4.8999999999999998E-3</v>
      </c>
      <c r="R65" s="9"/>
      <c r="S65" s="9">
        <v>5.0000000000000001E-3</v>
      </c>
      <c r="T65" s="9">
        <v>1.6000000000000001E-3</v>
      </c>
      <c r="U65" s="9">
        <v>1.6999999999999999E-3</v>
      </c>
      <c r="V65" s="9">
        <v>5.4000000000000003E-3</v>
      </c>
      <c r="W65" s="9">
        <v>3.2000000000000002E-3</v>
      </c>
      <c r="X65" s="9">
        <v>2.3E-3</v>
      </c>
      <c r="Y65" s="9">
        <v>9.2999999999999992E-3</v>
      </c>
      <c r="Z65" s="9">
        <v>2E-3</v>
      </c>
      <c r="AA65" s="9">
        <v>5.4999999999999997E-3</v>
      </c>
      <c r="AB65" s="9">
        <v>4.1999999999999997E-3</v>
      </c>
      <c r="AC65" s="9">
        <v>7.4000000000000003E-3</v>
      </c>
      <c r="AD65" s="9">
        <v>2.0999999999999999E-3</v>
      </c>
      <c r="AE65" s="9">
        <v>2.7000000000000001E-3</v>
      </c>
    </row>
    <row r="66" spans="2:31" x14ac:dyDescent="0.3">
      <c r="B66" s="5">
        <v>202533</v>
      </c>
      <c r="C66" s="5"/>
      <c r="D66" s="9">
        <v>5.0000000000000001E-3</v>
      </c>
      <c r="E66" s="9">
        <v>3.5999999999999999E-3</v>
      </c>
      <c r="F66" s="9">
        <v>5.1000000000000004E-3</v>
      </c>
      <c r="G66" s="9">
        <v>4.7999999999999996E-3</v>
      </c>
      <c r="H66" s="9">
        <v>3.0000000000000001E-3</v>
      </c>
      <c r="I66" s="9">
        <v>6.1999999999999998E-3</v>
      </c>
      <c r="J66" s="9">
        <v>4.1999999999999997E-3</v>
      </c>
      <c r="K66" s="9">
        <v>2E-3</v>
      </c>
      <c r="L66" s="9">
        <v>2.5000000000000001E-3</v>
      </c>
      <c r="M66" s="9">
        <v>5.3E-3</v>
      </c>
      <c r="N66" s="9">
        <v>4.7000000000000002E-3</v>
      </c>
      <c r="O66" s="9"/>
      <c r="P66" s="9">
        <v>1.66E-2</v>
      </c>
      <c r="Q66" s="9">
        <v>8.5000000000000006E-3</v>
      </c>
      <c r="R66" s="9"/>
      <c r="S66" s="9">
        <v>2.3999999999999998E-3</v>
      </c>
      <c r="T66" s="9">
        <v>1.5E-3</v>
      </c>
      <c r="U66" s="9">
        <v>1.8E-3</v>
      </c>
      <c r="V66" s="9">
        <v>6.6E-3</v>
      </c>
      <c r="W66" s="9">
        <v>2.5999999999999999E-3</v>
      </c>
      <c r="X66" s="9">
        <v>1.6999999999999999E-3</v>
      </c>
      <c r="Y66" s="9">
        <v>1.04E-2</v>
      </c>
      <c r="Z66" s="9">
        <v>3.2000000000000002E-3</v>
      </c>
      <c r="AA66" s="9">
        <v>0</v>
      </c>
      <c r="AB66" s="9">
        <v>2.5000000000000001E-3</v>
      </c>
      <c r="AC66" s="9">
        <v>8.8000000000000005E-3</v>
      </c>
      <c r="AD66" s="9">
        <v>3.3999999999999998E-3</v>
      </c>
      <c r="AE66" s="9">
        <v>3.0000000000000001E-3</v>
      </c>
    </row>
    <row r="67" spans="2:31" x14ac:dyDescent="0.3">
      <c r="B67" s="5">
        <v>202534</v>
      </c>
      <c r="C67" s="5"/>
      <c r="D67" s="9">
        <v>4.4999999999999997E-3</v>
      </c>
      <c r="E67" s="9">
        <v>3.8999999999999998E-3</v>
      </c>
      <c r="F67" s="9">
        <v>4.5999999999999999E-3</v>
      </c>
      <c r="G67" s="9">
        <v>5.0000000000000001E-3</v>
      </c>
      <c r="H67" s="9">
        <v>3.3E-3</v>
      </c>
      <c r="I67" s="9">
        <v>5.5999999999999999E-3</v>
      </c>
      <c r="J67" s="9">
        <v>4.0000000000000001E-3</v>
      </c>
      <c r="K67" s="9">
        <v>1E-3</v>
      </c>
      <c r="L67" s="9">
        <v>3.3999999999999998E-3</v>
      </c>
      <c r="M67" s="9">
        <v>5.0000000000000001E-3</v>
      </c>
      <c r="N67" s="9">
        <v>3.8999999999999998E-3</v>
      </c>
      <c r="O67" s="9"/>
      <c r="P67" s="9">
        <v>1.9199999999999998E-2</v>
      </c>
      <c r="Q67" s="9">
        <v>6.1999999999999998E-3</v>
      </c>
      <c r="R67" s="9"/>
      <c r="S67" s="9">
        <v>2.3999999999999998E-3</v>
      </c>
      <c r="T67" s="9">
        <v>1.5E-3</v>
      </c>
      <c r="U67" s="9">
        <v>2.7000000000000001E-3</v>
      </c>
      <c r="V67" s="9">
        <v>4.4000000000000003E-3</v>
      </c>
      <c r="W67" s="9">
        <v>5.1000000000000004E-3</v>
      </c>
      <c r="X67" s="9">
        <v>2.5000000000000001E-3</v>
      </c>
      <c r="Y67" s="9">
        <v>1.09E-2</v>
      </c>
      <c r="Z67" s="9">
        <v>3.3E-3</v>
      </c>
      <c r="AA67" s="9"/>
      <c r="AB67" s="9"/>
      <c r="AC67" s="9">
        <v>6.4999999999999997E-3</v>
      </c>
      <c r="AD67" s="9">
        <v>2.8E-3</v>
      </c>
      <c r="AE67" s="9">
        <v>2.8E-3</v>
      </c>
    </row>
    <row r="68" spans="2:31" x14ac:dyDescent="0.3">
      <c r="B68" s="5">
        <v>202535</v>
      </c>
      <c r="C68" s="5"/>
      <c r="D68" s="9">
        <v>4.4999999999999997E-3</v>
      </c>
      <c r="E68" s="9">
        <v>4.1000000000000003E-3</v>
      </c>
      <c r="F68" s="9">
        <v>4.5999999999999999E-3</v>
      </c>
      <c r="G68" s="9">
        <v>3.3E-3</v>
      </c>
      <c r="H68" s="9">
        <v>4.0000000000000001E-3</v>
      </c>
      <c r="I68" s="9">
        <v>6.6E-3</v>
      </c>
      <c r="J68" s="9">
        <v>4.3E-3</v>
      </c>
      <c r="K68" s="9"/>
      <c r="L68" s="9">
        <v>3.3999999999999998E-3</v>
      </c>
      <c r="M68" s="9">
        <v>5.1999999999999998E-3</v>
      </c>
      <c r="N68" s="9">
        <v>3.7000000000000002E-3</v>
      </c>
      <c r="O68" s="9"/>
      <c r="P68" s="9">
        <v>1.89E-2</v>
      </c>
      <c r="Q68" s="9">
        <v>7.1999999999999998E-3</v>
      </c>
      <c r="R68" s="9"/>
      <c r="S68" s="9">
        <v>1.8E-3</v>
      </c>
      <c r="T68" s="9">
        <v>1.9E-3</v>
      </c>
      <c r="U68" s="9">
        <v>3.0999999999999999E-3</v>
      </c>
      <c r="V68" s="9">
        <v>4.4000000000000003E-3</v>
      </c>
      <c r="W68" s="9">
        <v>2.8999999999999998E-3</v>
      </c>
      <c r="X68" s="9">
        <v>2.5000000000000001E-3</v>
      </c>
      <c r="Y68" s="9">
        <v>1.23E-2</v>
      </c>
      <c r="Z68" s="9">
        <v>3.5999999999999999E-3</v>
      </c>
      <c r="AA68" s="9"/>
      <c r="AB68" s="9"/>
      <c r="AC68" s="9">
        <v>4.5999999999999999E-3</v>
      </c>
      <c r="AD68" s="9">
        <v>1.6999999999999999E-3</v>
      </c>
      <c r="AE68" s="9">
        <v>3.3E-3</v>
      </c>
    </row>
    <row r="69" spans="2:31" x14ac:dyDescent="0.3">
      <c r="B69" s="5">
        <v>202536</v>
      </c>
      <c r="C69" s="5"/>
      <c r="D69" s="9">
        <v>4.1999999999999997E-3</v>
      </c>
      <c r="E69" s="9">
        <v>3.8E-3</v>
      </c>
      <c r="F69" s="9">
        <v>4.1999999999999997E-3</v>
      </c>
      <c r="G69" s="9">
        <v>3.2000000000000002E-3</v>
      </c>
      <c r="H69" s="9">
        <v>3.2000000000000002E-3</v>
      </c>
      <c r="I69" s="9">
        <v>6.4000000000000003E-3</v>
      </c>
      <c r="J69" s="9">
        <v>3.0000000000000001E-3</v>
      </c>
      <c r="K69" s="9"/>
      <c r="L69" s="9">
        <v>4.5999999999999999E-3</v>
      </c>
      <c r="M69" s="9">
        <v>2.2000000000000001E-3</v>
      </c>
      <c r="N69" s="9">
        <v>3.3999999999999998E-3</v>
      </c>
      <c r="O69" s="9">
        <v>5.9999999999999995E-4</v>
      </c>
      <c r="P69" s="9">
        <v>1.3899999999999999E-2</v>
      </c>
      <c r="Q69" s="9">
        <v>5.4999999999999997E-3</v>
      </c>
      <c r="R69" s="9"/>
      <c r="S69" s="9">
        <v>1.5E-3</v>
      </c>
      <c r="T69" s="9">
        <v>1.6000000000000001E-3</v>
      </c>
      <c r="U69" s="9">
        <v>4.0000000000000001E-3</v>
      </c>
      <c r="V69" s="9">
        <v>3.5999999999999999E-3</v>
      </c>
      <c r="W69" s="9">
        <v>3.7000000000000002E-3</v>
      </c>
      <c r="X69" s="9">
        <v>3.0000000000000001E-3</v>
      </c>
      <c r="Y69" s="9">
        <v>1.23E-2</v>
      </c>
      <c r="Z69" s="9">
        <v>5.1999999999999998E-3</v>
      </c>
      <c r="AA69" s="9"/>
      <c r="AB69" s="9"/>
      <c r="AC69" s="9">
        <v>4.0000000000000001E-3</v>
      </c>
      <c r="AD69" s="9">
        <v>2.0999999999999999E-3</v>
      </c>
      <c r="AE69" s="9">
        <v>3.0999999999999999E-3</v>
      </c>
    </row>
    <row r="70" spans="2:31" x14ac:dyDescent="0.3">
      <c r="B70" s="5">
        <v>202537</v>
      </c>
      <c r="C70" s="5"/>
      <c r="D70" s="9">
        <v>4.8999999999999998E-3</v>
      </c>
      <c r="E70" s="9">
        <v>4.7000000000000002E-3</v>
      </c>
      <c r="F70" s="9">
        <v>4.8999999999999998E-3</v>
      </c>
      <c r="G70" s="9">
        <v>4.0000000000000001E-3</v>
      </c>
      <c r="H70" s="9">
        <v>3.2000000000000002E-3</v>
      </c>
      <c r="I70" s="9">
        <v>9.2999999999999992E-3</v>
      </c>
      <c r="J70" s="9">
        <v>6.3E-3</v>
      </c>
      <c r="K70" s="9"/>
      <c r="L70" s="9">
        <v>4.1999999999999997E-3</v>
      </c>
      <c r="M70" s="9"/>
      <c r="N70" s="9">
        <v>3.3999999999999998E-3</v>
      </c>
      <c r="O70" s="9">
        <v>1.11E-2</v>
      </c>
      <c r="P70" s="9">
        <v>1.14E-2</v>
      </c>
      <c r="Q70" s="9">
        <v>1.0500000000000001E-2</v>
      </c>
      <c r="R70" s="9"/>
      <c r="S70" s="9">
        <v>1.6000000000000001E-3</v>
      </c>
      <c r="T70" s="9">
        <v>1.6999999999999999E-3</v>
      </c>
      <c r="U70" s="9">
        <v>3.5999999999999999E-3</v>
      </c>
      <c r="V70" s="9">
        <v>4.4999999999999997E-3</v>
      </c>
      <c r="W70" s="9">
        <v>3.8999999999999998E-3</v>
      </c>
      <c r="X70" s="9">
        <v>4.1999999999999997E-3</v>
      </c>
      <c r="Y70" s="9">
        <v>1.1599999999999999E-2</v>
      </c>
      <c r="Z70" s="9">
        <v>3.7000000000000002E-3</v>
      </c>
      <c r="AA70" s="9"/>
      <c r="AB70" s="9"/>
      <c r="AC70" s="9">
        <v>4.4000000000000003E-3</v>
      </c>
      <c r="AD70" s="9">
        <v>3.3999999999999998E-3</v>
      </c>
      <c r="AE70" s="9">
        <v>3.3E-3</v>
      </c>
    </row>
    <row r="71" spans="2:31" ht="15" thickBot="1" x14ac:dyDescent="0.35">
      <c r="B71" s="5">
        <v>202538</v>
      </c>
      <c r="C71" s="5"/>
      <c r="D71" s="9">
        <v>4.5999999999999999E-3</v>
      </c>
      <c r="E71" s="9">
        <v>4.7000000000000002E-3</v>
      </c>
      <c r="F71" s="9">
        <v>4.5999999999999999E-3</v>
      </c>
      <c r="G71" s="9">
        <v>4.0000000000000001E-3</v>
      </c>
      <c r="H71" s="9">
        <v>3.7000000000000002E-3</v>
      </c>
      <c r="I71" s="9">
        <v>8.2000000000000007E-3</v>
      </c>
      <c r="J71" s="9">
        <v>6.1000000000000004E-3</v>
      </c>
      <c r="K71" s="9"/>
      <c r="L71" s="9">
        <v>3.5000000000000001E-3</v>
      </c>
      <c r="M71" s="9"/>
      <c r="N71" s="9">
        <v>3.8999999999999998E-3</v>
      </c>
      <c r="O71" s="9">
        <v>6.0000000000000001E-3</v>
      </c>
      <c r="P71" s="9">
        <v>1.0200000000000001E-2</v>
      </c>
      <c r="Q71" s="9">
        <v>8.5000000000000006E-3</v>
      </c>
      <c r="R71" s="9"/>
      <c r="S71" s="9">
        <v>1.8E-3</v>
      </c>
      <c r="T71" s="9">
        <v>1.2999999999999999E-3</v>
      </c>
      <c r="U71" s="9">
        <v>3.8E-3</v>
      </c>
      <c r="V71" s="9">
        <v>3.3999999999999998E-3</v>
      </c>
      <c r="W71" s="9">
        <v>6.4000000000000003E-3</v>
      </c>
      <c r="X71" s="9">
        <v>7.9000000000000008E-3</v>
      </c>
      <c r="Y71" s="9">
        <v>9.7999999999999997E-3</v>
      </c>
      <c r="Z71" s="9">
        <v>3.0000000000000001E-3</v>
      </c>
      <c r="AA71" s="9"/>
      <c r="AB71" s="9"/>
      <c r="AC71" s="9">
        <v>4.3E-3</v>
      </c>
      <c r="AD71" s="9">
        <v>3.0999999999999999E-3</v>
      </c>
      <c r="AE71" s="9">
        <v>3.2000000000000002E-3</v>
      </c>
    </row>
    <row r="72" spans="2:31" ht="15" thickBot="1" x14ac:dyDescent="0.35">
      <c r="B72" s="22" t="s">
        <v>82</v>
      </c>
      <c r="C72" s="22"/>
      <c r="D72" s="24">
        <f t="shared" ref="D72:AE72" si="17">AVERAGE(D34:D71)</f>
        <v>3.2631578947368419E-3</v>
      </c>
      <c r="E72" s="24">
        <f t="shared" si="17"/>
        <v>3.6789473684210529E-3</v>
      </c>
      <c r="F72" s="24">
        <f t="shared" si="17"/>
        <v>3.2157894736842101E-3</v>
      </c>
      <c r="G72" s="24">
        <f t="shared" si="17"/>
        <v>4.5315789473684221E-3</v>
      </c>
      <c r="H72" s="24">
        <f t="shared" si="17"/>
        <v>3.2736842105263162E-3</v>
      </c>
      <c r="I72" s="24">
        <f t="shared" si="17"/>
        <v>5.1578947368421052E-3</v>
      </c>
      <c r="J72" s="24">
        <f t="shared" si="17"/>
        <v>3.1657894736842099E-3</v>
      </c>
      <c r="K72" s="24">
        <f t="shared" si="17"/>
        <v>3.2558823529411757E-3</v>
      </c>
      <c r="L72" s="24">
        <f t="shared" si="17"/>
        <v>2.7499999999999998E-3</v>
      </c>
      <c r="M72" s="24">
        <f t="shared" si="17"/>
        <v>3.5388888888888892E-3</v>
      </c>
      <c r="N72" s="24">
        <f t="shared" si="17"/>
        <v>3.0484848484848485E-3</v>
      </c>
      <c r="O72" s="24">
        <f t="shared" si="17"/>
        <v>5.8999999999999999E-3</v>
      </c>
      <c r="P72" s="24">
        <f t="shared" si="17"/>
        <v>9.336842105263159E-3</v>
      </c>
      <c r="Q72" s="24">
        <f t="shared" si="17"/>
        <v>3.9289473684210527E-3</v>
      </c>
      <c r="R72" s="24">
        <f t="shared" si="17"/>
        <v>-6.7871428571428569E-2</v>
      </c>
      <c r="S72" s="24">
        <f t="shared" si="17"/>
        <v>3.0526315789473684E-3</v>
      </c>
      <c r="T72" s="24">
        <f t="shared" si="17"/>
        <v>1.7400000000000007E-3</v>
      </c>
      <c r="U72" s="24">
        <f t="shared" si="17"/>
        <v>2.7787878787878784E-3</v>
      </c>
      <c r="V72" s="24">
        <f t="shared" si="17"/>
        <v>3.6394736842105249E-3</v>
      </c>
      <c r="W72" s="24">
        <f t="shared" si="17"/>
        <v>3.3375000000000002E-3</v>
      </c>
      <c r="X72" s="24">
        <f t="shared" si="17"/>
        <v>2.8E-3</v>
      </c>
      <c r="Y72" s="24">
        <f t="shared" si="17"/>
        <v>5.0973684210526317E-3</v>
      </c>
      <c r="Z72" s="24">
        <f t="shared" si="17"/>
        <v>1.8184210526315788E-3</v>
      </c>
      <c r="AA72" s="24">
        <f t="shared" si="17"/>
        <v>4.3151515151515158E-3</v>
      </c>
      <c r="AB72" s="24">
        <f t="shared" si="17"/>
        <v>2.3757575757575762E-3</v>
      </c>
      <c r="AC72" s="24">
        <f t="shared" si="17"/>
        <v>2.8303030303030302E-3</v>
      </c>
      <c r="AD72" s="24">
        <f t="shared" si="17"/>
        <v>1.5787878787878783E-3</v>
      </c>
      <c r="AE72" s="24">
        <f t="shared" si="17"/>
        <v>1.8605263157894737E-3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T73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7.33203125" bestFit="1" customWidth="1"/>
    <col min="16" max="16" width="11.109375" bestFit="1" customWidth="1"/>
    <col min="17" max="17" width="8.664062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44140625" bestFit="1" customWidth="1"/>
    <col min="23" max="23" width="8.6640625" bestFit="1" customWidth="1"/>
    <col min="24" max="24" width="10.6640625" bestFit="1" customWidth="1"/>
    <col min="25" max="25" width="8.33203125" bestFit="1" customWidth="1"/>
    <col min="26" max="26" width="11.33203125" bestFit="1" customWidth="1"/>
    <col min="27" max="27" width="9.109375" bestFit="1" customWidth="1"/>
    <col min="28" max="28" width="11.109375" bestFit="1" customWidth="1"/>
    <col min="30" max="30" width="11.109375" bestFit="1" customWidth="1"/>
    <col min="31" max="31" width="7.44140625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45921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45927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141</v>
      </c>
      <c r="C6" s="7"/>
      <c r="D6" s="7">
        <v>7</v>
      </c>
      <c r="E6" s="7">
        <v>4590</v>
      </c>
      <c r="F6" s="7">
        <v>5300</v>
      </c>
      <c r="G6" s="7">
        <v>60</v>
      </c>
      <c r="H6" s="9">
        <f t="shared" ref="H6:H11" si="0">IFERROR(G6/F6,0)</f>
        <v>1.1320754716981131E-2</v>
      </c>
      <c r="I6" s="9">
        <f>IFERROR((4590-F6)/4590,0)</f>
        <v>-0.15468409586056645</v>
      </c>
      <c r="J6" s="7">
        <v>22080</v>
      </c>
      <c r="K6" s="11">
        <f t="shared" ref="K6:K11" si="1">IFERROR(J6/D6/F6*100,0)</f>
        <v>59.514824797843666</v>
      </c>
      <c r="L6" s="11">
        <f>K6-60.2079</f>
        <v>-0.69307520215633645</v>
      </c>
      <c r="M6" s="11">
        <v>0</v>
      </c>
      <c r="N6" s="11">
        <f t="shared" ref="N6:N11" si="2">K6-M6</f>
        <v>59.514824797843666</v>
      </c>
      <c r="O6" s="11">
        <f>IFERROR(129540/4590,0)</f>
        <v>28.222222222222221</v>
      </c>
      <c r="P6" s="11">
        <v>0</v>
      </c>
      <c r="Q6" s="11">
        <f>IFERROR(O6-P6,0)</f>
        <v>28.222222222222221</v>
      </c>
      <c r="R6" s="7">
        <v>4630</v>
      </c>
      <c r="S6" s="11">
        <f>IFERROR(R6/D6/F6*1000,0)</f>
        <v>124.7978436657682</v>
      </c>
      <c r="T6" s="13">
        <f t="shared" ref="T6:T11" si="3">IFERROR(J6/R6,0)</f>
        <v>4.76889848812095</v>
      </c>
      <c r="U6" s="7">
        <v>0</v>
      </c>
      <c r="V6" s="11">
        <f>IFERROR(U6/D6/F6*1000,0)</f>
        <v>0</v>
      </c>
      <c r="W6" s="11">
        <f t="shared" ref="W6:W11" si="4">IFERROR(V6/S6,0)</f>
        <v>0</v>
      </c>
      <c r="X6" s="11">
        <v>254.4685714286</v>
      </c>
      <c r="Y6" s="11">
        <f>IFERROR((F6*S6)/(F6*K6)*100,0)</f>
        <v>209.69202898550728</v>
      </c>
      <c r="Z6" s="11">
        <f t="shared" ref="Z6:Z11" si="5">IFERROR(Y6*X6/1000,0)</f>
        <v>53.360031055906617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10</v>
      </c>
      <c r="AF6" s="11">
        <v>26</v>
      </c>
      <c r="AG6" s="7">
        <f>IF(M6=0,0,IFERROR(N6/100*7*F6,0))</f>
        <v>0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>IFERROR(0/F6,0)</f>
        <v>0</v>
      </c>
      <c r="AP6" s="11">
        <v>0</v>
      </c>
      <c r="AQ6" s="7"/>
      <c r="AR6" s="7"/>
      <c r="AS6" s="7">
        <v>15</v>
      </c>
      <c r="AT6" s="7"/>
    </row>
    <row r="7" spans="1:46" x14ac:dyDescent="0.3">
      <c r="A7" s="5" t="s">
        <v>50</v>
      </c>
      <c r="B7" s="5">
        <v>101</v>
      </c>
      <c r="C7" s="7">
        <v>31</v>
      </c>
      <c r="D7" s="7">
        <v>7</v>
      </c>
      <c r="E7" s="7">
        <v>14440</v>
      </c>
      <c r="F7" s="7">
        <v>10679</v>
      </c>
      <c r="G7" s="7">
        <v>35</v>
      </c>
      <c r="H7" s="9">
        <f t="shared" si="0"/>
        <v>3.2774604363704466E-3</v>
      </c>
      <c r="I7" s="9">
        <f>IFERROR((14440-F7)/14440,0)</f>
        <v>0.26045706371191135</v>
      </c>
      <c r="J7" s="7">
        <v>50730</v>
      </c>
      <c r="K7" s="11">
        <f t="shared" si="1"/>
        <v>67.863497117172557</v>
      </c>
      <c r="L7" s="11">
        <f>K7-68.2818</f>
        <v>-0.41830288282744732</v>
      </c>
      <c r="M7" s="11">
        <v>75</v>
      </c>
      <c r="N7" s="11">
        <f t="shared" si="2"/>
        <v>-7.1365028828274433</v>
      </c>
      <c r="O7" s="11">
        <f>IFERROR(5600260/14440,0)</f>
        <v>387.8296398891967</v>
      </c>
      <c r="P7" s="11">
        <v>0</v>
      </c>
      <c r="Q7" s="11">
        <f>IFERROR(O7-P7,0)</f>
        <v>387.8296398891967</v>
      </c>
      <c r="R7" s="7">
        <v>9490</v>
      </c>
      <c r="S7" s="11">
        <f>IFERROR(R7/D7/F7*1000,0)</f>
        <v>126.95142669859405</v>
      </c>
      <c r="T7" s="13">
        <f t="shared" si="3"/>
        <v>5.3456269757639623</v>
      </c>
      <c r="U7" s="7">
        <v>0</v>
      </c>
      <c r="V7" s="11">
        <f>IFERROR(U7/D7/F7*1000,0)</f>
        <v>0</v>
      </c>
      <c r="W7" s="11">
        <f t="shared" si="4"/>
        <v>0</v>
      </c>
      <c r="X7" s="11">
        <v>373.15</v>
      </c>
      <c r="Y7" s="11">
        <f>IFERROR((F7*S7)/(F7*K7)*100,0)</f>
        <v>187.06879558446684</v>
      </c>
      <c r="Z7" s="11">
        <f t="shared" si="5"/>
        <v>69.80472107234381</v>
      </c>
      <c r="AA7" s="7">
        <v>2090</v>
      </c>
      <c r="AB7" s="15">
        <f>IFERROR(AA7/0,0)</f>
        <v>0</v>
      </c>
      <c r="AC7" s="11">
        <v>0</v>
      </c>
      <c r="AD7" s="15">
        <f>IFERROR(AC7/0,0)</f>
        <v>0</v>
      </c>
      <c r="AE7" s="11">
        <v>10</v>
      </c>
      <c r="AF7" s="11">
        <v>26</v>
      </c>
      <c r="AG7" s="7">
        <f>IF(M7=0,0,IFERROR(N7/100*7*F7,0))</f>
        <v>-5334.7499999999982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>IFERROR(0/F7,0)</f>
        <v>0</v>
      </c>
      <c r="AP7" s="11">
        <v>0</v>
      </c>
      <c r="AQ7" s="7"/>
      <c r="AR7" s="7"/>
      <c r="AS7" s="7">
        <v>15</v>
      </c>
      <c r="AT7" s="7"/>
    </row>
    <row r="8" spans="1:46" x14ac:dyDescent="0.3">
      <c r="A8" s="5" t="s">
        <v>51</v>
      </c>
      <c r="B8" s="5">
        <v>101</v>
      </c>
      <c r="C8" s="7">
        <v>31</v>
      </c>
      <c r="D8" s="7">
        <v>7</v>
      </c>
      <c r="E8" s="7">
        <v>16063</v>
      </c>
      <c r="F8" s="7">
        <v>12605</v>
      </c>
      <c r="G8" s="7">
        <v>41</v>
      </c>
      <c r="H8" s="9">
        <f t="shared" si="0"/>
        <v>3.2526775089250295E-3</v>
      </c>
      <c r="I8" s="9">
        <f>IFERROR((16063-F8)/16063,0)</f>
        <v>0.21527734545228164</v>
      </c>
      <c r="J8" s="7">
        <v>54660</v>
      </c>
      <c r="K8" s="11">
        <f t="shared" si="1"/>
        <v>61.94820649402164</v>
      </c>
      <c r="L8" s="11">
        <f>K8-62.0524</f>
        <v>-0.1041935059783583</v>
      </c>
      <c r="M8" s="11">
        <v>72</v>
      </c>
      <c r="N8" s="11">
        <f t="shared" si="2"/>
        <v>-10.05179350597836</v>
      </c>
      <c r="O8" s="11">
        <f>IFERROR(5847780/16063,0)</f>
        <v>364.05279213098424</v>
      </c>
      <c r="P8" s="11">
        <v>0</v>
      </c>
      <c r="Q8" s="11">
        <f>IFERROR(O8-P8,0)</f>
        <v>364.05279213098424</v>
      </c>
      <c r="R8" s="7">
        <v>10160</v>
      </c>
      <c r="S8" s="11">
        <f>IFERROR(R8/D8/F8*1000,0)</f>
        <v>115.1470504901683</v>
      </c>
      <c r="T8" s="13">
        <f t="shared" si="3"/>
        <v>5.3799212598425195</v>
      </c>
      <c r="U8" s="7">
        <v>0</v>
      </c>
      <c r="V8" s="11">
        <f>IFERROR(U8/D8/F8*1000,0)</f>
        <v>0</v>
      </c>
      <c r="W8" s="11">
        <f t="shared" si="4"/>
        <v>0</v>
      </c>
      <c r="X8" s="11">
        <v>317.14285714290003</v>
      </c>
      <c r="Y8" s="11">
        <f>IFERROR((F8*S8)/(F8*K8)*100,0)</f>
        <v>185.87632638126604</v>
      </c>
      <c r="Z8" s="11">
        <f t="shared" si="5"/>
        <v>58.949349223780921</v>
      </c>
      <c r="AA8" s="7">
        <v>1739</v>
      </c>
      <c r="AB8" s="15">
        <f>IFERROR(AA8/0,0)</f>
        <v>0</v>
      </c>
      <c r="AC8" s="11">
        <v>0</v>
      </c>
      <c r="AD8" s="15">
        <f>IFERROR(AC8/0,0)</f>
        <v>0</v>
      </c>
      <c r="AE8" s="11">
        <v>10</v>
      </c>
      <c r="AF8" s="11">
        <v>26</v>
      </c>
      <c r="AG8" s="7">
        <f>IF(M8=0,0,IFERROR(N8/100*7*F8,0))</f>
        <v>-8869.2000000000062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>IFERROR(0/F8,0)</f>
        <v>0</v>
      </c>
      <c r="AP8" s="11">
        <v>0</v>
      </c>
      <c r="AQ8" s="7"/>
      <c r="AR8" s="7"/>
      <c r="AS8" s="7">
        <v>15</v>
      </c>
      <c r="AT8" s="7"/>
    </row>
    <row r="9" spans="1:46" x14ac:dyDescent="0.3">
      <c r="A9" s="5" t="s">
        <v>52</v>
      </c>
      <c r="B9" s="5">
        <v>62</v>
      </c>
      <c r="C9" s="7"/>
      <c r="D9" s="7">
        <v>7</v>
      </c>
      <c r="E9" s="7">
        <v>4686</v>
      </c>
      <c r="F9" s="7">
        <v>3910</v>
      </c>
      <c r="G9" s="7">
        <v>26</v>
      </c>
      <c r="H9" s="9">
        <f t="shared" si="0"/>
        <v>6.6496163682864453E-3</v>
      </c>
      <c r="I9" s="9">
        <f>IFERROR((4686-F9)/4686,0)</f>
        <v>0.16559965855740505</v>
      </c>
      <c r="J9" s="7">
        <v>26413</v>
      </c>
      <c r="K9" s="11">
        <f t="shared" si="1"/>
        <v>96.503470953598821</v>
      </c>
      <c r="L9" s="11">
        <f>K9-96.8351</f>
        <v>-0.33162904640117574</v>
      </c>
      <c r="M9" s="11">
        <v>84.5</v>
      </c>
      <c r="N9" s="11">
        <f t="shared" si="2"/>
        <v>12.003470953598821</v>
      </c>
      <c r="O9" s="11">
        <f>IFERROR(1214981/4686,0)</f>
        <v>259.278915919761</v>
      </c>
      <c r="P9" s="11">
        <v>269</v>
      </c>
      <c r="Q9" s="11">
        <f>IFERROR(O9-P9,0)</f>
        <v>-9.7210840802389953</v>
      </c>
      <c r="R9" s="7">
        <v>4448</v>
      </c>
      <c r="S9" s="11">
        <f>IFERROR(R9/D9/F9*1000,0)</f>
        <v>162.51370113262698</v>
      </c>
      <c r="T9" s="13">
        <f t="shared" si="3"/>
        <v>5.9381744604316546</v>
      </c>
      <c r="U9" s="7">
        <v>5040</v>
      </c>
      <c r="V9" s="11">
        <f>IFERROR(U9/D9/F9*1000,0)</f>
        <v>184.14322250639387</v>
      </c>
      <c r="W9" s="11">
        <f t="shared" si="4"/>
        <v>1.1330935251798562</v>
      </c>
      <c r="X9" s="11">
        <v>362.76</v>
      </c>
      <c r="Y9" s="11">
        <f>IFERROR((F9*S9)/(F9*K9)*100,0)</f>
        <v>168.40192329534699</v>
      </c>
      <c r="Z9" s="11">
        <f t="shared" si="5"/>
        <v>61.089481694620076</v>
      </c>
      <c r="AA9" s="7">
        <v>1869</v>
      </c>
      <c r="AB9" s="15">
        <f>IFERROR(AA9/1960,0)</f>
        <v>0.95357142857142863</v>
      </c>
      <c r="AC9" s="11">
        <v>0</v>
      </c>
      <c r="AD9" s="15">
        <f>IFERROR(AC9/63.8,0)</f>
        <v>0</v>
      </c>
      <c r="AE9" s="11">
        <v>13</v>
      </c>
      <c r="AF9" s="11">
        <v>32</v>
      </c>
      <c r="AG9" s="7">
        <f>IF(M9=0,0,IFERROR(N9/100*7*F9,0))</f>
        <v>3285.3499999999976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>IFERROR(0/F9,0)</f>
        <v>0</v>
      </c>
      <c r="AP9" s="11">
        <v>0</v>
      </c>
      <c r="AQ9" s="7"/>
      <c r="AR9" s="7"/>
      <c r="AS9" s="7">
        <v>0</v>
      </c>
      <c r="AT9" s="7"/>
    </row>
    <row r="10" spans="1:46" ht="15" thickBot="1" x14ac:dyDescent="0.35">
      <c r="A10" s="5" t="s">
        <v>54</v>
      </c>
      <c r="B10" s="5">
        <v>62</v>
      </c>
      <c r="C10" s="7"/>
      <c r="D10" s="7">
        <v>7</v>
      </c>
      <c r="E10" s="7">
        <v>4819</v>
      </c>
      <c r="F10" s="7">
        <v>4277</v>
      </c>
      <c r="G10" s="7">
        <v>26</v>
      </c>
      <c r="H10" s="9">
        <f t="shared" si="0"/>
        <v>6.0790273556231003E-3</v>
      </c>
      <c r="I10" s="9">
        <f>IFERROR((4819-F10)/4819,0)</f>
        <v>0.11247146710935879</v>
      </c>
      <c r="J10" s="7">
        <v>26340</v>
      </c>
      <c r="K10" s="11">
        <f t="shared" si="1"/>
        <v>87.97889041050135</v>
      </c>
      <c r="L10" s="11">
        <f>K10-89.2401</f>
        <v>-1.2612095894986481</v>
      </c>
      <c r="M10" s="11">
        <v>84.5</v>
      </c>
      <c r="N10" s="11">
        <f t="shared" si="2"/>
        <v>3.4788904105013501</v>
      </c>
      <c r="O10" s="11">
        <f>IFERROR(1252756/4819,0)</f>
        <v>259.96181780452378</v>
      </c>
      <c r="P10" s="11">
        <v>269</v>
      </c>
      <c r="Q10" s="11">
        <f>IFERROR(O10-P10,0)</f>
        <v>-9.0381821954762245</v>
      </c>
      <c r="R10" s="7">
        <v>4190</v>
      </c>
      <c r="S10" s="11">
        <f>IFERROR(R10/D10/F10*1000,0)</f>
        <v>139.95123417615818</v>
      </c>
      <c r="T10" s="13">
        <f t="shared" si="3"/>
        <v>6.2863961813842479</v>
      </c>
      <c r="U10" s="7">
        <v>5040</v>
      </c>
      <c r="V10" s="11">
        <f>IFERROR(U10/D10/F10*1000,0)</f>
        <v>168.34229600187047</v>
      </c>
      <c r="W10" s="11">
        <f t="shared" si="4"/>
        <v>1.2028639618138426</v>
      </c>
      <c r="X10" s="11">
        <v>362.76</v>
      </c>
      <c r="Y10" s="11">
        <f>IFERROR((F10*S10)/(F10*K10)*100,0)</f>
        <v>159.07365223993926</v>
      </c>
      <c r="Z10" s="11">
        <f t="shared" si="5"/>
        <v>57.705558086560366</v>
      </c>
      <c r="AA10" s="7">
        <v>1948</v>
      </c>
      <c r="AB10" s="15">
        <f>IFERROR(AA10/1960,0)</f>
        <v>0.9938775510204082</v>
      </c>
      <c r="AC10" s="11">
        <v>0</v>
      </c>
      <c r="AD10" s="15">
        <f>IFERROR(AC10/63.8,0)</f>
        <v>0</v>
      </c>
      <c r="AE10" s="11">
        <v>12</v>
      </c>
      <c r="AF10" s="11">
        <v>30</v>
      </c>
      <c r="AG10" s="7">
        <f>IF(M10=0,0,IFERROR(N10/100*7*F10,0))</f>
        <v>1041.5449999999992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>IFERROR(0/F10,0)</f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16" t="s">
        <v>55</v>
      </c>
      <c r="B11" s="16"/>
      <c r="C11" s="17"/>
      <c r="D11" s="17">
        <f>AVERAGE(D6:D10)</f>
        <v>7</v>
      </c>
      <c r="E11" s="17">
        <f>SUM(E6:E10)</f>
        <v>44598</v>
      </c>
      <c r="F11" s="17">
        <f>SUM(F6:F10)</f>
        <v>36771</v>
      </c>
      <c r="G11" s="17">
        <f>SUM(G6:G10)</f>
        <v>188</v>
      </c>
      <c r="H11" s="18">
        <f t="shared" si="0"/>
        <v>5.1127247015310979E-3</v>
      </c>
      <c r="I11" s="18"/>
      <c r="J11" s="17">
        <f>SUM(J6:J10)</f>
        <v>180223</v>
      </c>
      <c r="K11" s="19">
        <f t="shared" si="1"/>
        <v>70.0175215717355</v>
      </c>
      <c r="L11" s="19"/>
      <c r="M11" s="19">
        <f>IFERROR(SUMPRODUCT($F6:$F10,M6:M10)/$F11, 0)</f>
        <v>65.276617443093741</v>
      </c>
      <c r="N11" s="19">
        <f t="shared" si="2"/>
        <v>4.740904128641759</v>
      </c>
      <c r="O11" s="19">
        <f>IFERROR(SUMPRODUCT($E6:$E10,O6:O10)/$E11, 0)</f>
        <v>314.93154401542671</v>
      </c>
      <c r="P11" s="19">
        <f>IFERROR(SUMPRODUCT($E6:$E10,P6:P10)/$E11, 0)</f>
        <v>57.330934122606394</v>
      </c>
      <c r="Q11" s="19">
        <f>IFERROR(SUMPRODUCT($E6:$E10,Q6:Q10)/$E11, 0)</f>
        <v>257.60060989282033</v>
      </c>
      <c r="R11" s="17">
        <f>SUM(R6:R10)</f>
        <v>32918</v>
      </c>
      <c r="S11" s="19">
        <f>IFERROR(R11/D11/$F11*1000,0)</f>
        <v>127.8880484232528</v>
      </c>
      <c r="T11" s="20">
        <f t="shared" si="3"/>
        <v>5.4749073455252448</v>
      </c>
      <c r="U11" s="17">
        <f>SUM(U6:U10)</f>
        <v>10080</v>
      </c>
      <c r="V11" s="19">
        <f>IFERROR(U11/D11/$F11*1000,0)</f>
        <v>39.161295586195649</v>
      </c>
      <c r="W11" s="19">
        <f t="shared" si="4"/>
        <v>0.30621544443769372</v>
      </c>
      <c r="X11" s="19">
        <f>IFERROR(SUMPRODUCT(R6:R10,X6:X10)/R11,0)</f>
        <v>336.44435549809475</v>
      </c>
      <c r="Y11" s="19">
        <f>IFERROR(($F11*S11)/($F11*K11)*100,0)</f>
        <v>182.65149287271879</v>
      </c>
      <c r="Z11" s="19">
        <f t="shared" si="5"/>
        <v>61.452063800326727</v>
      </c>
      <c r="AA11" s="17"/>
      <c r="AB11" s="21">
        <f>IFERROR(SUMPRODUCT($F6:$F10,AB6:AB10)/$F11,0)</f>
        <v>0.21699922687521608</v>
      </c>
      <c r="AC11" s="19"/>
      <c r="AD11" s="21">
        <f>AVERAGE(AD6:AD10)</f>
        <v>0</v>
      </c>
      <c r="AE11" s="19"/>
      <c r="AF11" s="19"/>
      <c r="AG11" s="17">
        <f>SUM(AG6:AG10)</f>
        <v>-9877.0550000000076</v>
      </c>
      <c r="AH11" s="17">
        <f>SUM(AH6:AH10)</f>
        <v>0</v>
      </c>
      <c r="AI11" s="17">
        <f>IFERROR(SUMPRODUCT(AH6:AH10,AI6:AI10)/AH11, 0)</f>
        <v>0</v>
      </c>
      <c r="AJ11" s="19">
        <f>AVERAGE(AJ6:AJ10)</f>
        <v>0</v>
      </c>
      <c r="AK11" s="19">
        <f>AVERAGE(AK6:AK10)</f>
        <v>0</v>
      </c>
      <c r="AL11" s="19">
        <f>AVERAGE(AL6:AL10)</f>
        <v>0</v>
      </c>
      <c r="AM11" s="19">
        <f>AVERAGE(AM6:AM10)</f>
        <v>0</v>
      </c>
      <c r="AN11" s="19">
        <f>AVERAGE(AN6:AN10)</f>
        <v>0</v>
      </c>
      <c r="AO11" s="20"/>
      <c r="AP11" s="19"/>
      <c r="AQ11" s="17"/>
      <c r="AR11" s="17"/>
      <c r="AS11" s="17"/>
      <c r="AT11" s="17"/>
    </row>
    <row r="13" spans="1:46" x14ac:dyDescent="0.3">
      <c r="A13" s="4" t="s">
        <v>57</v>
      </c>
      <c r="B13" s="4">
        <v>102</v>
      </c>
      <c r="C13" s="6">
        <v>39</v>
      </c>
      <c r="D13" s="6">
        <v>7</v>
      </c>
      <c r="E13" s="6">
        <v>3499</v>
      </c>
      <c r="F13" s="6">
        <v>3476</v>
      </c>
      <c r="G13" s="6">
        <v>23</v>
      </c>
      <c r="H13" s="8">
        <f t="shared" ref="H13:H28" si="6">IFERROR(G13/F13,0)</f>
        <v>6.6168009205983891E-3</v>
      </c>
      <c r="I13" s="8">
        <f>IFERROR((3499-F13)/3499,0)</f>
        <v>6.5733066590454416E-3</v>
      </c>
      <c r="J13" s="6">
        <v>15810</v>
      </c>
      <c r="K13" s="10">
        <f t="shared" ref="K13:K28" si="7">IFERROR(J13/D13/F13*100,0)</f>
        <v>64.976163077428893</v>
      </c>
      <c r="L13" s="10">
        <f>K13-57.445</f>
        <v>7.5311630774288929</v>
      </c>
      <c r="M13" s="10">
        <v>0</v>
      </c>
      <c r="N13" s="10">
        <f t="shared" ref="N13:N28" si="8">K13-M13</f>
        <v>64.976163077428893</v>
      </c>
      <c r="O13" s="10">
        <f>IFERROR(45430/3499,0)</f>
        <v>12.983709631323235</v>
      </c>
      <c r="P13" s="10">
        <v>0</v>
      </c>
      <c r="Q13" s="10">
        <f t="shared" ref="Q13:Q27" si="9">IFERROR(O13-P13,0)</f>
        <v>12.983709631323235</v>
      </c>
      <c r="R13" s="6">
        <v>2397</v>
      </c>
      <c r="S13" s="10">
        <f t="shared" ref="S13:S27" si="10">IFERROR(R13/D13/F13*1000,0)</f>
        <v>98.512247246424465</v>
      </c>
      <c r="T13" s="12">
        <f t="shared" ref="T13:T28" si="11">IFERROR(J13/R13,0)</f>
        <v>6.5957446808510642</v>
      </c>
      <c r="U13" s="6">
        <v>4520</v>
      </c>
      <c r="V13" s="10">
        <f t="shared" ref="V13:V27" si="12">IFERROR(U13/D13/F13*1000,0)</f>
        <v>185.76360348512247</v>
      </c>
      <c r="W13" s="10">
        <f t="shared" ref="W13:W28" si="13">IFERROR(V13/S13,0)</f>
        <v>1.8856904463913224</v>
      </c>
      <c r="X13" s="10">
        <v>288.42</v>
      </c>
      <c r="Y13" s="10">
        <f t="shared" ref="Y13:Y27" si="14">IFERROR((F13*S13)/(F13*K13)*100,0)</f>
        <v>151.61290322580646</v>
      </c>
      <c r="Z13" s="10">
        <f t="shared" ref="Z13:Z28" si="15">IFERROR(Y13*X13/1000,0)</f>
        <v>43.728193548387104</v>
      </c>
      <c r="AA13" s="6">
        <v>0</v>
      </c>
      <c r="AB13" s="14">
        <f>IFERROR(AA13/0,0)</f>
        <v>0</v>
      </c>
      <c r="AC13" s="10">
        <v>0</v>
      </c>
      <c r="AD13" s="14">
        <f>IFERROR(AC13/0,0)</f>
        <v>0</v>
      </c>
      <c r="AE13" s="10">
        <v>14</v>
      </c>
      <c r="AF13" s="10">
        <v>27</v>
      </c>
      <c r="AG13" s="6">
        <f t="shared" ref="AG13:AG27" si="16">IF(M13=0,0,IFERROR(N13/100*7*F13,0))</f>
        <v>0</v>
      </c>
      <c r="AH13" s="6">
        <v>0</v>
      </c>
      <c r="AI13" s="6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2">
        <f>IFERROR(0/F13,0)</f>
        <v>0</v>
      </c>
      <c r="AP13" s="10">
        <v>0</v>
      </c>
      <c r="AQ13" s="6"/>
      <c r="AR13" s="6"/>
      <c r="AS13" s="6">
        <v>0</v>
      </c>
      <c r="AT13" s="6"/>
    </row>
    <row r="14" spans="1:46" x14ac:dyDescent="0.3">
      <c r="A14" s="5" t="s">
        <v>58</v>
      </c>
      <c r="B14" s="5">
        <v>62</v>
      </c>
      <c r="C14" s="7"/>
      <c r="D14" s="7">
        <v>7</v>
      </c>
      <c r="E14" s="7">
        <v>10225</v>
      </c>
      <c r="F14" s="7">
        <v>6958</v>
      </c>
      <c r="G14" s="7">
        <v>80</v>
      </c>
      <c r="H14" s="9">
        <f t="shared" si="6"/>
        <v>1.1497556769186549E-2</v>
      </c>
      <c r="I14" s="9">
        <f>IFERROR((10225-F14)/10225,0)</f>
        <v>0.31951100244498776</v>
      </c>
      <c r="J14" s="7">
        <v>36060</v>
      </c>
      <c r="K14" s="11">
        <f t="shared" si="7"/>
        <v>74.036053053011955</v>
      </c>
      <c r="L14" s="11">
        <f>K14-73.7425</f>
        <v>0.2935530530119479</v>
      </c>
      <c r="M14" s="11">
        <v>84.5</v>
      </c>
      <c r="N14" s="11">
        <f t="shared" si="8"/>
        <v>-10.463946946988045</v>
      </c>
      <c r="O14" s="11">
        <f>IFERROR(2114220/10225,0)</f>
        <v>206.76968215158925</v>
      </c>
      <c r="P14" s="11">
        <v>269</v>
      </c>
      <c r="Q14" s="11">
        <f t="shared" si="9"/>
        <v>-62.230317848410749</v>
      </c>
      <c r="R14" s="7">
        <v>6580</v>
      </c>
      <c r="S14" s="11">
        <f t="shared" si="10"/>
        <v>135.09629203794194</v>
      </c>
      <c r="T14" s="13">
        <f t="shared" si="11"/>
        <v>5.4802431610942248</v>
      </c>
      <c r="U14" s="7">
        <v>11730</v>
      </c>
      <c r="V14" s="11">
        <f t="shared" si="12"/>
        <v>240.83275161171107</v>
      </c>
      <c r="W14" s="11">
        <f t="shared" si="13"/>
        <v>1.7826747720364742</v>
      </c>
      <c r="X14" s="11">
        <v>287.5285714286</v>
      </c>
      <c r="Y14" s="11">
        <f t="shared" si="14"/>
        <v>182.47365501941209</v>
      </c>
      <c r="Z14" s="11">
        <f t="shared" si="15"/>
        <v>52.46638935108674</v>
      </c>
      <c r="AA14" s="7">
        <v>2010</v>
      </c>
      <c r="AB14" s="15">
        <f>IFERROR(AA14/1960,0)</f>
        <v>1.0255102040816326</v>
      </c>
      <c r="AC14" s="11">
        <v>0</v>
      </c>
      <c r="AD14" s="15">
        <f>IFERROR(AC14/63.8,0)</f>
        <v>0</v>
      </c>
      <c r="AE14" s="11">
        <v>14</v>
      </c>
      <c r="AF14" s="11">
        <v>27</v>
      </c>
      <c r="AG14" s="7">
        <f t="shared" si="16"/>
        <v>-5096.569999999997</v>
      </c>
      <c r="AH14" s="7">
        <v>0</v>
      </c>
      <c r="AI14" s="7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3">
        <f>IFERROR(0/F14,0)</f>
        <v>0</v>
      </c>
      <c r="AP14" s="11">
        <v>0</v>
      </c>
      <c r="AQ14" s="7"/>
      <c r="AR14" s="7"/>
      <c r="AS14" s="7">
        <v>0</v>
      </c>
      <c r="AT14" s="7"/>
    </row>
    <row r="15" spans="1:46" x14ac:dyDescent="0.3">
      <c r="A15" s="5" t="s">
        <v>59</v>
      </c>
      <c r="B15" s="5">
        <v>90</v>
      </c>
      <c r="C15" s="7"/>
      <c r="D15" s="7">
        <v>7</v>
      </c>
      <c r="E15" s="7">
        <v>56050</v>
      </c>
      <c r="F15" s="7">
        <v>52450</v>
      </c>
      <c r="G15" s="7">
        <v>185</v>
      </c>
      <c r="H15" s="9">
        <f t="shared" si="6"/>
        <v>3.5271687321258341E-3</v>
      </c>
      <c r="I15" s="9">
        <f>IFERROR((56050-F15)/56050,0)</f>
        <v>6.422836752899197E-2</v>
      </c>
      <c r="J15" s="7">
        <v>0</v>
      </c>
      <c r="K15" s="11">
        <f t="shared" si="7"/>
        <v>0</v>
      </c>
      <c r="L15" s="11">
        <f>K15-0.252</f>
        <v>-0.252</v>
      </c>
      <c r="M15" s="11">
        <v>81.7</v>
      </c>
      <c r="N15" s="11">
        <f t="shared" si="8"/>
        <v>-81.7</v>
      </c>
      <c r="O15" s="11">
        <f>IFERROR(22735151/56050,0)</f>
        <v>405.62267618198035</v>
      </c>
      <c r="P15" s="11">
        <v>425</v>
      </c>
      <c r="Q15" s="11">
        <f t="shared" si="9"/>
        <v>-19.377323818019647</v>
      </c>
      <c r="R15" s="7">
        <v>29590</v>
      </c>
      <c r="S15" s="11">
        <f t="shared" si="10"/>
        <v>80.593762767261339</v>
      </c>
      <c r="T15" s="13">
        <f t="shared" si="11"/>
        <v>0</v>
      </c>
      <c r="U15" s="7">
        <v>21600</v>
      </c>
      <c r="V15" s="11">
        <f t="shared" si="12"/>
        <v>58.831540242407733</v>
      </c>
      <c r="W15" s="11">
        <f t="shared" si="13"/>
        <v>0.729976343359243</v>
      </c>
      <c r="X15" s="11">
        <v>245.9466666667</v>
      </c>
      <c r="Y15" s="11">
        <f t="shared" si="14"/>
        <v>0</v>
      </c>
      <c r="Z15" s="11">
        <f t="shared" si="15"/>
        <v>0</v>
      </c>
      <c r="AA15" s="7">
        <v>0</v>
      </c>
      <c r="AB15" s="15">
        <f>IFERROR(AA15/1725,0)</f>
        <v>0</v>
      </c>
      <c r="AC15" s="11">
        <v>0</v>
      </c>
      <c r="AD15" s="15">
        <f>IFERROR(AC15/64.96,0)</f>
        <v>0</v>
      </c>
      <c r="AE15" s="11">
        <v>20</v>
      </c>
      <c r="AF15" s="11">
        <v>26</v>
      </c>
      <c r="AG15" s="7">
        <f t="shared" si="16"/>
        <v>-299961.55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60</v>
      </c>
      <c r="B16" s="5">
        <v>83</v>
      </c>
      <c r="C16" s="7">
        <v>10</v>
      </c>
      <c r="D16" s="7">
        <v>7</v>
      </c>
      <c r="E16" s="7">
        <v>51536</v>
      </c>
      <c r="F16" s="7">
        <v>47725</v>
      </c>
      <c r="G16" s="7">
        <v>78</v>
      </c>
      <c r="H16" s="9">
        <f t="shared" si="6"/>
        <v>1.6343635411210059E-3</v>
      </c>
      <c r="I16" s="9">
        <f>IFERROR((51536-F16)/51536,0)</f>
        <v>7.3948307978888544E-2</v>
      </c>
      <c r="J16" s="7">
        <v>295300</v>
      </c>
      <c r="K16" s="11">
        <f t="shared" si="7"/>
        <v>88.393324852203833</v>
      </c>
      <c r="L16" s="11">
        <f>K16-87.9828</f>
        <v>0.41052485220383517</v>
      </c>
      <c r="M16" s="11">
        <v>84</v>
      </c>
      <c r="N16" s="11">
        <f t="shared" si="8"/>
        <v>4.3933248522038326</v>
      </c>
      <c r="O16" s="11">
        <f>IFERROR(18179662/51536,0)</f>
        <v>352.75655852219808</v>
      </c>
      <c r="P16" s="11">
        <v>0</v>
      </c>
      <c r="Q16" s="11">
        <f t="shared" si="9"/>
        <v>352.75655852219808</v>
      </c>
      <c r="R16" s="7">
        <v>38990</v>
      </c>
      <c r="S16" s="11">
        <f t="shared" si="10"/>
        <v>116.71031953902566</v>
      </c>
      <c r="T16" s="13">
        <f t="shared" si="11"/>
        <v>7.5737368556040012</v>
      </c>
      <c r="U16" s="7">
        <v>71694</v>
      </c>
      <c r="V16" s="11">
        <f t="shared" si="12"/>
        <v>214.60450497642745</v>
      </c>
      <c r="W16" s="11">
        <f t="shared" si="13"/>
        <v>1.8387791741472173</v>
      </c>
      <c r="X16" s="11">
        <v>298.43142857139998</v>
      </c>
      <c r="Y16" s="11">
        <f t="shared" si="14"/>
        <v>132.0352184219438</v>
      </c>
      <c r="Z16" s="11">
        <f t="shared" si="15"/>
        <v>39.40345885539751</v>
      </c>
      <c r="AA16" s="7">
        <v>1710</v>
      </c>
      <c r="AB16" s="15">
        <f>IFERROR(AA16/1725,0)</f>
        <v>0.99130434782608701</v>
      </c>
      <c r="AC16" s="11">
        <v>0</v>
      </c>
      <c r="AD16" s="15">
        <f>IFERROR(AC16/64.25,0)</f>
        <v>0</v>
      </c>
      <c r="AE16" s="11">
        <v>22</v>
      </c>
      <c r="AF16" s="11">
        <v>26</v>
      </c>
      <c r="AG16" s="7">
        <f t="shared" si="16"/>
        <v>14676.999999999953</v>
      </c>
      <c r="AH16" s="7">
        <v>104</v>
      </c>
      <c r="AI16" s="7">
        <v>8.0769230769</v>
      </c>
      <c r="AJ16" s="11">
        <v>16</v>
      </c>
      <c r="AK16" s="11">
        <v>16</v>
      </c>
      <c r="AL16" s="11">
        <v>0</v>
      </c>
      <c r="AM16" s="11">
        <v>0</v>
      </c>
      <c r="AN16" s="11">
        <v>0</v>
      </c>
      <c r="AO16" s="13">
        <f>IFERROR(1050/F16,0)</f>
        <v>2.2001047668936617E-2</v>
      </c>
      <c r="AP16" s="11">
        <v>1500</v>
      </c>
      <c r="AQ16" s="7"/>
      <c r="AR16" s="7"/>
      <c r="AS16" s="7">
        <v>14</v>
      </c>
      <c r="AT16" s="7"/>
    </row>
    <row r="17" spans="1:46" x14ac:dyDescent="0.3">
      <c r="A17" s="5" t="s">
        <v>61</v>
      </c>
      <c r="B17" s="5">
        <v>30</v>
      </c>
      <c r="C17" s="7"/>
      <c r="D17" s="7">
        <v>7</v>
      </c>
      <c r="E17" s="7">
        <v>49067</v>
      </c>
      <c r="F17" s="7">
        <v>47593</v>
      </c>
      <c r="G17" s="7">
        <v>154</v>
      </c>
      <c r="H17" s="9">
        <f t="shared" si="6"/>
        <v>3.235769966171496E-3</v>
      </c>
      <c r="I17" s="9">
        <f>IFERROR((49067-F17)/49067,0)</f>
        <v>3.0040556789695722E-2</v>
      </c>
      <c r="J17" s="7">
        <v>320820</v>
      </c>
      <c r="K17" s="11">
        <f t="shared" si="7"/>
        <v>96.298675375430363</v>
      </c>
      <c r="L17" s="11">
        <f>K17-95.1264</f>
        <v>1.1722753754303596</v>
      </c>
      <c r="M17" s="11">
        <v>95.95</v>
      </c>
      <c r="N17" s="11">
        <f t="shared" si="8"/>
        <v>0.34867537543036065</v>
      </c>
      <c r="O17" s="11">
        <f>IFERROR(3247250/49067,0)</f>
        <v>66.179917255996898</v>
      </c>
      <c r="P17" s="11">
        <v>66</v>
      </c>
      <c r="Q17" s="11">
        <f t="shared" si="9"/>
        <v>0.17991725599689801</v>
      </c>
      <c r="R17" s="7">
        <v>40100</v>
      </c>
      <c r="S17" s="11">
        <f t="shared" si="10"/>
        <v>120.36584011454265</v>
      </c>
      <c r="T17" s="13">
        <f t="shared" si="11"/>
        <v>8.0004987531172063</v>
      </c>
      <c r="U17" s="7">
        <v>62190</v>
      </c>
      <c r="V17" s="11">
        <f t="shared" si="12"/>
        <v>186.67210964397523</v>
      </c>
      <c r="W17" s="11">
        <f t="shared" si="13"/>
        <v>1.5508728179551121</v>
      </c>
      <c r="X17" s="11">
        <v>297.62428571430002</v>
      </c>
      <c r="Y17" s="11">
        <f t="shared" si="14"/>
        <v>124.99220746836231</v>
      </c>
      <c r="Z17" s="11">
        <f t="shared" si="15"/>
        <v>37.200716467624929</v>
      </c>
      <c r="AA17" s="7">
        <v>1583</v>
      </c>
      <c r="AB17" s="15">
        <f>IFERROR(AA17/1655,0)</f>
        <v>0.95649546827794563</v>
      </c>
      <c r="AC17" s="11">
        <v>0</v>
      </c>
      <c r="AD17" s="15">
        <f>IFERROR(AC17/58.9,0)</f>
        <v>0</v>
      </c>
      <c r="AE17" s="11">
        <v>23</v>
      </c>
      <c r="AF17" s="11">
        <v>26</v>
      </c>
      <c r="AG17" s="7">
        <f t="shared" si="16"/>
        <v>1161.6155000000008</v>
      </c>
      <c r="AH17" s="7">
        <v>64</v>
      </c>
      <c r="AI17" s="7">
        <v>10.625</v>
      </c>
      <c r="AJ17" s="11">
        <v>10</v>
      </c>
      <c r="AK17" s="11">
        <v>10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1500</v>
      </c>
      <c r="AQ17" s="7"/>
      <c r="AR17" s="7"/>
      <c r="AS17" s="7">
        <v>14</v>
      </c>
      <c r="AT17" s="7"/>
    </row>
    <row r="18" spans="1:46" x14ac:dyDescent="0.3">
      <c r="A18" s="5" t="s">
        <v>62</v>
      </c>
      <c r="B18" s="5">
        <v>62</v>
      </c>
      <c r="C18" s="7"/>
      <c r="D18" s="7">
        <v>7</v>
      </c>
      <c r="E18" s="7">
        <v>52424</v>
      </c>
      <c r="F18" s="7">
        <v>42475</v>
      </c>
      <c r="G18" s="7">
        <v>372</v>
      </c>
      <c r="H18" s="9">
        <f t="shared" si="6"/>
        <v>8.7580929958799292E-3</v>
      </c>
      <c r="I18" s="9">
        <f>IFERROR((52424-F18)/52424,0)</f>
        <v>0.18977949030978178</v>
      </c>
      <c r="J18" s="7">
        <v>263620</v>
      </c>
      <c r="K18" s="11">
        <f t="shared" si="7"/>
        <v>88.663919952913488</v>
      </c>
      <c r="L18" s="11">
        <f>K18-88.7143</f>
        <v>-5.0380047086505897E-2</v>
      </c>
      <c r="M18" s="11">
        <v>90.75</v>
      </c>
      <c r="N18" s="11">
        <f t="shared" si="8"/>
        <v>-2.0860800470865115</v>
      </c>
      <c r="O18" s="11">
        <f>IFERROR(12892400/52424,0)</f>
        <v>245.92553029146956</v>
      </c>
      <c r="P18" s="11">
        <v>269</v>
      </c>
      <c r="Q18" s="11">
        <f t="shared" si="9"/>
        <v>-23.074469708530444</v>
      </c>
      <c r="R18" s="7">
        <v>37375</v>
      </c>
      <c r="S18" s="11">
        <f t="shared" si="10"/>
        <v>125.70419574539646</v>
      </c>
      <c r="T18" s="13">
        <f t="shared" si="11"/>
        <v>7.0533779264214047</v>
      </c>
      <c r="U18" s="7">
        <v>56797</v>
      </c>
      <c r="V18" s="11">
        <f t="shared" si="12"/>
        <v>191.02665433448249</v>
      </c>
      <c r="W18" s="11">
        <f t="shared" si="13"/>
        <v>1.5196521739130435</v>
      </c>
      <c r="X18" s="11">
        <v>293.00428571430001</v>
      </c>
      <c r="Y18" s="11">
        <f t="shared" si="14"/>
        <v>141.77604127152719</v>
      </c>
      <c r="Z18" s="11">
        <f t="shared" si="15"/>
        <v>41.540987704164948</v>
      </c>
      <c r="AA18" s="7">
        <v>1694</v>
      </c>
      <c r="AB18" s="15">
        <f>IFERROR(AA18/1725,0)</f>
        <v>0.98202898550724638</v>
      </c>
      <c r="AC18" s="11">
        <v>61.43</v>
      </c>
      <c r="AD18" s="15">
        <f>IFERROR(AC18/63.3,0)</f>
        <v>0.97045813586097951</v>
      </c>
      <c r="AE18" s="11">
        <v>20</v>
      </c>
      <c r="AF18" s="11">
        <v>26</v>
      </c>
      <c r="AG18" s="7">
        <f t="shared" si="16"/>
        <v>-6202.4374999999709</v>
      </c>
      <c r="AH18" s="7">
        <v>81</v>
      </c>
      <c r="AI18" s="7">
        <v>8.3950617284</v>
      </c>
      <c r="AJ18" s="11">
        <v>13</v>
      </c>
      <c r="AK18" s="11">
        <v>13</v>
      </c>
      <c r="AL18" s="11">
        <v>0</v>
      </c>
      <c r="AM18" s="11">
        <v>0</v>
      </c>
      <c r="AN18" s="11">
        <v>0</v>
      </c>
      <c r="AO18" s="13">
        <f>IFERROR(800/F18,0)</f>
        <v>1.883460859329017E-2</v>
      </c>
      <c r="AP18" s="11">
        <v>1500</v>
      </c>
      <c r="AQ18" s="7"/>
      <c r="AR18" s="7"/>
      <c r="AS18" s="7">
        <v>14.45</v>
      </c>
      <c r="AT18" s="7"/>
    </row>
    <row r="19" spans="1:46" x14ac:dyDescent="0.3">
      <c r="A19" s="5" t="s">
        <v>63</v>
      </c>
      <c r="B19" s="5">
        <v>52</v>
      </c>
      <c r="C19" s="7"/>
      <c r="D19" s="7">
        <v>7</v>
      </c>
      <c r="E19" s="7">
        <v>50525</v>
      </c>
      <c r="F19" s="7">
        <v>45774</v>
      </c>
      <c r="G19" s="7">
        <v>180</v>
      </c>
      <c r="H19" s="9">
        <f t="shared" si="6"/>
        <v>3.9323633503735743E-3</v>
      </c>
      <c r="I19" s="9">
        <f>IFERROR((50525-F19)/50525,0)</f>
        <v>9.4032657100445324E-2</v>
      </c>
      <c r="J19" s="7">
        <v>290300</v>
      </c>
      <c r="K19" s="11">
        <f t="shared" si="7"/>
        <v>90.60040322328959</v>
      </c>
      <c r="L19" s="11">
        <f>K19-87.4104</f>
        <v>3.1900032232895938</v>
      </c>
      <c r="M19" s="11">
        <v>90</v>
      </c>
      <c r="N19" s="11">
        <f t="shared" si="8"/>
        <v>0.6004032232895895</v>
      </c>
      <c r="O19" s="11">
        <f>IFERROR(9686410/50525,0)</f>
        <v>191.71519049975259</v>
      </c>
      <c r="P19" s="11">
        <v>208</v>
      </c>
      <c r="Q19" s="11">
        <f t="shared" si="9"/>
        <v>-16.284809500247405</v>
      </c>
      <c r="R19" s="7">
        <v>38316</v>
      </c>
      <c r="S19" s="11">
        <f t="shared" si="10"/>
        <v>119.58129693088402</v>
      </c>
      <c r="T19" s="13">
        <f t="shared" si="11"/>
        <v>7.5764693600584616</v>
      </c>
      <c r="U19" s="7">
        <v>65040</v>
      </c>
      <c r="V19" s="11">
        <f t="shared" si="12"/>
        <v>202.98485103833116</v>
      </c>
      <c r="W19" s="11">
        <f t="shared" si="13"/>
        <v>1.6974632007516441</v>
      </c>
      <c r="X19" s="11">
        <v>311.39571428570002</v>
      </c>
      <c r="Y19" s="11">
        <f t="shared" si="14"/>
        <v>131.98759903548051</v>
      </c>
      <c r="Z19" s="11">
        <f t="shared" si="15"/>
        <v>41.10037267850803</v>
      </c>
      <c r="AA19" s="7">
        <v>1669</v>
      </c>
      <c r="AB19" s="15">
        <f>IFERROR(AA19/1580,0)</f>
        <v>1.0563291139240507</v>
      </c>
      <c r="AC19" s="11">
        <v>61.13</v>
      </c>
      <c r="AD19" s="15">
        <f>IFERROR(AC19/62.5,0)</f>
        <v>0.97808000000000006</v>
      </c>
      <c r="AE19" s="11">
        <v>21</v>
      </c>
      <c r="AF19" s="11">
        <v>26</v>
      </c>
      <c r="AG19" s="7">
        <f t="shared" si="16"/>
        <v>1923.8000000000368</v>
      </c>
      <c r="AH19" s="7">
        <v>70</v>
      </c>
      <c r="AI19" s="7">
        <v>9.7142857143000008</v>
      </c>
      <c r="AJ19" s="11">
        <v>11</v>
      </c>
      <c r="AK19" s="11">
        <v>13</v>
      </c>
      <c r="AL19" s="11">
        <v>0</v>
      </c>
      <c r="AM19" s="11">
        <v>0</v>
      </c>
      <c r="AN19" s="11">
        <v>0</v>
      </c>
      <c r="AO19" s="13">
        <f>IFERROR(800/F19,0)</f>
        <v>1.7477170446104775E-2</v>
      </c>
      <c r="AP19" s="11">
        <v>1500</v>
      </c>
      <c r="AQ19" s="7"/>
      <c r="AR19" s="7"/>
      <c r="AS19" s="7">
        <v>14.45</v>
      </c>
      <c r="AT19" s="7"/>
    </row>
    <row r="20" spans="1:46" x14ac:dyDescent="0.3">
      <c r="A20" s="5" t="s">
        <v>64</v>
      </c>
      <c r="B20" s="5">
        <v>71</v>
      </c>
      <c r="C20" s="7"/>
      <c r="D20" s="7">
        <v>7</v>
      </c>
      <c r="E20" s="7">
        <v>50845</v>
      </c>
      <c r="F20" s="7">
        <v>46449</v>
      </c>
      <c r="G20" s="7">
        <v>175</v>
      </c>
      <c r="H20" s="9">
        <f t="shared" si="6"/>
        <v>3.7675730370944475E-3</v>
      </c>
      <c r="I20" s="9">
        <f>IFERROR((50845-F20)/50845,0)</f>
        <v>8.6458845510866356E-2</v>
      </c>
      <c r="J20" s="7">
        <v>278660</v>
      </c>
      <c r="K20" s="11">
        <f t="shared" si="7"/>
        <v>85.703828776876634</v>
      </c>
      <c r="L20" s="11">
        <f>K20-88.0295</f>
        <v>-2.3256712231233649</v>
      </c>
      <c r="M20" s="11">
        <v>88</v>
      </c>
      <c r="N20" s="11">
        <f t="shared" si="8"/>
        <v>-2.2961712231233662</v>
      </c>
      <c r="O20" s="11">
        <f>IFERROR(16039010/50845,0)</f>
        <v>315.4491100403186</v>
      </c>
      <c r="P20" s="11">
        <v>321</v>
      </c>
      <c r="Q20" s="11">
        <f t="shared" si="9"/>
        <v>-5.550889959681399</v>
      </c>
      <c r="R20" s="7">
        <v>37799</v>
      </c>
      <c r="S20" s="11">
        <f t="shared" si="10"/>
        <v>116.25346386051676</v>
      </c>
      <c r="T20" s="13">
        <f t="shared" si="11"/>
        <v>7.3721527024524462</v>
      </c>
      <c r="U20" s="7">
        <v>67100</v>
      </c>
      <c r="V20" s="11">
        <f t="shared" si="12"/>
        <v>206.37073533798974</v>
      </c>
      <c r="W20" s="11">
        <f t="shared" si="13"/>
        <v>1.7751792375459667</v>
      </c>
      <c r="X20" s="11">
        <v>320.50285714289998</v>
      </c>
      <c r="Y20" s="11">
        <f t="shared" si="14"/>
        <v>135.64558960740686</v>
      </c>
      <c r="Z20" s="11">
        <f t="shared" si="15"/>
        <v>43.474799028007162</v>
      </c>
      <c r="AA20" s="7">
        <v>1671</v>
      </c>
      <c r="AB20" s="15">
        <f>IFERROR(AA20/1725,0)</f>
        <v>0.96869565217391307</v>
      </c>
      <c r="AC20" s="11">
        <v>61.72</v>
      </c>
      <c r="AD20" s="15">
        <f>IFERROR(AC20/63.7,0)</f>
        <v>0.96891679748822601</v>
      </c>
      <c r="AE20" s="11">
        <v>22</v>
      </c>
      <c r="AF20" s="11">
        <v>26</v>
      </c>
      <c r="AG20" s="7">
        <f t="shared" si="16"/>
        <v>-7465.8400000000065</v>
      </c>
      <c r="AH20" s="7">
        <v>66</v>
      </c>
      <c r="AI20" s="7">
        <v>10.9090909091</v>
      </c>
      <c r="AJ20" s="11">
        <v>11</v>
      </c>
      <c r="AK20" s="11">
        <v>13</v>
      </c>
      <c r="AL20" s="11">
        <v>0</v>
      </c>
      <c r="AM20" s="11">
        <v>0</v>
      </c>
      <c r="AN20" s="11">
        <v>0</v>
      </c>
      <c r="AO20" s="13">
        <f>IFERROR(800/F20,0)</f>
        <v>1.7223191026717474E-2</v>
      </c>
      <c r="AP20" s="11">
        <v>1500</v>
      </c>
      <c r="AQ20" s="7"/>
      <c r="AR20" s="7"/>
      <c r="AS20" s="7">
        <v>15</v>
      </c>
      <c r="AT20" s="7"/>
    </row>
    <row r="21" spans="1:46" x14ac:dyDescent="0.3">
      <c r="A21" s="5" t="s">
        <v>65</v>
      </c>
      <c r="B21" s="5">
        <v>38</v>
      </c>
      <c r="C21" s="7"/>
      <c r="D21" s="7">
        <v>7</v>
      </c>
      <c r="E21" s="7">
        <v>21024</v>
      </c>
      <c r="F21" s="7">
        <v>19737</v>
      </c>
      <c r="G21" s="7">
        <v>60</v>
      </c>
      <c r="H21" s="9">
        <f t="shared" si="6"/>
        <v>3.0399756801945585E-3</v>
      </c>
      <c r="I21" s="9">
        <f>IFERROR((21024-F21)/21024,0)</f>
        <v>6.1215753424657536E-2</v>
      </c>
      <c r="J21" s="7">
        <v>96600</v>
      </c>
      <c r="K21" s="11">
        <f t="shared" si="7"/>
        <v>69.919440644474832</v>
      </c>
      <c r="L21" s="11">
        <f>K21-67.2396</f>
        <v>2.6798406444748366</v>
      </c>
      <c r="M21" s="11">
        <v>93.5</v>
      </c>
      <c r="N21" s="11">
        <f t="shared" si="8"/>
        <v>-23.580559355525168</v>
      </c>
      <c r="O21" s="11">
        <f>IFERROR(1649021/21024,0)</f>
        <v>78.435169330289199</v>
      </c>
      <c r="P21" s="11">
        <v>124</v>
      </c>
      <c r="Q21" s="11">
        <f t="shared" si="9"/>
        <v>-45.564830669710801</v>
      </c>
      <c r="R21" s="7">
        <v>17240</v>
      </c>
      <c r="S21" s="11">
        <f t="shared" si="10"/>
        <v>124.78376363465283</v>
      </c>
      <c r="T21" s="13">
        <f t="shared" si="11"/>
        <v>5.6032482598607887</v>
      </c>
      <c r="U21" s="7">
        <v>22600</v>
      </c>
      <c r="V21" s="11">
        <f t="shared" si="12"/>
        <v>163.57964374380242</v>
      </c>
      <c r="W21" s="11">
        <f t="shared" si="13"/>
        <v>1.3109048723897911</v>
      </c>
      <c r="X21" s="11">
        <v>288.80714285710002</v>
      </c>
      <c r="Y21" s="11">
        <f t="shared" si="14"/>
        <v>178.46790890269153</v>
      </c>
      <c r="Z21" s="11">
        <f t="shared" si="15"/>
        <v>51.542806861867547</v>
      </c>
      <c r="AA21" s="7">
        <v>1960</v>
      </c>
      <c r="AB21" s="15">
        <f>IFERROR(AA21/1920,0)</f>
        <v>1.0208333333333333</v>
      </c>
      <c r="AC21" s="11">
        <v>0</v>
      </c>
      <c r="AD21" s="15">
        <f>IFERROR(AC21/62.1,0)</f>
        <v>0</v>
      </c>
      <c r="AE21" s="11">
        <v>19</v>
      </c>
      <c r="AF21" s="11">
        <v>27</v>
      </c>
      <c r="AG21" s="7">
        <f t="shared" si="16"/>
        <v>-32578.665000000019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>
        <f>IFERROR(0/F21,0)</f>
        <v>0</v>
      </c>
      <c r="AP21" s="11">
        <v>0</v>
      </c>
      <c r="AQ21" s="7"/>
      <c r="AR21" s="7"/>
      <c r="AS21" s="7">
        <v>0</v>
      </c>
      <c r="AT21" s="7"/>
    </row>
    <row r="22" spans="1:46" x14ac:dyDescent="0.3">
      <c r="A22" s="5" t="s">
        <v>66</v>
      </c>
      <c r="B22" s="5">
        <v>62</v>
      </c>
      <c r="C22" s="7"/>
      <c r="D22" s="7">
        <v>7</v>
      </c>
      <c r="E22" s="7">
        <v>21875</v>
      </c>
      <c r="F22" s="7">
        <v>20159</v>
      </c>
      <c r="G22" s="7">
        <v>56</v>
      </c>
      <c r="H22" s="9">
        <f t="shared" si="6"/>
        <v>2.7779155712088894E-3</v>
      </c>
      <c r="I22" s="9">
        <f>IFERROR((21875-F22)/21875,0)</f>
        <v>7.8445714285714285E-2</v>
      </c>
      <c r="J22" s="7">
        <v>121560</v>
      </c>
      <c r="K22" s="11">
        <f t="shared" si="7"/>
        <v>86.143728784732815</v>
      </c>
      <c r="L22" s="11">
        <f>K22-86.9651</f>
        <v>-0.8213712152671917</v>
      </c>
      <c r="M22" s="11">
        <v>84.5</v>
      </c>
      <c r="N22" s="11">
        <f t="shared" si="8"/>
        <v>1.643728784732815</v>
      </c>
      <c r="O22" s="11">
        <f>IFERROR(6005600/21875,0)</f>
        <v>274.54171428571431</v>
      </c>
      <c r="P22" s="11">
        <v>269</v>
      </c>
      <c r="Q22" s="11">
        <f t="shared" si="9"/>
        <v>5.5417142857143062</v>
      </c>
      <c r="R22" s="7">
        <v>18660</v>
      </c>
      <c r="S22" s="11">
        <f t="shared" si="10"/>
        <v>132.23445040499456</v>
      </c>
      <c r="T22" s="13">
        <f t="shared" si="11"/>
        <v>6.514469453376206</v>
      </c>
      <c r="U22" s="7">
        <v>28398</v>
      </c>
      <c r="V22" s="11">
        <f t="shared" si="12"/>
        <v>201.24297548772969</v>
      </c>
      <c r="W22" s="11">
        <f t="shared" si="13"/>
        <v>1.521864951768489</v>
      </c>
      <c r="X22" s="11">
        <v>285.51571428570003</v>
      </c>
      <c r="Y22" s="11">
        <f t="shared" si="14"/>
        <v>153.50444225074034</v>
      </c>
      <c r="Z22" s="11">
        <f t="shared" si="15"/>
        <v>43.827930475248117</v>
      </c>
      <c r="AA22" s="7">
        <v>2126</v>
      </c>
      <c r="AB22" s="15">
        <f>IFERROR(AA22/1960,0)</f>
        <v>1.0846938775510204</v>
      </c>
      <c r="AC22" s="11">
        <v>65.540000000000006</v>
      </c>
      <c r="AD22" s="15">
        <f>IFERROR(AC22/63.8,0)</f>
        <v>1.0272727272727273</v>
      </c>
      <c r="AE22" s="11">
        <v>20</v>
      </c>
      <c r="AF22" s="11">
        <v>26</v>
      </c>
      <c r="AG22" s="7">
        <f t="shared" si="16"/>
        <v>2319.5150000000172</v>
      </c>
      <c r="AH22" s="7">
        <v>0</v>
      </c>
      <c r="AI22" s="7">
        <v>0</v>
      </c>
      <c r="AJ22" s="11">
        <v>9</v>
      </c>
      <c r="AK22" s="11">
        <v>9</v>
      </c>
      <c r="AL22" s="11">
        <v>0</v>
      </c>
      <c r="AM22" s="11">
        <v>0</v>
      </c>
      <c r="AN22" s="11">
        <v>0</v>
      </c>
      <c r="AO22" s="13">
        <f>IFERROR(255/F22,0)</f>
        <v>1.2649436976040478E-2</v>
      </c>
      <c r="AP22" s="11">
        <v>1500</v>
      </c>
      <c r="AQ22" s="7"/>
      <c r="AR22" s="7"/>
      <c r="AS22" s="7">
        <v>14.45</v>
      </c>
      <c r="AT22" s="7"/>
    </row>
    <row r="23" spans="1:46" x14ac:dyDescent="0.3">
      <c r="A23" s="5" t="s">
        <v>68</v>
      </c>
      <c r="B23" s="5">
        <v>52</v>
      </c>
      <c r="C23" s="7"/>
      <c r="D23" s="7">
        <v>7</v>
      </c>
      <c r="E23" s="7">
        <v>21339</v>
      </c>
      <c r="F23" s="7">
        <v>20114</v>
      </c>
      <c r="G23" s="7">
        <v>71</v>
      </c>
      <c r="H23" s="9">
        <f t="shared" si="6"/>
        <v>3.5298796857909914E-3</v>
      </c>
      <c r="I23" s="9">
        <f>IFERROR((21339-F23)/21339,0)</f>
        <v>5.7406626364871829E-2</v>
      </c>
      <c r="J23" s="7">
        <v>128290</v>
      </c>
      <c r="K23" s="11">
        <f t="shared" si="7"/>
        <v>91.116351084532454</v>
      </c>
      <c r="L23" s="11">
        <f>K23-88.6231</f>
        <v>2.49325108453246</v>
      </c>
      <c r="M23" s="11">
        <v>88</v>
      </c>
      <c r="N23" s="11">
        <f t="shared" si="8"/>
        <v>3.1163510845324538</v>
      </c>
      <c r="O23" s="11">
        <f>IFERROR(4297690/21339,0)</f>
        <v>201.40072168330286</v>
      </c>
      <c r="P23" s="11">
        <v>210</v>
      </c>
      <c r="Q23" s="11">
        <f t="shared" si="9"/>
        <v>-8.5992783166971378</v>
      </c>
      <c r="R23" s="7">
        <v>18350</v>
      </c>
      <c r="S23" s="11">
        <f t="shared" si="10"/>
        <v>130.32855580334947</v>
      </c>
      <c r="T23" s="13">
        <f t="shared" si="11"/>
        <v>6.9912806539509535</v>
      </c>
      <c r="U23" s="7">
        <v>32521</v>
      </c>
      <c r="V23" s="11">
        <f t="shared" si="12"/>
        <v>230.97629227687892</v>
      </c>
      <c r="W23" s="11">
        <f t="shared" si="13"/>
        <v>1.7722615803814714</v>
      </c>
      <c r="X23" s="11">
        <v>296.84285714290002</v>
      </c>
      <c r="Y23" s="11">
        <f t="shared" si="14"/>
        <v>143.03531062436667</v>
      </c>
      <c r="Z23" s="11">
        <f t="shared" si="15"/>
        <v>42.459010278059203</v>
      </c>
      <c r="AA23" s="7">
        <v>2006</v>
      </c>
      <c r="AB23" s="15">
        <f>IFERROR(AA23/1950,0)</f>
        <v>1.0287179487179487</v>
      </c>
      <c r="AC23" s="11">
        <v>61.13</v>
      </c>
      <c r="AD23" s="15">
        <f>IFERROR(AC23/63.5,0)</f>
        <v>0.96267716535433079</v>
      </c>
      <c r="AE23" s="11">
        <v>21</v>
      </c>
      <c r="AF23" s="11">
        <v>26</v>
      </c>
      <c r="AG23" s="7">
        <f t="shared" si="16"/>
        <v>4387.7600000000039</v>
      </c>
      <c r="AH23" s="7">
        <v>0</v>
      </c>
      <c r="AI23" s="7">
        <v>0</v>
      </c>
      <c r="AJ23" s="11">
        <v>11</v>
      </c>
      <c r="AK23" s="11">
        <v>10</v>
      </c>
      <c r="AL23" s="11">
        <v>0</v>
      </c>
      <c r="AM23" s="11">
        <v>0</v>
      </c>
      <c r="AN23" s="11">
        <v>0</v>
      </c>
      <c r="AO23" s="13">
        <f>IFERROR(280/F23,0)</f>
        <v>1.3920652281992641E-2</v>
      </c>
      <c r="AP23" s="11">
        <v>1500</v>
      </c>
      <c r="AQ23" s="7"/>
      <c r="AR23" s="7"/>
      <c r="AS23" s="7">
        <v>14.45</v>
      </c>
      <c r="AT23" s="7"/>
    </row>
    <row r="24" spans="1:46" x14ac:dyDescent="0.3">
      <c r="A24" s="5" t="s">
        <v>69</v>
      </c>
      <c r="B24" s="5">
        <v>39</v>
      </c>
      <c r="C24" s="7"/>
      <c r="D24" s="7">
        <v>7</v>
      </c>
      <c r="E24" s="7">
        <v>64976</v>
      </c>
      <c r="F24" s="7">
        <v>62631</v>
      </c>
      <c r="G24" s="7">
        <v>99</v>
      </c>
      <c r="H24" s="9">
        <f t="shared" si="6"/>
        <v>1.5806868802988934E-3</v>
      </c>
      <c r="I24" s="9">
        <f>IFERROR((64976-F24)/64976,0)</f>
        <v>3.6090248707214972E-2</v>
      </c>
      <c r="J24" s="7">
        <v>437840</v>
      </c>
      <c r="K24" s="11">
        <f t="shared" si="7"/>
        <v>99.868390139980889</v>
      </c>
      <c r="L24" s="11">
        <f>K24-97.0987</f>
        <v>2.7696901399808951</v>
      </c>
      <c r="M24" s="11">
        <v>94</v>
      </c>
      <c r="N24" s="11">
        <f t="shared" si="8"/>
        <v>5.8683901399808889</v>
      </c>
      <c r="O24" s="11">
        <f>IFERROR(8234350/64976,0)</f>
        <v>126.72909997537552</v>
      </c>
      <c r="P24" s="11">
        <v>126</v>
      </c>
      <c r="Q24" s="11">
        <f t="shared" si="9"/>
        <v>0.72909997537551874</v>
      </c>
      <c r="R24" s="7">
        <v>52770</v>
      </c>
      <c r="S24" s="11">
        <f t="shared" si="10"/>
        <v>120.36485811453478</v>
      </c>
      <c r="T24" s="13">
        <f t="shared" si="11"/>
        <v>8.2971385256774681</v>
      </c>
      <c r="U24" s="7">
        <v>97470</v>
      </c>
      <c r="V24" s="11">
        <f t="shared" si="12"/>
        <v>222.32258329398721</v>
      </c>
      <c r="W24" s="11">
        <f t="shared" si="13"/>
        <v>1.847072200113701</v>
      </c>
      <c r="X24" s="11">
        <v>296.7357142857</v>
      </c>
      <c r="Y24" s="11">
        <f t="shared" si="14"/>
        <v>120.52347889640052</v>
      </c>
      <c r="Z24" s="11">
        <f t="shared" si="15"/>
        <v>35.763620598520895</v>
      </c>
      <c r="AA24" s="7">
        <v>1659</v>
      </c>
      <c r="AB24" s="15">
        <f>IFERROR(AA24/1570,0)</f>
        <v>1.0566878980891721</v>
      </c>
      <c r="AC24" s="11">
        <v>0</v>
      </c>
      <c r="AD24" s="15">
        <f>IFERROR(AC24/60.7,0)</f>
        <v>0</v>
      </c>
      <c r="AE24" s="11">
        <v>21</v>
      </c>
      <c r="AF24" s="11">
        <v>25</v>
      </c>
      <c r="AG24" s="7">
        <f t="shared" si="16"/>
        <v>25728.020000000015</v>
      </c>
      <c r="AH24" s="7">
        <v>105</v>
      </c>
      <c r="AI24" s="7">
        <v>8.9523809524000004</v>
      </c>
      <c r="AJ24" s="11">
        <v>16</v>
      </c>
      <c r="AK24" s="11">
        <v>16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1500</v>
      </c>
      <c r="AQ24" s="7"/>
      <c r="AR24" s="7"/>
      <c r="AS24" s="7">
        <v>14</v>
      </c>
      <c r="AT24" s="7"/>
    </row>
    <row r="25" spans="1:46" x14ac:dyDescent="0.3">
      <c r="A25" s="5" t="s">
        <v>70</v>
      </c>
      <c r="B25" s="5">
        <v>110</v>
      </c>
      <c r="C25" s="7">
        <v>38</v>
      </c>
      <c r="D25" s="7">
        <v>7</v>
      </c>
      <c r="E25" s="7">
        <v>47224</v>
      </c>
      <c r="F25" s="7">
        <v>39251</v>
      </c>
      <c r="G25" s="7">
        <v>181</v>
      </c>
      <c r="H25" s="9">
        <f t="shared" si="6"/>
        <v>4.6113474815928255E-3</v>
      </c>
      <c r="I25" s="9">
        <f>IFERROR((47224-F25)/47224,0)</f>
        <v>0.16883364390987635</v>
      </c>
      <c r="J25" s="7">
        <v>160680</v>
      </c>
      <c r="K25" s="11">
        <f t="shared" si="7"/>
        <v>58.480766641068293</v>
      </c>
      <c r="L25" s="11">
        <f>K25-56.4646</f>
        <v>2.0161666410682955</v>
      </c>
      <c r="M25" s="11">
        <v>68</v>
      </c>
      <c r="N25" s="11">
        <f t="shared" si="8"/>
        <v>-9.5192333589317073</v>
      </c>
      <c r="O25" s="11">
        <f>IFERROR(19378350/47224,0)</f>
        <v>410.34961036760967</v>
      </c>
      <c r="P25" s="11">
        <v>0</v>
      </c>
      <c r="Q25" s="11">
        <f t="shared" si="9"/>
        <v>410.34961036760967</v>
      </c>
      <c r="R25" s="7">
        <v>34560</v>
      </c>
      <c r="S25" s="11">
        <f t="shared" si="10"/>
        <v>125.78387447817526</v>
      </c>
      <c r="T25" s="13">
        <f t="shared" si="11"/>
        <v>4.6493055555555554</v>
      </c>
      <c r="U25" s="7">
        <v>56800</v>
      </c>
      <c r="V25" s="11">
        <f t="shared" si="12"/>
        <v>206.72812703588991</v>
      </c>
      <c r="W25" s="11">
        <f t="shared" si="13"/>
        <v>1.6435185185185186</v>
      </c>
      <c r="X25" s="11">
        <v>309.59428571429999</v>
      </c>
      <c r="Y25" s="11">
        <f t="shared" si="14"/>
        <v>215.08588498879763</v>
      </c>
      <c r="Z25" s="11">
        <f t="shared" si="15"/>
        <v>66.589360930334877</v>
      </c>
      <c r="AA25" s="7">
        <v>1620</v>
      </c>
      <c r="AB25" s="15">
        <f>IFERROR(AA25/0,0)</f>
        <v>0</v>
      </c>
      <c r="AC25" s="11">
        <v>0</v>
      </c>
      <c r="AD25" s="15">
        <f>IFERROR(AC25/0,0)</f>
        <v>0</v>
      </c>
      <c r="AE25" s="11">
        <v>14</v>
      </c>
      <c r="AF25" s="11">
        <v>28</v>
      </c>
      <c r="AG25" s="7">
        <f t="shared" si="16"/>
        <v>-26154.759999999987</v>
      </c>
      <c r="AH25" s="7">
        <v>90</v>
      </c>
      <c r="AI25" s="7">
        <v>14.666666666699999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IFERROR(1400/F25,0)</f>
        <v>3.5667881073093682E-2</v>
      </c>
      <c r="AP25" s="11">
        <v>0</v>
      </c>
      <c r="AQ25" s="7"/>
      <c r="AR25" s="7"/>
      <c r="AS25" s="7">
        <v>0</v>
      </c>
      <c r="AT25" s="7"/>
    </row>
    <row r="26" spans="1:46" x14ac:dyDescent="0.3">
      <c r="A26" s="5" t="s">
        <v>71</v>
      </c>
      <c r="B26" s="5">
        <v>30</v>
      </c>
      <c r="C26" s="7"/>
      <c r="D26" s="7">
        <v>7</v>
      </c>
      <c r="E26" s="7">
        <v>24546</v>
      </c>
      <c r="F26" s="7">
        <v>23563</v>
      </c>
      <c r="G26" s="7">
        <v>202</v>
      </c>
      <c r="H26" s="9">
        <f t="shared" si="6"/>
        <v>8.5727623817001223E-3</v>
      </c>
      <c r="I26" s="9">
        <f>IFERROR((24546-F26)/24546,0)</f>
        <v>4.0047258209076834E-2</v>
      </c>
      <c r="J26" s="7">
        <v>149090</v>
      </c>
      <c r="K26" s="11">
        <f t="shared" si="7"/>
        <v>90.389896993470387</v>
      </c>
      <c r="L26" s="11">
        <f>K26-89.5795</f>
        <v>0.81039699347039118</v>
      </c>
      <c r="M26" s="11">
        <v>96</v>
      </c>
      <c r="N26" s="11">
        <f t="shared" si="8"/>
        <v>-5.6101030065296129</v>
      </c>
      <c r="O26" s="11">
        <f>IFERROR(1547210/24546,0)</f>
        <v>63.033080746353782</v>
      </c>
      <c r="P26" s="11">
        <v>67</v>
      </c>
      <c r="Q26" s="11">
        <f t="shared" si="9"/>
        <v>-3.9669192536462177</v>
      </c>
      <c r="R26" s="7">
        <v>19570</v>
      </c>
      <c r="S26" s="11">
        <f t="shared" si="10"/>
        <v>118.64848642848048</v>
      </c>
      <c r="T26" s="13">
        <f t="shared" si="11"/>
        <v>7.6182933060807354</v>
      </c>
      <c r="U26" s="7">
        <v>24700</v>
      </c>
      <c r="V26" s="11">
        <f t="shared" si="12"/>
        <v>149.75051685148023</v>
      </c>
      <c r="W26" s="11">
        <f t="shared" si="13"/>
        <v>1.2621359223300972</v>
      </c>
      <c r="X26" s="11">
        <v>296.28714285709998</v>
      </c>
      <c r="Y26" s="11">
        <f t="shared" si="14"/>
        <v>131.26299550607015</v>
      </c>
      <c r="Z26" s="11">
        <f t="shared" si="15"/>
        <v>38.891537901357879</v>
      </c>
      <c r="AA26" s="7">
        <v>1484</v>
      </c>
      <c r="AB26" s="15">
        <f>IFERROR(AA26/1530,0)</f>
        <v>0.96993464052287581</v>
      </c>
      <c r="AC26" s="11">
        <v>0</v>
      </c>
      <c r="AD26" s="15">
        <f>IFERROR(AC26/57.6,0)</f>
        <v>0</v>
      </c>
      <c r="AE26" s="11">
        <v>14</v>
      </c>
      <c r="AF26" s="11">
        <v>30</v>
      </c>
      <c r="AG26" s="7">
        <f t="shared" si="16"/>
        <v>-9253.3600000000097</v>
      </c>
      <c r="AH26" s="7">
        <v>42.5</v>
      </c>
      <c r="AI26" s="7">
        <v>12.235294117600001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>
        <f>IFERROR(0/F26,0)</f>
        <v>0</v>
      </c>
      <c r="AP26" s="11">
        <v>0</v>
      </c>
      <c r="AQ26" s="7"/>
      <c r="AR26" s="7"/>
      <c r="AS26" s="7">
        <v>0</v>
      </c>
      <c r="AT26" s="7"/>
    </row>
    <row r="27" spans="1:46" ht="15" thickBot="1" x14ac:dyDescent="0.35">
      <c r="A27" s="5" t="s">
        <v>72</v>
      </c>
      <c r="B27" s="5">
        <v>30</v>
      </c>
      <c r="C27" s="7"/>
      <c r="D27" s="7">
        <v>7</v>
      </c>
      <c r="E27" s="7">
        <v>12056</v>
      </c>
      <c r="F27" s="7">
        <v>11544</v>
      </c>
      <c r="G27" s="7">
        <v>133</v>
      </c>
      <c r="H27" s="9">
        <f t="shared" si="6"/>
        <v>1.1521136521136521E-2</v>
      </c>
      <c r="I27" s="9">
        <f>IFERROR((12056-F27)/12056,0)</f>
        <v>4.2468480424684804E-2</v>
      </c>
      <c r="J27" s="7">
        <v>70640</v>
      </c>
      <c r="K27" s="11">
        <f t="shared" si="7"/>
        <v>87.417087417087416</v>
      </c>
      <c r="L27" s="11">
        <f>K27-89.9938</f>
        <v>-2.5767125829125774</v>
      </c>
      <c r="M27" s="11">
        <v>95</v>
      </c>
      <c r="N27" s="11">
        <f t="shared" si="8"/>
        <v>-7.5829125829125843</v>
      </c>
      <c r="O27" s="11">
        <f>IFERROR(854150/12056,0)</f>
        <v>70.848540145985396</v>
      </c>
      <c r="P27" s="11">
        <v>71</v>
      </c>
      <c r="Q27" s="11">
        <f t="shared" si="9"/>
        <v>-0.15145985401460393</v>
      </c>
      <c r="R27" s="7">
        <v>9730</v>
      </c>
      <c r="S27" s="11">
        <f t="shared" si="10"/>
        <v>120.40887040887041</v>
      </c>
      <c r="T27" s="13">
        <f t="shared" si="11"/>
        <v>7.2600205549845835</v>
      </c>
      <c r="U27" s="7">
        <v>11900</v>
      </c>
      <c r="V27" s="11">
        <f t="shared" si="12"/>
        <v>147.26264726264725</v>
      </c>
      <c r="W27" s="11">
        <f t="shared" si="13"/>
        <v>1.2230215827338129</v>
      </c>
      <c r="X27" s="11">
        <v>294.14999999999998</v>
      </c>
      <c r="Y27" s="11">
        <f t="shared" si="14"/>
        <v>137.74065685164211</v>
      </c>
      <c r="Z27" s="11">
        <f t="shared" si="15"/>
        <v>40.516414212910526</v>
      </c>
      <c r="AA27" s="7">
        <v>1739</v>
      </c>
      <c r="AB27" s="15">
        <f>IFERROR(AA27/1900,0)</f>
        <v>0.91526315789473689</v>
      </c>
      <c r="AC27" s="11">
        <v>0</v>
      </c>
      <c r="AD27" s="15">
        <f>IFERROR(AC27/60.9,0)</f>
        <v>0</v>
      </c>
      <c r="AE27" s="11">
        <v>0</v>
      </c>
      <c r="AF27" s="11">
        <v>30</v>
      </c>
      <c r="AG27" s="7">
        <f t="shared" si="16"/>
        <v>-6127.6000000000022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>
        <f>IFERROR(0/F27,0)</f>
        <v>0</v>
      </c>
      <c r="AP27" s="11">
        <v>0</v>
      </c>
      <c r="AQ27" s="7"/>
      <c r="AR27" s="7"/>
      <c r="AS27" s="7">
        <v>0</v>
      </c>
      <c r="AT27" s="7"/>
    </row>
    <row r="28" spans="1:46" ht="15" thickBot="1" x14ac:dyDescent="0.35">
      <c r="A28" s="16" t="s">
        <v>73</v>
      </c>
      <c r="B28" s="16"/>
      <c r="C28" s="17"/>
      <c r="D28" s="17">
        <f>AVERAGE(D13:D27)</f>
        <v>7</v>
      </c>
      <c r="E28" s="17">
        <f>SUM(E13:E27)</f>
        <v>537211</v>
      </c>
      <c r="F28" s="17">
        <f>SUM(F13:F27)</f>
        <v>489899</v>
      </c>
      <c r="G28" s="17">
        <f>SUM(G13:G27)</f>
        <v>2049</v>
      </c>
      <c r="H28" s="18">
        <f t="shared" si="6"/>
        <v>4.1824947591238195E-3</v>
      </c>
      <c r="I28" s="18"/>
      <c r="J28" s="17">
        <f>SUM(J13:J27)</f>
        <v>2665270</v>
      </c>
      <c r="K28" s="19">
        <f t="shared" si="7"/>
        <v>77.720684700898985</v>
      </c>
      <c r="L28" s="19"/>
      <c r="M28" s="19">
        <f>IFERROR(SUMPRODUCT($F13:$F27,M13:M27)/$F28, 0)</f>
        <v>87.251310168014228</v>
      </c>
      <c r="N28" s="19">
        <f t="shared" si="8"/>
        <v>-9.5306254671152431</v>
      </c>
      <c r="O28" s="19">
        <f>IFERROR(SUMPRODUCT($E13:$E27,O13:O27)/$E28, 0)</f>
        <v>236.23102281971143</v>
      </c>
      <c r="P28" s="19">
        <f>IFERROR(SUMPRODUCT($E13:$E27,P13:P27)/$E28, 0)</f>
        <v>175.72755025492776</v>
      </c>
      <c r="Q28" s="19">
        <f>IFERROR(SUMPRODUCT($E13:$E27,Q13:Q27)/$E28, 0)</f>
        <v>60.503472564783671</v>
      </c>
      <c r="R28" s="17">
        <f>SUM(R13:R27)</f>
        <v>402027</v>
      </c>
      <c r="S28" s="19">
        <f>IFERROR(R28/D28/$F28*1000,0)</f>
        <v>117.23320229563355</v>
      </c>
      <c r="T28" s="20">
        <f t="shared" si="11"/>
        <v>6.629579605349889</v>
      </c>
      <c r="U28" s="17">
        <f>SUM(U13:U27)</f>
        <v>635060</v>
      </c>
      <c r="V28" s="19">
        <f>IFERROR(U28/D28/$F28*1000,0)</f>
        <v>185.18685921558759</v>
      </c>
      <c r="W28" s="19">
        <f t="shared" si="13"/>
        <v>1.5796451482114384</v>
      </c>
      <c r="X28" s="19">
        <f>IFERROR(SUMPRODUCT(R13:R27,X13:X27)/R28,0)</f>
        <v>296.50034592441125</v>
      </c>
      <c r="Y28" s="19">
        <f>IFERROR(($F28*S28)/($F28*K28)*100,0)</f>
        <v>150.83912699276252</v>
      </c>
      <c r="Z28" s="19">
        <f t="shared" si="15"/>
        <v>44.72385333229029</v>
      </c>
      <c r="AA28" s="17"/>
      <c r="AB28" s="21">
        <f>IFERROR(SUMPRODUCT($F13:$F27,AB13:AB27)/$F28,0)</f>
        <v>0.81105488062319442</v>
      </c>
      <c r="AC28" s="19"/>
      <c r="AD28" s="21">
        <f>AVERAGE(AD13:AD27)</f>
        <v>0.32716032173175086</v>
      </c>
      <c r="AE28" s="19"/>
      <c r="AF28" s="19"/>
      <c r="AG28" s="17">
        <f>SUM(AG13:AG27)</f>
        <v>-342643.07199999999</v>
      </c>
      <c r="AH28" s="17">
        <f>SUM(AH13:AH27)</f>
        <v>622.5</v>
      </c>
      <c r="AI28" s="17">
        <f>IFERROR(SUMPRODUCT(AH13:AH27,AI13:AI27)/AH28, 0)</f>
        <v>10.248995983939921</v>
      </c>
      <c r="AJ28" s="19">
        <f>AVERAGE(AJ13:AJ27)</f>
        <v>6.4666666666666668</v>
      </c>
      <c r="AK28" s="19">
        <f>AVERAGE(AK13:AK27)</f>
        <v>6.666666666666667</v>
      </c>
      <c r="AL28" s="19">
        <f>AVERAGE(AL13:AL27)</f>
        <v>0</v>
      </c>
      <c r="AM28" s="19">
        <f>AVERAGE(AM13:AM27)</f>
        <v>0</v>
      </c>
      <c r="AN28" s="19">
        <f>AVERAGE(AN13:AN27)</f>
        <v>0</v>
      </c>
      <c r="AO28" s="20"/>
      <c r="AP28" s="19"/>
      <c r="AQ28" s="17"/>
      <c r="AR28" s="17"/>
      <c r="AS28" s="17"/>
      <c r="AT28" s="17"/>
    </row>
    <row r="29" spans="1:46" ht="15" thickBot="1" x14ac:dyDescent="0.35"/>
    <row r="30" spans="1:46" ht="15" thickBot="1" x14ac:dyDescent="0.35">
      <c r="A30" s="23" t="s">
        <v>74</v>
      </c>
      <c r="B30" s="23"/>
      <c r="C30" s="23"/>
      <c r="D30" s="23">
        <f>IFERROR($F$11/$F30*D$11,0)+IFERROR($F$28/$F30*D$28,0)</f>
        <v>6.9999999999999991</v>
      </c>
      <c r="E30" s="23">
        <f>E11+E28</f>
        <v>581809</v>
      </c>
      <c r="F30" s="23">
        <f>F11+F28</f>
        <v>526670</v>
      </c>
      <c r="G30" s="23">
        <f>G11+G28</f>
        <v>2237</v>
      </c>
      <c r="H30" s="24">
        <f>IFERROR(G30/F30,0)</f>
        <v>4.2474414718894184E-3</v>
      </c>
      <c r="I30" s="23"/>
      <c r="J30" s="23">
        <f>J11+J28</f>
        <v>2845493</v>
      </c>
      <c r="K30" s="25">
        <f>IFERROR(J30/D30/F30*100,0)</f>
        <v>77.182865931228292</v>
      </c>
      <c r="L30" s="23"/>
      <c r="M30" s="25">
        <f>IFERROR($F$11/$F30*M$11,0)+IFERROR($F$28/$F30*M$28,0)</f>
        <v>85.71708299314561</v>
      </c>
      <c r="N30" s="25">
        <f>K30-M30</f>
        <v>-8.5342170619173174</v>
      </c>
      <c r="O30" s="23">
        <f>IFERROR($E$11/$E30*O$11,0)+IFERROR($E$28/$E30*O$28,0)</f>
        <v>242.2637343183072</v>
      </c>
      <c r="P30" s="23">
        <f>IFERROR($E$11/$E30*P$11,0)+IFERROR($E$28/$E30*P$28,0)</f>
        <v>166.65197341395543</v>
      </c>
      <c r="Q30" s="23">
        <f>IFERROR($E$11/$E30*Q$11,0)+IFERROR($E$28/$E30*Q$28,0)</f>
        <v>75.611760904351769</v>
      </c>
      <c r="R30" s="23">
        <f>R11+R28</f>
        <v>434945</v>
      </c>
      <c r="S30" s="25">
        <f>IFERROR(R30/D30/$F30*1000,0)</f>
        <v>117.97710141075058</v>
      </c>
      <c r="T30" s="26">
        <f>IFERROR(J30/R30,0)</f>
        <v>6.5421903918886297</v>
      </c>
      <c r="U30" s="23">
        <f>U11+U28</f>
        <v>645140</v>
      </c>
      <c r="V30" s="25">
        <f>IFERROR(U30/D30/$F30*1000,0)</f>
        <v>174.99165918479721</v>
      </c>
      <c r="W30" s="25">
        <f>IFERROR(V30/S30,0)</f>
        <v>1.4832679994022233</v>
      </c>
      <c r="X30" s="25">
        <f>IFERROR($F$11/$F30*X$11,0)+IFERROR($F$28/$F30*X$28,0)</f>
        <v>299.28915329151761</v>
      </c>
      <c r="Y30" s="25">
        <f>IFERROR(($F30*S30)/($F30*K30)*100,0)</f>
        <v>152.85400456089681</v>
      </c>
      <c r="Z30" s="25">
        <f>IFERROR(Y30*X30/1000,0)</f>
        <v>45.747545602248572</v>
      </c>
      <c r="AA30" s="23"/>
      <c r="AB30" s="27"/>
      <c r="AC30" s="23"/>
      <c r="AD30" s="27"/>
      <c r="AE30" s="23"/>
      <c r="AF30" s="23"/>
      <c r="AG30" s="23">
        <f>AG11+AG28</f>
        <v>-352520.12699999998</v>
      </c>
      <c r="AH30" s="23">
        <f>AH11+AH28</f>
        <v>622.5</v>
      </c>
      <c r="AI30" s="23">
        <f>IFERROR(AH$11/AH30*AI$11,0)+IFERROR(AH$28/AH30*AI$28,0)</f>
        <v>10.248995983939921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</row>
    <row r="32" spans="1:46" x14ac:dyDescent="0.3">
      <c r="A32" s="31" t="s">
        <v>75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x14ac:dyDescent="0.3">
      <c r="A33" s="32"/>
      <c r="B33" s="32" t="s">
        <v>76</v>
      </c>
      <c r="C33" s="32"/>
      <c r="D33" s="32" t="s">
        <v>77</v>
      </c>
      <c r="E33" s="32" t="s">
        <v>78</v>
      </c>
      <c r="F33" s="32" t="s">
        <v>79</v>
      </c>
      <c r="G33" s="32" t="s">
        <v>50</v>
      </c>
      <c r="H33" s="32" t="s">
        <v>51</v>
      </c>
      <c r="I33" s="32" t="s">
        <v>49</v>
      </c>
      <c r="J33" s="32" t="s">
        <v>52</v>
      </c>
      <c r="K33" s="32" t="s">
        <v>53</v>
      </c>
      <c r="L33" s="32" t="s">
        <v>54</v>
      </c>
      <c r="M33" s="32" t="s">
        <v>56</v>
      </c>
      <c r="N33" s="32" t="s">
        <v>65</v>
      </c>
      <c r="O33" s="32" t="s">
        <v>57</v>
      </c>
      <c r="P33" s="32" t="s">
        <v>58</v>
      </c>
      <c r="Q33" s="32" t="s">
        <v>59</v>
      </c>
      <c r="R33" s="32" t="s">
        <v>80</v>
      </c>
      <c r="S33" s="32" t="s">
        <v>60</v>
      </c>
      <c r="T33" s="32" t="s">
        <v>69</v>
      </c>
      <c r="U33" s="32" t="s">
        <v>61</v>
      </c>
      <c r="V33" s="32" t="s">
        <v>70</v>
      </c>
      <c r="W33" s="32" t="s">
        <v>71</v>
      </c>
      <c r="X33" s="32" t="s">
        <v>72</v>
      </c>
      <c r="Y33" s="32" t="s">
        <v>62</v>
      </c>
      <c r="Z33" s="32" t="s">
        <v>66</v>
      </c>
      <c r="AA33" s="32" t="s">
        <v>67</v>
      </c>
      <c r="AB33" s="32" t="s">
        <v>81</v>
      </c>
      <c r="AC33" s="32" t="s">
        <v>63</v>
      </c>
      <c r="AD33" s="32" t="s">
        <v>68</v>
      </c>
      <c r="AE33" s="32" t="s">
        <v>64</v>
      </c>
    </row>
    <row r="34" spans="1:31" x14ac:dyDescent="0.3">
      <c r="B34" s="4">
        <v>202501</v>
      </c>
      <c r="C34" s="4"/>
      <c r="D34" s="8">
        <v>2.8E-3</v>
      </c>
      <c r="E34" s="8">
        <v>5.1000000000000004E-3</v>
      </c>
      <c r="F34" s="8">
        <v>2.5999999999999999E-3</v>
      </c>
      <c r="G34" s="8">
        <v>7.7999999999999996E-3</v>
      </c>
      <c r="H34" s="8">
        <v>4.4999999999999997E-3</v>
      </c>
      <c r="I34" s="8">
        <v>3.5000000000000001E-3</v>
      </c>
      <c r="J34" s="8">
        <v>3.2000000000000002E-3</v>
      </c>
      <c r="K34" s="8">
        <v>4.7999999999999996E-3</v>
      </c>
      <c r="L34" s="8">
        <v>1.9E-3</v>
      </c>
      <c r="M34" s="8">
        <v>2.3999999999999998E-3</v>
      </c>
      <c r="N34" s="8">
        <v>2E-3</v>
      </c>
      <c r="O34" s="8"/>
      <c r="P34" s="8">
        <v>5.7999999999999996E-3</v>
      </c>
      <c r="Q34" s="8">
        <v>2.3999999999999998E-3</v>
      </c>
      <c r="R34" s="8">
        <v>3.3999999999999998E-3</v>
      </c>
      <c r="S34" s="8">
        <v>1.6999999999999999E-3</v>
      </c>
      <c r="T34" s="8"/>
      <c r="U34" s="8">
        <v>2.5000000000000001E-3</v>
      </c>
      <c r="V34" s="8">
        <v>5.3E-3</v>
      </c>
      <c r="W34" s="8">
        <v>6.3E-3</v>
      </c>
      <c r="X34" s="8">
        <v>2.7000000000000001E-3</v>
      </c>
      <c r="Y34" s="8">
        <v>1.5E-3</v>
      </c>
      <c r="Z34" s="8">
        <v>1.4E-3</v>
      </c>
      <c r="AA34" s="8">
        <v>2.8E-3</v>
      </c>
      <c r="AB34" s="8">
        <v>1.6999999999999999E-3</v>
      </c>
      <c r="AC34" s="8"/>
      <c r="AD34" s="8"/>
      <c r="AE34" s="8">
        <v>6.9999999999999999E-4</v>
      </c>
    </row>
    <row r="35" spans="1:31" x14ac:dyDescent="0.3">
      <c r="B35" s="5">
        <v>202502</v>
      </c>
      <c r="C35" s="5"/>
      <c r="D35" s="9">
        <v>2.8999999999999998E-3</v>
      </c>
      <c r="E35" s="9">
        <v>4.4000000000000003E-3</v>
      </c>
      <c r="F35" s="9">
        <v>2.7000000000000001E-3</v>
      </c>
      <c r="G35" s="9">
        <v>6.3E-3</v>
      </c>
      <c r="H35" s="9">
        <v>4.4999999999999997E-3</v>
      </c>
      <c r="I35" s="9">
        <v>4.4000000000000003E-3</v>
      </c>
      <c r="J35" s="9">
        <v>3.2000000000000002E-3</v>
      </c>
      <c r="K35" s="9">
        <v>2.7000000000000001E-3</v>
      </c>
      <c r="L35" s="9">
        <v>2.0999999999999999E-3</v>
      </c>
      <c r="M35" s="9">
        <v>3.3999999999999998E-3</v>
      </c>
      <c r="N35" s="9">
        <v>1.9E-3</v>
      </c>
      <c r="O35" s="9"/>
      <c r="P35" s="9">
        <v>1.32E-2</v>
      </c>
      <c r="Q35" s="9">
        <v>2.3999999999999998E-3</v>
      </c>
      <c r="R35" s="9">
        <v>4.1999999999999997E-3</v>
      </c>
      <c r="S35" s="9">
        <v>1.6999999999999999E-3</v>
      </c>
      <c r="T35" s="9"/>
      <c r="U35" s="9">
        <v>2.5000000000000001E-3</v>
      </c>
      <c r="V35" s="9">
        <v>5.7999999999999996E-3</v>
      </c>
      <c r="W35" s="9">
        <v>3.5999999999999999E-3</v>
      </c>
      <c r="X35" s="9">
        <v>2.3E-3</v>
      </c>
      <c r="Y35" s="9">
        <v>1.5E-3</v>
      </c>
      <c r="Z35" s="9">
        <v>1E-3</v>
      </c>
      <c r="AA35" s="9">
        <v>3.0000000000000001E-3</v>
      </c>
      <c r="AB35" s="9">
        <v>1.8E-3</v>
      </c>
      <c r="AC35" s="9"/>
      <c r="AD35" s="9"/>
      <c r="AE35" s="9">
        <v>1E-3</v>
      </c>
    </row>
    <row r="36" spans="1:31" x14ac:dyDescent="0.3">
      <c r="B36" s="5">
        <v>202503</v>
      </c>
      <c r="C36" s="5"/>
      <c r="D36" s="9">
        <v>2.8E-3</v>
      </c>
      <c r="E36" s="9">
        <v>4.8999999999999998E-3</v>
      </c>
      <c r="F36" s="9">
        <v>2.5999999999999999E-3</v>
      </c>
      <c r="G36" s="9">
        <v>5.8999999999999999E-3</v>
      </c>
      <c r="H36" s="9">
        <v>5.8999999999999999E-3</v>
      </c>
      <c r="I36" s="9">
        <v>3.5999999999999999E-3</v>
      </c>
      <c r="J36" s="9">
        <v>3.3999999999999998E-3</v>
      </c>
      <c r="K36" s="9">
        <v>3.2000000000000002E-3</v>
      </c>
      <c r="L36" s="9">
        <v>3.0000000000000001E-3</v>
      </c>
      <c r="M36" s="9">
        <v>2.2000000000000001E-3</v>
      </c>
      <c r="N36" s="9">
        <v>1.6000000000000001E-3</v>
      </c>
      <c r="O36" s="9"/>
      <c r="P36" s="9">
        <v>9.7999999999999997E-3</v>
      </c>
      <c r="Q36" s="9">
        <v>2.5000000000000001E-3</v>
      </c>
      <c r="R36" s="9">
        <v>3.3E-3</v>
      </c>
      <c r="S36" s="9">
        <v>1.8E-3</v>
      </c>
      <c r="T36" s="9"/>
      <c r="U36" s="9">
        <v>2.5000000000000001E-3</v>
      </c>
      <c r="V36" s="9">
        <v>5.4999999999999997E-3</v>
      </c>
      <c r="W36" s="9">
        <v>3.5000000000000001E-3</v>
      </c>
      <c r="X36" s="9">
        <v>2.5000000000000001E-3</v>
      </c>
      <c r="Y36" s="9">
        <v>1.6999999999999999E-3</v>
      </c>
      <c r="Z36" s="9">
        <v>6.9999999999999999E-4</v>
      </c>
      <c r="AA36" s="9">
        <v>2.8E-3</v>
      </c>
      <c r="AB36" s="9">
        <v>1.4E-3</v>
      </c>
      <c r="AC36" s="9"/>
      <c r="AD36" s="9"/>
      <c r="AE36" s="9">
        <v>1.6000000000000001E-3</v>
      </c>
    </row>
    <row r="37" spans="1:31" x14ac:dyDescent="0.3">
      <c r="B37" s="5">
        <v>202504</v>
      </c>
      <c r="C37" s="5"/>
      <c r="D37" s="9">
        <v>2.5999999999999999E-3</v>
      </c>
      <c r="E37" s="9">
        <v>5.1000000000000004E-3</v>
      </c>
      <c r="F37" s="9">
        <v>2.3999999999999998E-3</v>
      </c>
      <c r="G37" s="9">
        <v>5.8999999999999999E-3</v>
      </c>
      <c r="H37" s="9">
        <v>5.7999999999999996E-3</v>
      </c>
      <c r="I37" s="9">
        <v>6.3E-3</v>
      </c>
      <c r="J37" s="9">
        <v>5.0000000000000001E-3</v>
      </c>
      <c r="K37" s="9">
        <v>4.1000000000000003E-3</v>
      </c>
      <c r="L37" s="9">
        <v>1.9E-3</v>
      </c>
      <c r="M37" s="9">
        <v>2.3999999999999998E-3</v>
      </c>
      <c r="N37" s="9">
        <v>2.2000000000000001E-3</v>
      </c>
      <c r="O37" s="9"/>
      <c r="P37" s="9">
        <v>7.3000000000000001E-3</v>
      </c>
      <c r="Q37" s="9">
        <v>2.5000000000000001E-3</v>
      </c>
      <c r="R37" s="9">
        <v>4.1000000000000003E-3</v>
      </c>
      <c r="S37" s="9">
        <v>1.6999999999999999E-3</v>
      </c>
      <c r="T37" s="9"/>
      <c r="U37" s="9">
        <v>2.5999999999999999E-3</v>
      </c>
      <c r="V37" s="9">
        <v>3.2000000000000002E-3</v>
      </c>
      <c r="W37" s="9">
        <v>3.7000000000000002E-3</v>
      </c>
      <c r="X37" s="9">
        <v>2.5000000000000001E-3</v>
      </c>
      <c r="Y37" s="9">
        <v>1.6000000000000001E-3</v>
      </c>
      <c r="Z37" s="9">
        <v>8.9999999999999998E-4</v>
      </c>
      <c r="AA37" s="9">
        <v>3.5000000000000001E-3</v>
      </c>
      <c r="AB37" s="9">
        <v>1.6000000000000001E-3</v>
      </c>
      <c r="AC37" s="9"/>
      <c r="AD37" s="9"/>
      <c r="AE37" s="9">
        <v>8.9999999999999998E-4</v>
      </c>
    </row>
    <row r="38" spans="1:31" x14ac:dyDescent="0.3">
      <c r="B38" s="5">
        <v>202505</v>
      </c>
      <c r="C38" s="5"/>
      <c r="D38" s="9">
        <v>2.5999999999999999E-3</v>
      </c>
      <c r="E38" s="9">
        <v>4.1000000000000003E-3</v>
      </c>
      <c r="F38" s="9">
        <v>2.5000000000000001E-3</v>
      </c>
      <c r="G38" s="9">
        <v>5.3E-3</v>
      </c>
      <c r="H38" s="9">
        <v>4.7000000000000002E-3</v>
      </c>
      <c r="I38" s="9">
        <v>2.7000000000000001E-3</v>
      </c>
      <c r="J38" s="9">
        <v>1.6000000000000001E-3</v>
      </c>
      <c r="K38" s="9">
        <v>3.0000000000000001E-3</v>
      </c>
      <c r="L38" s="9">
        <v>2.8E-3</v>
      </c>
      <c r="M38" s="9">
        <v>2.5000000000000001E-3</v>
      </c>
      <c r="N38" s="9">
        <v>2.7000000000000001E-3</v>
      </c>
      <c r="O38" s="9"/>
      <c r="P38" s="9">
        <v>4.5999999999999999E-3</v>
      </c>
      <c r="Q38" s="9">
        <v>4.1000000000000003E-3</v>
      </c>
      <c r="R38" s="9">
        <v>4.1000000000000003E-3</v>
      </c>
      <c r="S38" s="9">
        <v>1.6999999999999999E-3</v>
      </c>
      <c r="T38" s="9"/>
      <c r="U38" s="9">
        <v>2.3E-3</v>
      </c>
      <c r="V38" s="9">
        <v>2.2000000000000001E-3</v>
      </c>
      <c r="W38" s="9">
        <v>4.4000000000000003E-3</v>
      </c>
      <c r="X38" s="9">
        <v>2.3E-3</v>
      </c>
      <c r="Y38" s="9">
        <v>1.6000000000000001E-3</v>
      </c>
      <c r="Z38" s="9">
        <v>8.9999999999999998E-4</v>
      </c>
      <c r="AA38" s="9">
        <v>3.0999999999999999E-3</v>
      </c>
      <c r="AB38" s="9">
        <v>1.5E-3</v>
      </c>
      <c r="AC38" s="9"/>
      <c r="AD38" s="9"/>
      <c r="AE38" s="9">
        <v>8.9999999999999998E-4</v>
      </c>
    </row>
    <row r="39" spans="1:31" x14ac:dyDescent="0.3">
      <c r="B39" s="5">
        <v>202506</v>
      </c>
      <c r="C39" s="5"/>
      <c r="D39" s="9">
        <v>1.9E-3</v>
      </c>
      <c r="E39" s="9">
        <v>4.4999999999999997E-3</v>
      </c>
      <c r="F39" s="9">
        <v>1.6999999999999999E-3</v>
      </c>
      <c r="G39" s="9">
        <v>5.8999999999999999E-3</v>
      </c>
      <c r="H39" s="9">
        <v>5.4000000000000003E-3</v>
      </c>
      <c r="I39" s="9">
        <v>4.4999999999999997E-3</v>
      </c>
      <c r="J39" s="9">
        <v>2.5000000000000001E-3</v>
      </c>
      <c r="K39" s="9">
        <v>3.0000000000000001E-3</v>
      </c>
      <c r="L39" s="9">
        <v>1.2999999999999999E-3</v>
      </c>
      <c r="M39" s="9">
        <v>3.7000000000000002E-3</v>
      </c>
      <c r="N39" s="9">
        <v>2.5000000000000001E-3</v>
      </c>
      <c r="O39" s="9"/>
      <c r="P39" s="9">
        <v>4.0000000000000001E-3</v>
      </c>
      <c r="Q39" s="9">
        <v>2.7000000000000001E-3</v>
      </c>
      <c r="R39" s="9">
        <v>3.8E-3</v>
      </c>
      <c r="S39" s="9">
        <v>1.5E-3</v>
      </c>
      <c r="T39" s="9"/>
      <c r="U39" s="9">
        <v>1.6999999999999999E-3</v>
      </c>
      <c r="V39" s="9">
        <v>3.0000000000000001E-3</v>
      </c>
      <c r="W39" s="9">
        <v>3.5999999999999999E-3</v>
      </c>
      <c r="X39" s="9">
        <v>1.8E-3</v>
      </c>
      <c r="Y39" s="9">
        <v>8.9999999999999998E-4</v>
      </c>
      <c r="Z39" s="9">
        <v>5.9999999999999995E-4</v>
      </c>
      <c r="AA39" s="9">
        <v>1.6999999999999999E-3</v>
      </c>
      <c r="AB39" s="9">
        <v>1E-3</v>
      </c>
      <c r="AC39" s="9">
        <v>0</v>
      </c>
      <c r="AD39" s="9">
        <v>0</v>
      </c>
      <c r="AE39" s="9">
        <v>5.0000000000000001E-4</v>
      </c>
    </row>
    <row r="40" spans="1:31" x14ac:dyDescent="0.3">
      <c r="B40" s="5">
        <v>202507</v>
      </c>
      <c r="C40" s="5"/>
      <c r="D40" s="9">
        <v>2.3999999999999998E-3</v>
      </c>
      <c r="E40" s="9">
        <v>4.5999999999999999E-3</v>
      </c>
      <c r="F40" s="9">
        <v>2.2000000000000001E-3</v>
      </c>
      <c r="G40" s="9">
        <v>5.7999999999999996E-3</v>
      </c>
      <c r="H40" s="9">
        <v>4.3E-3</v>
      </c>
      <c r="I40" s="9">
        <v>4.4999999999999997E-3</v>
      </c>
      <c r="J40" s="9">
        <v>2.5000000000000001E-3</v>
      </c>
      <c r="K40" s="9">
        <v>5.1000000000000004E-3</v>
      </c>
      <c r="L40" s="9">
        <v>3.8E-3</v>
      </c>
      <c r="M40" s="9">
        <v>8.0999999999999996E-3</v>
      </c>
      <c r="N40" s="9">
        <v>2.8E-3</v>
      </c>
      <c r="O40" s="9"/>
      <c r="P40" s="9">
        <v>4.4999999999999997E-3</v>
      </c>
      <c r="Q40" s="9">
        <v>2E-3</v>
      </c>
      <c r="R40" s="9">
        <v>4.8999999999999998E-3</v>
      </c>
      <c r="S40" s="9">
        <v>1.4E-3</v>
      </c>
      <c r="T40" s="9"/>
      <c r="U40" s="9">
        <v>1.9E-3</v>
      </c>
      <c r="V40" s="9">
        <v>4.3E-3</v>
      </c>
      <c r="W40" s="9">
        <v>4.1999999999999997E-3</v>
      </c>
      <c r="X40" s="9">
        <v>4.4000000000000003E-3</v>
      </c>
      <c r="Y40" s="9">
        <v>1.1000000000000001E-3</v>
      </c>
      <c r="Z40" s="9">
        <v>5.0000000000000001E-4</v>
      </c>
      <c r="AA40" s="9">
        <v>2.0999999999999999E-3</v>
      </c>
      <c r="AB40" s="9">
        <v>1.1999999999999999E-3</v>
      </c>
      <c r="AC40" s="9">
        <v>8.9999999999999998E-4</v>
      </c>
      <c r="AD40" s="9">
        <v>8.0000000000000004E-4</v>
      </c>
      <c r="AE40" s="9">
        <v>6.9999999999999999E-4</v>
      </c>
    </row>
    <row r="41" spans="1:31" x14ac:dyDescent="0.3">
      <c r="B41" s="5">
        <v>202508</v>
      </c>
      <c r="C41" s="5"/>
      <c r="D41" s="9">
        <v>2E-3</v>
      </c>
      <c r="E41" s="9">
        <v>4.4000000000000003E-3</v>
      </c>
      <c r="F41" s="9">
        <v>1.8E-3</v>
      </c>
      <c r="G41" s="9">
        <v>6.6E-3</v>
      </c>
      <c r="H41" s="9">
        <v>3.8E-3</v>
      </c>
      <c r="I41" s="9">
        <v>2.7000000000000001E-3</v>
      </c>
      <c r="J41" s="9">
        <v>3.2000000000000002E-3</v>
      </c>
      <c r="K41" s="9">
        <v>4.1999999999999997E-3</v>
      </c>
      <c r="L41" s="9">
        <v>2.0999999999999999E-3</v>
      </c>
      <c r="M41" s="9">
        <v>2.5999999999999999E-3</v>
      </c>
      <c r="N41" s="9">
        <v>2.8999999999999998E-3</v>
      </c>
      <c r="O41" s="9"/>
      <c r="P41" s="9">
        <v>5.1999999999999998E-3</v>
      </c>
      <c r="Q41" s="9">
        <v>1.9E-3</v>
      </c>
      <c r="R41" s="9">
        <v>2.3999999999999998E-3</v>
      </c>
      <c r="S41" s="9">
        <v>1.2999999999999999E-3</v>
      </c>
      <c r="T41" s="9"/>
      <c r="U41" s="9">
        <v>1.9E-3</v>
      </c>
      <c r="V41" s="9">
        <v>3.0999999999999999E-3</v>
      </c>
      <c r="W41" s="9">
        <v>3.2000000000000002E-3</v>
      </c>
      <c r="X41" s="9">
        <v>2.3E-3</v>
      </c>
      <c r="Y41" s="9">
        <v>1.1000000000000001E-3</v>
      </c>
      <c r="Z41" s="9">
        <v>5.0000000000000001E-4</v>
      </c>
      <c r="AA41" s="9">
        <v>2.8E-3</v>
      </c>
      <c r="AB41" s="9">
        <v>1.2999999999999999E-3</v>
      </c>
      <c r="AC41" s="9">
        <v>1.1999999999999999E-3</v>
      </c>
      <c r="AD41" s="9">
        <v>6.9999999999999999E-4</v>
      </c>
      <c r="AE41" s="9">
        <v>5.9999999999999995E-4</v>
      </c>
    </row>
    <row r="42" spans="1:31" x14ac:dyDescent="0.3">
      <c r="B42" s="5">
        <v>202509</v>
      </c>
      <c r="C42" s="5"/>
      <c r="D42" s="9">
        <v>3.0000000000000001E-3</v>
      </c>
      <c r="E42" s="9">
        <v>8.8000000000000005E-3</v>
      </c>
      <c r="F42" s="9">
        <v>2.5000000000000001E-3</v>
      </c>
      <c r="G42" s="9">
        <v>1.7299999999999999E-2</v>
      </c>
      <c r="H42" s="9">
        <v>5.7000000000000002E-3</v>
      </c>
      <c r="I42" s="9">
        <v>9.1999999999999998E-3</v>
      </c>
      <c r="J42" s="9">
        <v>5.1000000000000004E-3</v>
      </c>
      <c r="K42" s="9">
        <v>4.4000000000000003E-3</v>
      </c>
      <c r="L42" s="9">
        <v>3.8999999999999998E-3</v>
      </c>
      <c r="M42" s="9">
        <v>2.0999999999999999E-3</v>
      </c>
      <c r="N42" s="9">
        <v>5.1999999999999998E-3</v>
      </c>
      <c r="O42" s="9"/>
      <c r="P42" s="9">
        <v>5.0000000000000001E-3</v>
      </c>
      <c r="Q42" s="9">
        <v>2.7000000000000001E-3</v>
      </c>
      <c r="R42" s="9">
        <v>4.8999999999999998E-3</v>
      </c>
      <c r="S42" s="9">
        <v>2E-3</v>
      </c>
      <c r="T42" s="9"/>
      <c r="U42" s="9">
        <v>2.5000000000000001E-3</v>
      </c>
      <c r="V42" s="9">
        <v>3.0999999999999999E-3</v>
      </c>
      <c r="W42" s="9">
        <v>4.5999999999999999E-3</v>
      </c>
      <c r="X42" s="9">
        <v>2.8E-3</v>
      </c>
      <c r="Y42" s="9">
        <v>1.6999999999999999E-3</v>
      </c>
      <c r="Z42" s="9">
        <v>1E-3</v>
      </c>
      <c r="AA42" s="9">
        <v>3.5999999999999999E-3</v>
      </c>
      <c r="AB42" s="9">
        <v>1.6000000000000001E-3</v>
      </c>
      <c r="AC42" s="9">
        <v>2.3E-3</v>
      </c>
      <c r="AD42" s="9">
        <v>1.1999999999999999E-3</v>
      </c>
      <c r="AE42" s="9">
        <v>1.1999999999999999E-3</v>
      </c>
    </row>
    <row r="43" spans="1:31" x14ac:dyDescent="0.3">
      <c r="B43" s="5">
        <v>202510</v>
      </c>
      <c r="C43" s="5"/>
      <c r="D43" s="9">
        <v>2.8E-3</v>
      </c>
      <c r="E43" s="9">
        <v>8.0000000000000002E-3</v>
      </c>
      <c r="F43" s="9">
        <v>2.3999999999999998E-3</v>
      </c>
      <c r="G43" s="9">
        <v>1.47E-2</v>
      </c>
      <c r="H43" s="9">
        <v>7.1000000000000004E-3</v>
      </c>
      <c r="I43" s="9">
        <v>1.12E-2</v>
      </c>
      <c r="J43" s="9">
        <v>2.8E-3</v>
      </c>
      <c r="K43" s="9">
        <v>2.0999999999999999E-3</v>
      </c>
      <c r="L43" s="9">
        <v>3.0000000000000001E-3</v>
      </c>
      <c r="M43" s="9">
        <v>2.5000000000000001E-3</v>
      </c>
      <c r="N43" s="9">
        <v>3.3999999999999998E-3</v>
      </c>
      <c r="O43" s="9"/>
      <c r="P43" s="9">
        <v>5.5999999999999999E-3</v>
      </c>
      <c r="Q43" s="9">
        <v>2.8999999999999998E-3</v>
      </c>
      <c r="R43" s="9">
        <v>4.1999999999999997E-3</v>
      </c>
      <c r="S43" s="9">
        <v>2.3E-3</v>
      </c>
      <c r="T43" s="9"/>
      <c r="U43" s="9">
        <v>2.5000000000000001E-3</v>
      </c>
      <c r="V43" s="9">
        <v>2.5999999999999999E-3</v>
      </c>
      <c r="W43" s="9">
        <v>3.3999999999999998E-3</v>
      </c>
      <c r="X43" s="9">
        <v>2.5000000000000001E-3</v>
      </c>
      <c r="Y43" s="9">
        <v>2E-3</v>
      </c>
      <c r="Z43" s="9">
        <v>1E-3</v>
      </c>
      <c r="AA43" s="9">
        <v>3.5000000000000001E-3</v>
      </c>
      <c r="AB43" s="9">
        <v>1.6999999999999999E-3</v>
      </c>
      <c r="AC43" s="9">
        <v>1.6999999999999999E-3</v>
      </c>
      <c r="AD43" s="9">
        <v>1.6000000000000001E-3</v>
      </c>
      <c r="AE43" s="9">
        <v>1.2999999999999999E-3</v>
      </c>
    </row>
    <row r="44" spans="1:31" x14ac:dyDescent="0.3">
      <c r="B44" s="5">
        <v>202511</v>
      </c>
      <c r="C44" s="5"/>
      <c r="D44" s="9">
        <v>2.3E-3</v>
      </c>
      <c r="E44" s="9">
        <v>3.5999999999999999E-3</v>
      </c>
      <c r="F44" s="9">
        <v>2.2000000000000001E-3</v>
      </c>
      <c r="G44" s="9">
        <v>5.0000000000000001E-3</v>
      </c>
      <c r="H44" s="9">
        <v>4.1000000000000003E-3</v>
      </c>
      <c r="I44" s="9">
        <v>6.6E-3</v>
      </c>
      <c r="J44" s="9">
        <v>1.9E-3</v>
      </c>
      <c r="K44" s="9">
        <v>2.0999999999999999E-3</v>
      </c>
      <c r="L44" s="9">
        <v>1.2999999999999999E-3</v>
      </c>
      <c r="M44" s="9">
        <v>2E-3</v>
      </c>
      <c r="N44" s="9">
        <v>2.5999999999999999E-3</v>
      </c>
      <c r="O44" s="9"/>
      <c r="P44" s="9">
        <v>3.5000000000000001E-3</v>
      </c>
      <c r="Q44" s="9">
        <v>2.5000000000000001E-3</v>
      </c>
      <c r="R44" s="9">
        <v>3.5000000000000001E-3</v>
      </c>
      <c r="S44" s="9">
        <v>2.3E-3</v>
      </c>
      <c r="T44" s="9"/>
      <c r="U44" s="9">
        <v>3.0000000000000001E-3</v>
      </c>
      <c r="V44" s="9">
        <v>2.3E-3</v>
      </c>
      <c r="W44" s="9">
        <v>3.0999999999999999E-3</v>
      </c>
      <c r="X44" s="9">
        <v>2.8E-3</v>
      </c>
      <c r="Y44" s="9">
        <v>1.9E-3</v>
      </c>
      <c r="Z44" s="9">
        <v>8.9999999999999998E-4</v>
      </c>
      <c r="AA44" s="9">
        <v>3.5000000000000001E-3</v>
      </c>
      <c r="AB44" s="9">
        <v>1.5E-3</v>
      </c>
      <c r="AC44" s="9">
        <v>1.1000000000000001E-3</v>
      </c>
      <c r="AD44" s="9">
        <v>1.1999999999999999E-3</v>
      </c>
      <c r="AE44" s="9">
        <v>1.4E-3</v>
      </c>
    </row>
    <row r="45" spans="1:31" x14ac:dyDescent="0.3">
      <c r="B45" s="5">
        <v>202512</v>
      </c>
      <c r="C45" s="5"/>
      <c r="D45" s="9">
        <v>2.5000000000000001E-3</v>
      </c>
      <c r="E45" s="9">
        <v>3.0999999999999999E-3</v>
      </c>
      <c r="F45" s="9">
        <v>2.3999999999999998E-3</v>
      </c>
      <c r="G45" s="9">
        <v>3.3999999999999998E-3</v>
      </c>
      <c r="H45" s="9">
        <v>3.2000000000000002E-3</v>
      </c>
      <c r="I45" s="9">
        <v>4.7000000000000002E-3</v>
      </c>
      <c r="J45" s="9">
        <v>8.9999999999999998E-4</v>
      </c>
      <c r="K45" s="9">
        <v>4.1999999999999997E-3</v>
      </c>
      <c r="L45" s="9">
        <v>2.5999999999999999E-3</v>
      </c>
      <c r="M45" s="9">
        <v>1.9E-3</v>
      </c>
      <c r="N45" s="9">
        <v>3.2000000000000002E-3</v>
      </c>
      <c r="O45" s="9"/>
      <c r="P45" s="9">
        <v>4.4000000000000003E-3</v>
      </c>
      <c r="Q45" s="9">
        <v>3.7000000000000002E-3</v>
      </c>
      <c r="R45" s="9">
        <v>3.2000000000000002E-3</v>
      </c>
      <c r="S45" s="9">
        <v>2.5999999999999999E-3</v>
      </c>
      <c r="T45" s="9"/>
      <c r="U45" s="9">
        <v>3.3999999999999998E-3</v>
      </c>
      <c r="V45" s="9">
        <v>2.5000000000000001E-3</v>
      </c>
      <c r="W45" s="9">
        <v>3.0999999999999999E-3</v>
      </c>
      <c r="X45" s="9">
        <v>3.2000000000000002E-3</v>
      </c>
      <c r="Y45" s="9">
        <v>1.5E-3</v>
      </c>
      <c r="Z45" s="9">
        <v>8.0000000000000004E-4</v>
      </c>
      <c r="AA45" s="9">
        <v>3.8999999999999998E-3</v>
      </c>
      <c r="AB45" s="9">
        <v>3.5999999999999999E-3</v>
      </c>
      <c r="AC45" s="9">
        <v>1.1000000000000001E-3</v>
      </c>
      <c r="AD45" s="9">
        <v>1E-3</v>
      </c>
      <c r="AE45" s="9">
        <v>8.9999999999999998E-4</v>
      </c>
    </row>
    <row r="46" spans="1:31" x14ac:dyDescent="0.3">
      <c r="B46" s="5">
        <v>202513</v>
      </c>
      <c r="C46" s="5"/>
      <c r="D46" s="9">
        <v>2.5000000000000001E-3</v>
      </c>
      <c r="E46" s="9">
        <v>3.0000000000000001E-3</v>
      </c>
      <c r="F46" s="9">
        <v>2.5000000000000001E-3</v>
      </c>
      <c r="G46" s="9">
        <v>3.0000000000000001E-3</v>
      </c>
      <c r="H46" s="9">
        <v>2.8999999999999998E-3</v>
      </c>
      <c r="I46" s="9">
        <v>4.7000000000000002E-3</v>
      </c>
      <c r="J46" s="9">
        <v>2.5999999999999999E-3</v>
      </c>
      <c r="K46" s="9">
        <v>4.4999999999999997E-3</v>
      </c>
      <c r="L46" s="9">
        <v>1.6999999999999999E-3</v>
      </c>
      <c r="M46" s="9">
        <v>2E-3</v>
      </c>
      <c r="N46" s="9">
        <v>3.5999999999999999E-3</v>
      </c>
      <c r="O46" s="9"/>
      <c r="P46" s="9">
        <v>5.3E-3</v>
      </c>
      <c r="Q46" s="9">
        <v>2.5000000000000001E-3</v>
      </c>
      <c r="R46" s="9">
        <v>3.8E-3</v>
      </c>
      <c r="S46" s="9">
        <v>3.0000000000000001E-3</v>
      </c>
      <c r="T46" s="9"/>
      <c r="U46" s="9">
        <v>3.5999999999999999E-3</v>
      </c>
      <c r="V46" s="9">
        <v>2.5000000000000001E-3</v>
      </c>
      <c r="W46" s="9">
        <v>3.5000000000000001E-3</v>
      </c>
      <c r="X46" s="9">
        <v>3.0999999999999999E-3</v>
      </c>
      <c r="Y46" s="9">
        <v>2E-3</v>
      </c>
      <c r="Z46" s="9">
        <v>1.1000000000000001E-3</v>
      </c>
      <c r="AA46" s="9">
        <v>3.7000000000000002E-3</v>
      </c>
      <c r="AB46" s="9">
        <v>1.8E-3</v>
      </c>
      <c r="AC46" s="9">
        <v>1.6999999999999999E-3</v>
      </c>
      <c r="AD46" s="9">
        <v>8.9999999999999998E-4</v>
      </c>
      <c r="AE46" s="9">
        <v>1E-3</v>
      </c>
    </row>
    <row r="47" spans="1:31" x14ac:dyDescent="0.3">
      <c r="B47" s="5">
        <v>202514</v>
      </c>
      <c r="C47" s="5"/>
      <c r="D47" s="9">
        <v>2.5999999999999999E-3</v>
      </c>
      <c r="E47" s="9">
        <v>4.1999999999999997E-3</v>
      </c>
      <c r="F47" s="9">
        <v>2.5000000000000001E-3</v>
      </c>
      <c r="G47" s="9">
        <v>4.8999999999999998E-3</v>
      </c>
      <c r="H47" s="9">
        <v>3.2000000000000002E-3</v>
      </c>
      <c r="I47" s="9">
        <v>2.8E-3</v>
      </c>
      <c r="J47" s="9">
        <v>6.1000000000000004E-3</v>
      </c>
      <c r="K47" s="9">
        <v>7.1000000000000004E-3</v>
      </c>
      <c r="L47" s="9">
        <v>8.9999999999999998E-4</v>
      </c>
      <c r="M47" s="9">
        <v>2.0999999999999999E-3</v>
      </c>
      <c r="N47" s="9">
        <v>3.7000000000000002E-3</v>
      </c>
      <c r="O47" s="9"/>
      <c r="P47" s="9">
        <v>3.8999999999999998E-3</v>
      </c>
      <c r="Q47" s="9">
        <v>2.5000000000000001E-3</v>
      </c>
      <c r="R47" s="9">
        <v>-1</v>
      </c>
      <c r="S47" s="9">
        <v>2.8E-3</v>
      </c>
      <c r="T47" s="9"/>
      <c r="U47" s="9">
        <v>3.5999999999999999E-3</v>
      </c>
      <c r="V47" s="9">
        <v>2.0999999999999999E-3</v>
      </c>
      <c r="W47" s="9">
        <v>3.2000000000000002E-3</v>
      </c>
      <c r="X47" s="9">
        <v>3.2000000000000002E-3</v>
      </c>
      <c r="Y47" s="9">
        <v>2.3999999999999998E-3</v>
      </c>
      <c r="Z47" s="9">
        <v>1.1999999999999999E-3</v>
      </c>
      <c r="AA47" s="9">
        <v>4.7999999999999996E-3</v>
      </c>
      <c r="AB47" s="9">
        <v>1.6999999999999999E-3</v>
      </c>
      <c r="AC47" s="9">
        <v>1.6999999999999999E-3</v>
      </c>
      <c r="AD47" s="9">
        <v>1.1000000000000001E-3</v>
      </c>
      <c r="AE47" s="9">
        <v>1.1000000000000001E-3</v>
      </c>
    </row>
    <row r="48" spans="1:31" x14ac:dyDescent="0.3">
      <c r="B48" s="5">
        <v>202515</v>
      </c>
      <c r="C48" s="5"/>
      <c r="D48" s="9">
        <v>2.5000000000000001E-3</v>
      </c>
      <c r="E48" s="9">
        <v>3.3E-3</v>
      </c>
      <c r="F48" s="9">
        <v>2.3999999999999998E-3</v>
      </c>
      <c r="G48" s="9">
        <v>5.1000000000000004E-3</v>
      </c>
      <c r="H48" s="9">
        <v>2.8E-3</v>
      </c>
      <c r="I48" s="9">
        <v>1.9E-3</v>
      </c>
      <c r="J48" s="9">
        <v>2.3999999999999998E-3</v>
      </c>
      <c r="K48" s="9">
        <v>3.0999999999999999E-3</v>
      </c>
      <c r="L48" s="9">
        <v>1.5E-3</v>
      </c>
      <c r="M48" s="9">
        <v>1.8E-3</v>
      </c>
      <c r="N48" s="9"/>
      <c r="O48" s="9"/>
      <c r="P48" s="9">
        <v>5.3E-3</v>
      </c>
      <c r="Q48" s="9">
        <v>2.5000000000000001E-3</v>
      </c>
      <c r="R48" s="9"/>
      <c r="S48" s="9">
        <v>2.5000000000000001E-3</v>
      </c>
      <c r="T48" s="9"/>
      <c r="U48" s="9">
        <v>3.7000000000000002E-3</v>
      </c>
      <c r="V48" s="9">
        <v>2.5999999999999999E-3</v>
      </c>
      <c r="W48" s="9">
        <v>2.8999999999999998E-3</v>
      </c>
      <c r="X48" s="9">
        <v>3.5999999999999999E-3</v>
      </c>
      <c r="Y48" s="9">
        <v>2.5999999999999999E-3</v>
      </c>
      <c r="Z48" s="9">
        <v>8.0000000000000004E-4</v>
      </c>
      <c r="AA48" s="9">
        <v>3.7000000000000002E-3</v>
      </c>
      <c r="AB48" s="9">
        <v>1.9E-3</v>
      </c>
      <c r="AC48" s="9">
        <v>1.4E-3</v>
      </c>
      <c r="AD48" s="9">
        <v>8.9999999999999998E-4</v>
      </c>
      <c r="AE48" s="9">
        <v>1.4E-3</v>
      </c>
    </row>
    <row r="49" spans="2:31" x14ac:dyDescent="0.3">
      <c r="B49" s="5">
        <v>202516</v>
      </c>
      <c r="C49" s="5"/>
      <c r="D49" s="9">
        <v>2.7000000000000001E-3</v>
      </c>
      <c r="E49" s="9">
        <v>2.8E-3</v>
      </c>
      <c r="F49" s="9">
        <v>2.5999999999999999E-3</v>
      </c>
      <c r="G49" s="9">
        <v>3.8999999999999998E-3</v>
      </c>
      <c r="H49" s="9">
        <v>2.5000000000000001E-3</v>
      </c>
      <c r="I49" s="9">
        <v>2.8999999999999998E-3</v>
      </c>
      <c r="J49" s="9">
        <v>1.9E-3</v>
      </c>
      <c r="K49" s="9">
        <v>2.2000000000000001E-3</v>
      </c>
      <c r="L49" s="9">
        <v>2.5999999999999999E-3</v>
      </c>
      <c r="M49" s="9">
        <v>1.9E-3</v>
      </c>
      <c r="N49" s="9"/>
      <c r="O49" s="9"/>
      <c r="P49" s="9">
        <v>5.0000000000000001E-3</v>
      </c>
      <c r="Q49" s="9">
        <v>2.5000000000000001E-3</v>
      </c>
      <c r="R49" s="9"/>
      <c r="S49" s="9">
        <v>2.8E-3</v>
      </c>
      <c r="T49" s="9"/>
      <c r="U49" s="9">
        <v>4.0000000000000001E-3</v>
      </c>
      <c r="V49" s="9">
        <v>2.3E-3</v>
      </c>
      <c r="W49" s="9">
        <v>3.0999999999999999E-3</v>
      </c>
      <c r="X49" s="9">
        <v>3.5999999999999999E-3</v>
      </c>
      <c r="Y49" s="9">
        <v>3.3999999999999998E-3</v>
      </c>
      <c r="Z49" s="9">
        <v>1.1999999999999999E-3</v>
      </c>
      <c r="AA49" s="9">
        <v>4.3E-3</v>
      </c>
      <c r="AB49" s="9">
        <v>2.2000000000000001E-3</v>
      </c>
      <c r="AC49" s="9">
        <v>1.6000000000000001E-3</v>
      </c>
      <c r="AD49" s="9">
        <v>1.2999999999999999E-3</v>
      </c>
      <c r="AE49" s="9">
        <v>1.2999999999999999E-3</v>
      </c>
    </row>
    <row r="50" spans="2:31" x14ac:dyDescent="0.3">
      <c r="B50" s="5">
        <v>202517</v>
      </c>
      <c r="C50" s="5"/>
      <c r="D50" s="9">
        <v>2.8E-3</v>
      </c>
      <c r="E50" s="9">
        <v>2.5999999999999999E-3</v>
      </c>
      <c r="F50" s="9">
        <v>2.8E-3</v>
      </c>
      <c r="G50" s="9">
        <v>2.8E-3</v>
      </c>
      <c r="H50" s="9">
        <v>2.8999999999999998E-3</v>
      </c>
      <c r="I50" s="9">
        <v>3.8E-3</v>
      </c>
      <c r="J50" s="9">
        <v>1.4E-3</v>
      </c>
      <c r="K50" s="9">
        <v>2.3999999999999998E-3</v>
      </c>
      <c r="L50" s="9">
        <v>1.6999999999999999E-3</v>
      </c>
      <c r="M50" s="9">
        <v>1.2999999999999999E-3</v>
      </c>
      <c r="N50" s="9"/>
      <c r="O50" s="9"/>
      <c r="P50" s="9">
        <v>8.2000000000000007E-3</v>
      </c>
      <c r="Q50" s="9">
        <v>3.0999999999999999E-3</v>
      </c>
      <c r="R50" s="9"/>
      <c r="S50" s="9">
        <v>2.8E-3</v>
      </c>
      <c r="T50" s="9"/>
      <c r="U50" s="9">
        <v>3.8999999999999998E-3</v>
      </c>
      <c r="V50" s="9">
        <v>2.8999999999999998E-3</v>
      </c>
      <c r="W50" s="9">
        <v>3.5999999999999999E-3</v>
      </c>
      <c r="X50" s="9">
        <v>2.7000000000000001E-3</v>
      </c>
      <c r="Y50" s="9">
        <v>3.3E-3</v>
      </c>
      <c r="Z50" s="9">
        <v>8.9999999999999998E-4</v>
      </c>
      <c r="AA50" s="9">
        <v>4.1999999999999997E-3</v>
      </c>
      <c r="AB50" s="9">
        <v>2E-3</v>
      </c>
      <c r="AC50" s="9">
        <v>2.2000000000000001E-3</v>
      </c>
      <c r="AD50" s="9">
        <v>8.9999999999999998E-4</v>
      </c>
      <c r="AE50" s="9">
        <v>1.2999999999999999E-3</v>
      </c>
    </row>
    <row r="51" spans="2:31" x14ac:dyDescent="0.3">
      <c r="B51" s="5">
        <v>202518</v>
      </c>
      <c r="C51" s="5"/>
      <c r="D51" s="9">
        <v>3.7000000000000002E-3</v>
      </c>
      <c r="E51" s="9">
        <v>2.5999999999999999E-3</v>
      </c>
      <c r="F51" s="9">
        <v>3.7000000000000002E-3</v>
      </c>
      <c r="G51" s="9">
        <v>3.0999999999999999E-3</v>
      </c>
      <c r="H51" s="9">
        <v>2.2000000000000001E-3</v>
      </c>
      <c r="I51" s="9">
        <v>8.6999999999999994E-3</v>
      </c>
      <c r="J51" s="9">
        <v>2.5999999999999999E-3</v>
      </c>
      <c r="K51" s="9">
        <v>2.3999999999999998E-3</v>
      </c>
      <c r="L51" s="9">
        <v>1.6999999999999999E-3</v>
      </c>
      <c r="M51" s="9">
        <v>1.4E-3</v>
      </c>
      <c r="N51" s="9"/>
      <c r="O51" s="9"/>
      <c r="P51" s="9">
        <v>4.8999999999999998E-3</v>
      </c>
      <c r="Q51" s="9">
        <v>4.1999999999999997E-3</v>
      </c>
      <c r="R51" s="9"/>
      <c r="S51" s="9">
        <v>3.0000000000000001E-3</v>
      </c>
      <c r="T51" s="9"/>
      <c r="U51" s="9">
        <v>4.1999999999999997E-3</v>
      </c>
      <c r="V51" s="9">
        <v>2.0999999999999999E-3</v>
      </c>
      <c r="W51" s="9">
        <v>3.3E-3</v>
      </c>
      <c r="X51" s="9">
        <v>3.7000000000000002E-3</v>
      </c>
      <c r="Y51" s="9">
        <v>4.1999999999999997E-3</v>
      </c>
      <c r="Z51" s="9">
        <v>9.1999999999999998E-3</v>
      </c>
      <c r="AA51" s="9">
        <v>9.4000000000000004E-3</v>
      </c>
      <c r="AB51" s="9">
        <v>1.9E-3</v>
      </c>
      <c r="AC51" s="9">
        <v>1.8E-3</v>
      </c>
      <c r="AD51" s="9">
        <v>1.6000000000000001E-3</v>
      </c>
      <c r="AE51" s="9">
        <v>1.8E-3</v>
      </c>
    </row>
    <row r="52" spans="2:31" x14ac:dyDescent="0.3">
      <c r="B52" s="5">
        <v>202519</v>
      </c>
      <c r="C52" s="5"/>
      <c r="D52" s="9">
        <v>2.8999999999999998E-3</v>
      </c>
      <c r="E52" s="9">
        <v>2.3E-3</v>
      </c>
      <c r="F52" s="9">
        <v>2.8999999999999998E-3</v>
      </c>
      <c r="G52" s="9">
        <v>2.5000000000000001E-3</v>
      </c>
      <c r="H52" s="9">
        <v>2.0999999999999999E-3</v>
      </c>
      <c r="I52" s="9">
        <v>1E-3</v>
      </c>
      <c r="J52" s="9">
        <v>2.0999999999999999E-3</v>
      </c>
      <c r="K52" s="9">
        <v>4.3E-3</v>
      </c>
      <c r="L52" s="9">
        <v>1.2999999999999999E-3</v>
      </c>
      <c r="M52" s="9">
        <v>1.6999999999999999E-3</v>
      </c>
      <c r="N52" s="9"/>
      <c r="O52" s="9"/>
      <c r="P52" s="9">
        <v>5.1999999999999998E-3</v>
      </c>
      <c r="Q52" s="9">
        <v>3.2000000000000002E-3</v>
      </c>
      <c r="R52" s="9"/>
      <c r="S52" s="9">
        <v>2.5999999999999999E-3</v>
      </c>
      <c r="T52" s="9">
        <v>1.1999999999999999E-3</v>
      </c>
      <c r="U52" s="9">
        <v>3.8999999999999998E-3</v>
      </c>
      <c r="V52" s="9">
        <v>3.3999999999999998E-3</v>
      </c>
      <c r="W52" s="9">
        <v>4.1000000000000003E-3</v>
      </c>
      <c r="X52" s="9">
        <v>3.5000000000000001E-3</v>
      </c>
      <c r="Y52" s="9">
        <v>4.4999999999999997E-3</v>
      </c>
      <c r="Z52" s="9">
        <v>2E-3</v>
      </c>
      <c r="AA52" s="9">
        <v>4.8999999999999998E-3</v>
      </c>
      <c r="AB52" s="9">
        <v>3.0000000000000001E-3</v>
      </c>
      <c r="AC52" s="9">
        <v>1.9E-3</v>
      </c>
      <c r="AD52" s="9">
        <v>1E-3</v>
      </c>
      <c r="AE52" s="9">
        <v>2E-3</v>
      </c>
    </row>
    <row r="53" spans="2:31" x14ac:dyDescent="0.3">
      <c r="B53" s="5">
        <v>202520</v>
      </c>
      <c r="C53" s="5"/>
      <c r="D53" s="9">
        <v>2.7000000000000001E-3</v>
      </c>
      <c r="E53" s="9">
        <v>2.2000000000000001E-3</v>
      </c>
      <c r="F53" s="9">
        <v>2.7000000000000001E-3</v>
      </c>
      <c r="G53" s="9">
        <v>2.8E-3</v>
      </c>
      <c r="H53" s="9">
        <v>1.8E-3</v>
      </c>
      <c r="I53" s="9">
        <v>2.8999999999999998E-3</v>
      </c>
      <c r="J53" s="9">
        <v>2.0999999999999999E-3</v>
      </c>
      <c r="K53" s="9">
        <v>3.3999999999999998E-3</v>
      </c>
      <c r="L53" s="9">
        <v>8.9999999999999998E-4</v>
      </c>
      <c r="M53" s="9">
        <v>3.5000000000000001E-3</v>
      </c>
      <c r="N53" s="9">
        <v>6.9999999999999999E-4</v>
      </c>
      <c r="O53" s="9"/>
      <c r="P53" s="9">
        <v>4.4000000000000003E-3</v>
      </c>
      <c r="Q53" s="9">
        <v>3.5999999999999999E-3</v>
      </c>
      <c r="R53" s="9"/>
      <c r="S53" s="9">
        <v>2.7000000000000001E-3</v>
      </c>
      <c r="T53" s="9">
        <v>1.1999999999999999E-3</v>
      </c>
      <c r="U53" s="9">
        <v>3.8E-3</v>
      </c>
      <c r="V53" s="9">
        <v>2.8E-3</v>
      </c>
      <c r="W53" s="9">
        <v>4.0000000000000001E-3</v>
      </c>
      <c r="X53" s="9">
        <v>2.3E-3</v>
      </c>
      <c r="Y53" s="9">
        <v>4.3E-3</v>
      </c>
      <c r="Z53" s="9">
        <v>1.1999999999999999E-3</v>
      </c>
      <c r="AA53" s="9">
        <v>4.0000000000000001E-3</v>
      </c>
      <c r="AB53" s="9">
        <v>2.5000000000000001E-3</v>
      </c>
      <c r="AC53" s="9">
        <v>1.9E-3</v>
      </c>
      <c r="AD53" s="9">
        <v>1.4E-3</v>
      </c>
      <c r="AE53" s="9">
        <v>1.8E-3</v>
      </c>
    </row>
    <row r="54" spans="2:31" x14ac:dyDescent="0.3">
      <c r="B54" s="5">
        <v>202521</v>
      </c>
      <c r="C54" s="5"/>
      <c r="D54" s="9">
        <v>3.8E-3</v>
      </c>
      <c r="E54" s="9">
        <v>2.0999999999999999E-3</v>
      </c>
      <c r="F54" s="9">
        <v>3.8999999999999998E-3</v>
      </c>
      <c r="G54" s="9">
        <v>2.8999999999999998E-3</v>
      </c>
      <c r="H54" s="9">
        <v>1.9E-3</v>
      </c>
      <c r="I54" s="9">
        <v>2.8999999999999998E-3</v>
      </c>
      <c r="J54" s="9">
        <v>2.0000000000000001E-4</v>
      </c>
      <c r="K54" s="9">
        <v>2.7000000000000001E-3</v>
      </c>
      <c r="L54" s="9">
        <v>1.5E-3</v>
      </c>
      <c r="M54" s="9">
        <v>2E-3</v>
      </c>
      <c r="N54" s="9">
        <v>8.9999999999999998E-4</v>
      </c>
      <c r="O54" s="9"/>
      <c r="P54" s="9">
        <v>5.7000000000000002E-3</v>
      </c>
      <c r="Q54" s="9">
        <v>3.7000000000000002E-3</v>
      </c>
      <c r="R54" s="9"/>
      <c r="S54" s="9">
        <v>3.0999999999999999E-3</v>
      </c>
      <c r="T54" s="9">
        <v>1.5E-3</v>
      </c>
      <c r="U54" s="9">
        <v>4.1000000000000003E-3</v>
      </c>
      <c r="V54" s="9">
        <v>2.3999999999999998E-3</v>
      </c>
      <c r="W54" s="9">
        <v>0</v>
      </c>
      <c r="X54" s="9">
        <v>0</v>
      </c>
      <c r="Y54" s="9">
        <v>1.4200000000000001E-2</v>
      </c>
      <c r="Z54" s="9">
        <v>1.4E-3</v>
      </c>
      <c r="AA54" s="9">
        <v>3.8E-3</v>
      </c>
      <c r="AB54" s="9">
        <v>1.6999999999999999E-3</v>
      </c>
      <c r="AC54" s="9">
        <v>2.0999999999999999E-3</v>
      </c>
      <c r="AD54" s="9">
        <v>1.1000000000000001E-3</v>
      </c>
      <c r="AE54" s="9">
        <v>4.4000000000000003E-3</v>
      </c>
    </row>
    <row r="55" spans="2:31" x14ac:dyDescent="0.3">
      <c r="B55" s="5">
        <v>202522</v>
      </c>
      <c r="C55" s="5"/>
      <c r="D55" s="9">
        <v>2.7000000000000001E-3</v>
      </c>
      <c r="E55" s="9">
        <v>2.2000000000000001E-3</v>
      </c>
      <c r="F55" s="9">
        <v>2.8E-3</v>
      </c>
      <c r="G55" s="9">
        <v>2.3999999999999998E-3</v>
      </c>
      <c r="H55" s="9">
        <v>2E-3</v>
      </c>
      <c r="I55" s="9">
        <v>3.8999999999999998E-3</v>
      </c>
      <c r="J55" s="9">
        <v>6.9999999999999999E-4</v>
      </c>
      <c r="K55" s="9">
        <v>3.7000000000000002E-3</v>
      </c>
      <c r="L55" s="9">
        <v>2.2000000000000001E-3</v>
      </c>
      <c r="M55" s="9">
        <v>2.5000000000000001E-3</v>
      </c>
      <c r="N55" s="9">
        <v>2.2000000000000001E-3</v>
      </c>
      <c r="O55" s="9"/>
      <c r="P55" s="9">
        <v>8.3999999999999995E-3</v>
      </c>
      <c r="Q55" s="9">
        <v>3.3999999999999998E-3</v>
      </c>
      <c r="R55" s="9"/>
      <c r="S55" s="9">
        <v>3.0000000000000001E-3</v>
      </c>
      <c r="T55" s="9">
        <v>1.6999999999999999E-3</v>
      </c>
      <c r="U55" s="9">
        <v>2.9999999999999997E-4</v>
      </c>
      <c r="V55" s="9">
        <v>3.2000000000000002E-3</v>
      </c>
      <c r="W55" s="9"/>
      <c r="X55" s="9"/>
      <c r="Y55" s="9">
        <v>5.7999999999999996E-3</v>
      </c>
      <c r="Z55" s="9">
        <v>1.2999999999999999E-3</v>
      </c>
      <c r="AA55" s="9">
        <v>4.1000000000000003E-3</v>
      </c>
      <c r="AB55" s="9">
        <v>2.5000000000000001E-3</v>
      </c>
      <c r="AC55" s="9">
        <v>1.9E-3</v>
      </c>
      <c r="AD55" s="9">
        <v>1.1999999999999999E-3</v>
      </c>
      <c r="AE55" s="9">
        <v>2.3E-3</v>
      </c>
    </row>
    <row r="56" spans="2:31" x14ac:dyDescent="0.3">
      <c r="B56" s="5">
        <v>202523</v>
      </c>
      <c r="C56" s="5"/>
      <c r="D56" s="9">
        <v>3.0000000000000001E-3</v>
      </c>
      <c r="E56" s="9">
        <v>1.9E-3</v>
      </c>
      <c r="F56" s="9">
        <v>3.0999999999999999E-3</v>
      </c>
      <c r="G56" s="9">
        <v>1.6999999999999999E-3</v>
      </c>
      <c r="H56" s="9">
        <v>1.1000000000000001E-3</v>
      </c>
      <c r="I56" s="9">
        <v>1E-3</v>
      </c>
      <c r="J56" s="9">
        <v>2.2000000000000001E-3</v>
      </c>
      <c r="K56" s="9">
        <v>1.6999999999999999E-3</v>
      </c>
      <c r="L56" s="9">
        <v>4.7999999999999996E-3</v>
      </c>
      <c r="M56" s="9">
        <v>2.5000000000000001E-3</v>
      </c>
      <c r="N56" s="9">
        <v>5.1999999999999998E-3</v>
      </c>
      <c r="O56" s="9"/>
      <c r="P56" s="9">
        <v>9.4999999999999998E-3</v>
      </c>
      <c r="Q56" s="9">
        <v>3.5000000000000001E-3</v>
      </c>
      <c r="R56" s="9"/>
      <c r="S56" s="9">
        <v>3.0000000000000001E-3</v>
      </c>
      <c r="T56" s="9">
        <v>1.9E-3</v>
      </c>
      <c r="U56" s="9"/>
      <c r="V56" s="9">
        <v>2.5999999999999999E-3</v>
      </c>
      <c r="W56" s="9"/>
      <c r="X56" s="9"/>
      <c r="Y56" s="9">
        <v>3.8E-3</v>
      </c>
      <c r="Z56" s="9">
        <v>1.6000000000000001E-3</v>
      </c>
      <c r="AA56" s="9">
        <v>6.1999999999999998E-3</v>
      </c>
      <c r="AB56" s="9">
        <v>3.5000000000000001E-3</v>
      </c>
      <c r="AC56" s="9">
        <v>1.9E-3</v>
      </c>
      <c r="AD56" s="9">
        <v>1.4E-3</v>
      </c>
      <c r="AE56" s="9">
        <v>2.3999999999999998E-3</v>
      </c>
    </row>
    <row r="57" spans="2:31" x14ac:dyDescent="0.3">
      <c r="B57" s="5">
        <v>202524</v>
      </c>
      <c r="C57" s="5"/>
      <c r="D57" s="9">
        <v>3.3E-3</v>
      </c>
      <c r="E57" s="9">
        <v>2.5999999999999999E-3</v>
      </c>
      <c r="F57" s="9">
        <v>3.3E-3</v>
      </c>
      <c r="G57" s="9">
        <v>2.3999999999999998E-3</v>
      </c>
      <c r="H57" s="9">
        <v>2.0999999999999999E-3</v>
      </c>
      <c r="I57" s="9">
        <v>5.8999999999999999E-3</v>
      </c>
      <c r="J57" s="9">
        <v>3.0999999999999999E-3</v>
      </c>
      <c r="K57" s="9">
        <v>2.3999999999999998E-3</v>
      </c>
      <c r="L57" s="9">
        <v>3.3E-3</v>
      </c>
      <c r="M57" s="9">
        <v>5.1999999999999998E-3</v>
      </c>
      <c r="N57" s="9">
        <v>5.1000000000000004E-3</v>
      </c>
      <c r="O57" s="9"/>
      <c r="P57" s="9">
        <v>8.9999999999999993E-3</v>
      </c>
      <c r="Q57" s="9">
        <v>4.1999999999999997E-3</v>
      </c>
      <c r="R57" s="9"/>
      <c r="S57" s="9">
        <v>2.8999999999999998E-3</v>
      </c>
      <c r="T57" s="9">
        <v>1.9E-3</v>
      </c>
      <c r="U57" s="9"/>
      <c r="V57" s="9">
        <v>2.5000000000000001E-3</v>
      </c>
      <c r="W57" s="9"/>
      <c r="X57" s="9"/>
      <c r="Y57" s="9">
        <v>4.1999999999999997E-3</v>
      </c>
      <c r="Z57" s="9">
        <v>1.6000000000000001E-3</v>
      </c>
      <c r="AA57" s="9">
        <v>6.3E-3</v>
      </c>
      <c r="AB57" s="9">
        <v>3.0000000000000001E-3</v>
      </c>
      <c r="AC57" s="9">
        <v>2.3E-3</v>
      </c>
      <c r="AD57" s="9">
        <v>1.8E-3</v>
      </c>
      <c r="AE57" s="9">
        <v>2.0999999999999999E-3</v>
      </c>
    </row>
    <row r="58" spans="2:31" x14ac:dyDescent="0.3">
      <c r="B58" s="5">
        <v>202525</v>
      </c>
      <c r="C58" s="5"/>
      <c r="D58" s="9">
        <v>3.2000000000000002E-3</v>
      </c>
      <c r="E58" s="9">
        <v>2.8999999999999998E-3</v>
      </c>
      <c r="F58" s="9">
        <v>3.2000000000000002E-3</v>
      </c>
      <c r="G58" s="9">
        <v>2.0999999999999999E-3</v>
      </c>
      <c r="H58" s="9">
        <v>2.0999999999999999E-3</v>
      </c>
      <c r="I58" s="9">
        <v>6.8999999999999999E-3</v>
      </c>
      <c r="J58" s="9">
        <v>4.3E-3</v>
      </c>
      <c r="K58" s="9">
        <v>3.8999999999999998E-3</v>
      </c>
      <c r="L58" s="9">
        <v>4.4000000000000003E-3</v>
      </c>
      <c r="M58" s="9">
        <v>6.4000000000000003E-3</v>
      </c>
      <c r="N58" s="9">
        <v>4.4999999999999997E-3</v>
      </c>
      <c r="O58" s="9"/>
      <c r="P58" s="9">
        <v>9.7000000000000003E-3</v>
      </c>
      <c r="Q58" s="9">
        <v>3.3999999999999998E-3</v>
      </c>
      <c r="R58" s="9"/>
      <c r="S58" s="9">
        <v>3.0000000000000001E-3</v>
      </c>
      <c r="T58" s="9">
        <v>1.9E-3</v>
      </c>
      <c r="U58" s="9"/>
      <c r="V58" s="9">
        <v>3.3999999999999998E-3</v>
      </c>
      <c r="W58" s="9"/>
      <c r="X58" s="9"/>
      <c r="Y58" s="9">
        <v>5.0000000000000001E-3</v>
      </c>
      <c r="Z58" s="9">
        <v>1.1999999999999999E-3</v>
      </c>
      <c r="AA58" s="9">
        <v>3.5999999999999999E-3</v>
      </c>
      <c r="AB58" s="9">
        <v>3.0999999999999999E-3</v>
      </c>
      <c r="AC58" s="9">
        <v>2.8E-3</v>
      </c>
      <c r="AD58" s="9">
        <v>1.6999999999999999E-3</v>
      </c>
      <c r="AE58" s="9">
        <v>1.8E-3</v>
      </c>
    </row>
    <row r="59" spans="2:31" x14ac:dyDescent="0.3">
      <c r="B59" s="5">
        <v>202526</v>
      </c>
      <c r="C59" s="5"/>
      <c r="D59" s="9">
        <v>3.5000000000000001E-3</v>
      </c>
      <c r="E59" s="9">
        <v>2.3E-3</v>
      </c>
      <c r="F59" s="9">
        <v>3.5999999999999999E-3</v>
      </c>
      <c r="G59" s="9">
        <v>2E-3</v>
      </c>
      <c r="H59" s="9">
        <v>1.6000000000000001E-3</v>
      </c>
      <c r="I59" s="9">
        <v>7.0000000000000001E-3</v>
      </c>
      <c r="J59" s="9">
        <v>3.3999999999999998E-3</v>
      </c>
      <c r="K59" s="9">
        <v>2.5000000000000001E-3</v>
      </c>
      <c r="L59" s="9">
        <v>3.3E-3</v>
      </c>
      <c r="M59" s="9">
        <v>6.0000000000000001E-3</v>
      </c>
      <c r="N59" s="9">
        <v>2.7000000000000001E-3</v>
      </c>
      <c r="O59" s="9"/>
      <c r="P59" s="9">
        <v>1.9300000000000001E-2</v>
      </c>
      <c r="Q59" s="9">
        <v>3.2000000000000002E-3</v>
      </c>
      <c r="R59" s="9"/>
      <c r="S59" s="9">
        <v>3.3E-3</v>
      </c>
      <c r="T59" s="9">
        <v>1.9E-3</v>
      </c>
      <c r="U59" s="9"/>
      <c r="V59" s="9">
        <v>3.5999999999999999E-3</v>
      </c>
      <c r="W59" s="9"/>
      <c r="X59" s="9"/>
      <c r="Y59" s="9">
        <v>5.4999999999999997E-3</v>
      </c>
      <c r="Z59" s="9">
        <v>1.1999999999999999E-3</v>
      </c>
      <c r="AA59" s="9">
        <v>5.4999999999999997E-3</v>
      </c>
      <c r="AB59" s="9">
        <v>3.3E-3</v>
      </c>
      <c r="AC59" s="9">
        <v>3.0999999999999999E-3</v>
      </c>
      <c r="AD59" s="9">
        <v>1.6999999999999999E-3</v>
      </c>
      <c r="AE59" s="9">
        <v>2.2000000000000001E-3</v>
      </c>
    </row>
    <row r="60" spans="2:31" x14ac:dyDescent="0.3">
      <c r="B60" s="5">
        <v>202527</v>
      </c>
      <c r="C60" s="5"/>
      <c r="D60" s="9">
        <v>3.5000000000000001E-3</v>
      </c>
      <c r="E60" s="9">
        <v>2.7000000000000001E-3</v>
      </c>
      <c r="F60" s="9">
        <v>3.5999999999999999E-3</v>
      </c>
      <c r="G60" s="9">
        <v>1.5E-3</v>
      </c>
      <c r="H60" s="9">
        <v>2.2000000000000001E-3</v>
      </c>
      <c r="I60" s="9">
        <v>5.0000000000000001E-3</v>
      </c>
      <c r="J60" s="9">
        <v>4.4000000000000003E-3</v>
      </c>
      <c r="K60" s="9">
        <v>4.4999999999999997E-3</v>
      </c>
      <c r="L60" s="9">
        <v>3.5999999999999999E-3</v>
      </c>
      <c r="M60" s="9">
        <v>4.4000000000000003E-3</v>
      </c>
      <c r="N60" s="9">
        <v>1.4E-3</v>
      </c>
      <c r="O60" s="9"/>
      <c r="P60" s="9">
        <v>2.12E-2</v>
      </c>
      <c r="Q60" s="9">
        <v>4.1999999999999997E-3</v>
      </c>
      <c r="R60" s="9"/>
      <c r="S60" s="9">
        <v>3.2000000000000002E-3</v>
      </c>
      <c r="T60" s="9">
        <v>1.9E-3</v>
      </c>
      <c r="U60" s="9"/>
      <c r="V60" s="9">
        <v>3.3999999999999998E-3</v>
      </c>
      <c r="W60" s="9"/>
      <c r="X60" s="9"/>
      <c r="Y60" s="9">
        <v>5.7999999999999996E-3</v>
      </c>
      <c r="Z60" s="9">
        <v>1.1999999999999999E-3</v>
      </c>
      <c r="AA60" s="9">
        <v>6.3E-3</v>
      </c>
      <c r="AB60" s="9">
        <v>3.8999999999999998E-3</v>
      </c>
      <c r="AC60" s="9">
        <v>2.7000000000000001E-3</v>
      </c>
      <c r="AD60" s="9">
        <v>1.1999999999999999E-3</v>
      </c>
      <c r="AE60" s="9">
        <v>1.9E-3</v>
      </c>
    </row>
    <row r="61" spans="2:31" x14ac:dyDescent="0.3">
      <c r="B61" s="5">
        <v>202528</v>
      </c>
      <c r="C61" s="5"/>
      <c r="D61" s="9">
        <v>3.8E-3</v>
      </c>
      <c r="E61" s="9">
        <v>2.0999999999999999E-3</v>
      </c>
      <c r="F61" s="9">
        <v>3.8999999999999998E-3</v>
      </c>
      <c r="G61" s="9">
        <v>1.8E-3</v>
      </c>
      <c r="H61" s="9">
        <v>1.8E-3</v>
      </c>
      <c r="I61" s="9">
        <v>3.0000000000000001E-3</v>
      </c>
      <c r="J61" s="9">
        <v>1.9E-3</v>
      </c>
      <c r="K61" s="9">
        <v>2.5000000000000001E-3</v>
      </c>
      <c r="L61" s="9">
        <v>3.0999999999999999E-3</v>
      </c>
      <c r="M61" s="9">
        <v>5.7999999999999996E-3</v>
      </c>
      <c r="N61" s="9">
        <v>1.5E-3</v>
      </c>
      <c r="O61" s="9"/>
      <c r="P61" s="9">
        <v>1.24E-2</v>
      </c>
      <c r="Q61" s="9">
        <v>4.7000000000000002E-3</v>
      </c>
      <c r="R61" s="9"/>
      <c r="S61" s="9">
        <v>8.6999999999999994E-3</v>
      </c>
      <c r="T61" s="9">
        <v>2.0999999999999999E-3</v>
      </c>
      <c r="U61" s="9">
        <v>1.5E-3</v>
      </c>
      <c r="V61" s="9">
        <v>4.5999999999999999E-3</v>
      </c>
      <c r="W61" s="9">
        <v>8.0000000000000004E-4</v>
      </c>
      <c r="X61" s="9">
        <v>2.2000000000000001E-3</v>
      </c>
      <c r="Y61" s="9">
        <v>6.4000000000000003E-3</v>
      </c>
      <c r="Z61" s="9">
        <v>1.8E-3</v>
      </c>
      <c r="AA61" s="9">
        <v>6.4000000000000003E-3</v>
      </c>
      <c r="AB61" s="9">
        <v>3.7000000000000002E-3</v>
      </c>
      <c r="AC61" s="9">
        <v>3.0999999999999999E-3</v>
      </c>
      <c r="AD61" s="9">
        <v>2.0999999999999999E-3</v>
      </c>
      <c r="AE61" s="9">
        <v>2.3999999999999998E-3</v>
      </c>
    </row>
    <row r="62" spans="2:31" x14ac:dyDescent="0.3">
      <c r="B62" s="5">
        <v>202529</v>
      </c>
      <c r="C62" s="5"/>
      <c r="D62" s="9">
        <v>3.3E-3</v>
      </c>
      <c r="E62" s="9">
        <v>2.8E-3</v>
      </c>
      <c r="F62" s="9">
        <v>3.3E-3</v>
      </c>
      <c r="G62" s="9">
        <v>2.8999999999999998E-3</v>
      </c>
      <c r="H62" s="9">
        <v>1.6000000000000001E-3</v>
      </c>
      <c r="I62" s="9">
        <v>6.1000000000000004E-3</v>
      </c>
      <c r="J62" s="9">
        <v>3.3999999999999998E-3</v>
      </c>
      <c r="K62" s="9">
        <v>3.2000000000000002E-3</v>
      </c>
      <c r="L62" s="9">
        <v>4.3E-3</v>
      </c>
      <c r="M62" s="9">
        <v>3.8E-3</v>
      </c>
      <c r="N62" s="9">
        <v>1.4E-3</v>
      </c>
      <c r="O62" s="9"/>
      <c r="P62" s="9">
        <v>1.5800000000000002E-2</v>
      </c>
      <c r="Q62" s="9">
        <v>3.3999999999999998E-3</v>
      </c>
      <c r="R62" s="9"/>
      <c r="S62" s="9">
        <v>3.5000000000000001E-3</v>
      </c>
      <c r="T62" s="9">
        <v>2.0999999999999999E-3</v>
      </c>
      <c r="U62" s="9">
        <v>1.6000000000000001E-3</v>
      </c>
      <c r="V62" s="9">
        <v>4.1999999999999997E-3</v>
      </c>
      <c r="W62" s="9">
        <v>1.1000000000000001E-3</v>
      </c>
      <c r="X62" s="9">
        <v>1.6999999999999999E-3</v>
      </c>
      <c r="Y62" s="9">
        <v>5.8999999999999999E-3</v>
      </c>
      <c r="Z62" s="9">
        <v>1.6999999999999999E-3</v>
      </c>
      <c r="AA62" s="9">
        <v>7.3000000000000001E-3</v>
      </c>
      <c r="AB62" s="9">
        <v>3.3999999999999998E-3</v>
      </c>
      <c r="AC62" s="9">
        <v>3.3E-3</v>
      </c>
      <c r="AD62" s="9">
        <v>1.6000000000000001E-3</v>
      </c>
      <c r="AE62" s="9">
        <v>2E-3</v>
      </c>
    </row>
    <row r="63" spans="2:31" x14ac:dyDescent="0.3">
      <c r="B63" s="5">
        <v>202530</v>
      </c>
      <c r="C63" s="5"/>
      <c r="D63" s="9">
        <v>4.0000000000000001E-3</v>
      </c>
      <c r="E63" s="9">
        <v>2.5000000000000001E-3</v>
      </c>
      <c r="F63" s="9">
        <v>4.1000000000000003E-3</v>
      </c>
      <c r="G63" s="9">
        <v>2.0999999999999999E-3</v>
      </c>
      <c r="H63" s="9">
        <v>2E-3</v>
      </c>
      <c r="I63" s="9">
        <v>4.1000000000000003E-3</v>
      </c>
      <c r="J63" s="9">
        <v>2.7000000000000001E-3</v>
      </c>
      <c r="K63" s="9">
        <v>3.0000000000000001E-3</v>
      </c>
      <c r="L63" s="9">
        <v>3.8E-3</v>
      </c>
      <c r="M63" s="9">
        <v>5.7000000000000002E-3</v>
      </c>
      <c r="N63" s="9">
        <v>1.5E-3</v>
      </c>
      <c r="O63" s="9"/>
      <c r="P63" s="9">
        <v>1.2500000000000001E-2</v>
      </c>
      <c r="Q63" s="9">
        <v>3.7000000000000002E-3</v>
      </c>
      <c r="R63" s="9"/>
      <c r="S63" s="9">
        <v>1.0800000000000001E-2</v>
      </c>
      <c r="T63" s="9">
        <v>2E-3</v>
      </c>
      <c r="U63" s="9">
        <v>1.6999999999999999E-3</v>
      </c>
      <c r="V63" s="9">
        <v>4.7000000000000002E-3</v>
      </c>
      <c r="W63" s="9">
        <v>1.1000000000000001E-3</v>
      </c>
      <c r="X63" s="9">
        <v>1.5E-3</v>
      </c>
      <c r="Y63" s="9">
        <v>7.7999999999999996E-3</v>
      </c>
      <c r="Z63" s="9">
        <v>2.3999999999999998E-3</v>
      </c>
      <c r="AA63" s="9">
        <v>5.7000000000000002E-3</v>
      </c>
      <c r="AB63" s="9">
        <v>3.0999999999999999E-3</v>
      </c>
      <c r="AC63" s="9">
        <v>3.3E-3</v>
      </c>
      <c r="AD63" s="9">
        <v>1.6000000000000001E-3</v>
      </c>
      <c r="AE63" s="9">
        <v>2.3999999999999998E-3</v>
      </c>
    </row>
    <row r="64" spans="2:31" x14ac:dyDescent="0.3">
      <c r="B64" s="5">
        <v>202531</v>
      </c>
      <c r="C64" s="5"/>
      <c r="D64" s="9">
        <v>4.7999999999999996E-3</v>
      </c>
      <c r="E64" s="9">
        <v>3.5000000000000001E-3</v>
      </c>
      <c r="F64" s="9">
        <v>4.7999999999999996E-3</v>
      </c>
      <c r="G64" s="9">
        <v>3.3E-3</v>
      </c>
      <c r="H64" s="9">
        <v>3.5999999999999999E-3</v>
      </c>
      <c r="I64" s="9">
        <v>7.1000000000000004E-3</v>
      </c>
      <c r="J64" s="9">
        <v>4.8999999999999998E-3</v>
      </c>
      <c r="K64" s="9">
        <v>1.5E-3</v>
      </c>
      <c r="L64" s="9">
        <v>3.3999999999999998E-3</v>
      </c>
      <c r="M64" s="9">
        <v>7.4999999999999997E-3</v>
      </c>
      <c r="N64" s="9">
        <v>5.7999999999999996E-3</v>
      </c>
      <c r="O64" s="9"/>
      <c r="P64" s="9">
        <v>1.3299999999999999E-2</v>
      </c>
      <c r="Q64" s="9">
        <v>4.1999999999999997E-3</v>
      </c>
      <c r="R64" s="9"/>
      <c r="S64" s="9">
        <v>1.0800000000000001E-2</v>
      </c>
      <c r="T64" s="9">
        <v>2.3999999999999998E-3</v>
      </c>
      <c r="U64" s="9">
        <v>1.8E-3</v>
      </c>
      <c r="V64" s="9">
        <v>7.7999999999999996E-3</v>
      </c>
      <c r="W64" s="9">
        <v>1.6000000000000001E-3</v>
      </c>
      <c r="X64" s="9">
        <v>2.3E-3</v>
      </c>
      <c r="Y64" s="9">
        <v>7.9000000000000008E-3</v>
      </c>
      <c r="Z64" s="9">
        <v>1.9E-3</v>
      </c>
      <c r="AA64" s="9">
        <v>6.4000000000000003E-3</v>
      </c>
      <c r="AB64" s="9">
        <v>3.5999999999999999E-3</v>
      </c>
      <c r="AC64" s="9">
        <v>4.4000000000000003E-3</v>
      </c>
      <c r="AD64" s="9">
        <v>2.5000000000000001E-3</v>
      </c>
      <c r="AE64" s="9">
        <v>2E-3</v>
      </c>
    </row>
    <row r="65" spans="2:31" x14ac:dyDescent="0.3">
      <c r="B65" s="5">
        <v>202532</v>
      </c>
      <c r="C65" s="5"/>
      <c r="D65" s="9">
        <v>4.4000000000000003E-3</v>
      </c>
      <c r="E65" s="9">
        <v>3.8E-3</v>
      </c>
      <c r="F65" s="9">
        <v>4.4999999999999997E-3</v>
      </c>
      <c r="G65" s="9">
        <v>4.7999999999999996E-3</v>
      </c>
      <c r="H65" s="9">
        <v>2.5999999999999999E-3</v>
      </c>
      <c r="I65" s="9">
        <v>8.2000000000000007E-3</v>
      </c>
      <c r="J65" s="9">
        <v>4.7000000000000002E-3</v>
      </c>
      <c r="K65" s="9">
        <v>3.8E-3</v>
      </c>
      <c r="L65" s="9">
        <v>3.2000000000000002E-3</v>
      </c>
      <c r="M65" s="9">
        <v>6.4000000000000003E-3</v>
      </c>
      <c r="N65" s="9">
        <v>4.4000000000000003E-3</v>
      </c>
      <c r="O65" s="9"/>
      <c r="P65" s="9">
        <v>1.2699999999999999E-2</v>
      </c>
      <c r="Q65" s="9">
        <v>4.8999999999999998E-3</v>
      </c>
      <c r="R65" s="9"/>
      <c r="S65" s="9">
        <v>5.0000000000000001E-3</v>
      </c>
      <c r="T65" s="9">
        <v>1.6000000000000001E-3</v>
      </c>
      <c r="U65" s="9">
        <v>1.6999999999999999E-3</v>
      </c>
      <c r="V65" s="9">
        <v>5.4000000000000003E-3</v>
      </c>
      <c r="W65" s="9">
        <v>3.2000000000000002E-3</v>
      </c>
      <c r="X65" s="9">
        <v>2.3E-3</v>
      </c>
      <c r="Y65" s="9">
        <v>9.2999999999999992E-3</v>
      </c>
      <c r="Z65" s="9">
        <v>2E-3</v>
      </c>
      <c r="AA65" s="9">
        <v>5.4999999999999997E-3</v>
      </c>
      <c r="AB65" s="9">
        <v>4.1999999999999997E-3</v>
      </c>
      <c r="AC65" s="9">
        <v>7.4000000000000003E-3</v>
      </c>
      <c r="AD65" s="9">
        <v>2.0999999999999999E-3</v>
      </c>
      <c r="AE65" s="9">
        <v>2.7000000000000001E-3</v>
      </c>
    </row>
    <row r="66" spans="2:31" x14ac:dyDescent="0.3">
      <c r="B66" s="5">
        <v>202533</v>
      </c>
      <c r="C66" s="5"/>
      <c r="D66" s="9">
        <v>5.0000000000000001E-3</v>
      </c>
      <c r="E66" s="9">
        <v>3.5999999999999999E-3</v>
      </c>
      <c r="F66" s="9">
        <v>5.1000000000000004E-3</v>
      </c>
      <c r="G66" s="9">
        <v>4.7999999999999996E-3</v>
      </c>
      <c r="H66" s="9">
        <v>3.0000000000000001E-3</v>
      </c>
      <c r="I66" s="9">
        <v>6.1999999999999998E-3</v>
      </c>
      <c r="J66" s="9">
        <v>4.1999999999999997E-3</v>
      </c>
      <c r="K66" s="9">
        <v>2E-3</v>
      </c>
      <c r="L66" s="9">
        <v>2.5000000000000001E-3</v>
      </c>
      <c r="M66" s="9">
        <v>5.3E-3</v>
      </c>
      <c r="N66" s="9">
        <v>4.7000000000000002E-3</v>
      </c>
      <c r="O66" s="9"/>
      <c r="P66" s="9">
        <v>1.66E-2</v>
      </c>
      <c r="Q66" s="9">
        <v>8.5000000000000006E-3</v>
      </c>
      <c r="R66" s="9"/>
      <c r="S66" s="9">
        <v>2.3999999999999998E-3</v>
      </c>
      <c r="T66" s="9">
        <v>1.5E-3</v>
      </c>
      <c r="U66" s="9">
        <v>1.8E-3</v>
      </c>
      <c r="V66" s="9">
        <v>6.6E-3</v>
      </c>
      <c r="W66" s="9">
        <v>2.5999999999999999E-3</v>
      </c>
      <c r="X66" s="9">
        <v>1.6999999999999999E-3</v>
      </c>
      <c r="Y66" s="9">
        <v>1.04E-2</v>
      </c>
      <c r="Z66" s="9">
        <v>3.2000000000000002E-3</v>
      </c>
      <c r="AA66" s="9">
        <v>0</v>
      </c>
      <c r="AB66" s="9">
        <v>2.5000000000000001E-3</v>
      </c>
      <c r="AC66" s="9">
        <v>8.8000000000000005E-3</v>
      </c>
      <c r="AD66" s="9">
        <v>3.3999999999999998E-3</v>
      </c>
      <c r="AE66" s="9">
        <v>3.0000000000000001E-3</v>
      </c>
    </row>
    <row r="67" spans="2:31" x14ac:dyDescent="0.3">
      <c r="B67" s="5">
        <v>202534</v>
      </c>
      <c r="C67" s="5"/>
      <c r="D67" s="9">
        <v>4.4999999999999997E-3</v>
      </c>
      <c r="E67" s="9">
        <v>3.8999999999999998E-3</v>
      </c>
      <c r="F67" s="9">
        <v>4.5999999999999999E-3</v>
      </c>
      <c r="G67" s="9">
        <v>5.0000000000000001E-3</v>
      </c>
      <c r="H67" s="9">
        <v>3.3E-3</v>
      </c>
      <c r="I67" s="9">
        <v>5.5999999999999999E-3</v>
      </c>
      <c r="J67" s="9">
        <v>4.0000000000000001E-3</v>
      </c>
      <c r="K67" s="9">
        <v>1E-3</v>
      </c>
      <c r="L67" s="9">
        <v>3.3999999999999998E-3</v>
      </c>
      <c r="M67" s="9">
        <v>5.0000000000000001E-3</v>
      </c>
      <c r="N67" s="9">
        <v>3.8999999999999998E-3</v>
      </c>
      <c r="O67" s="9"/>
      <c r="P67" s="9">
        <v>1.9199999999999998E-2</v>
      </c>
      <c r="Q67" s="9">
        <v>6.1999999999999998E-3</v>
      </c>
      <c r="R67" s="9"/>
      <c r="S67" s="9">
        <v>2.3999999999999998E-3</v>
      </c>
      <c r="T67" s="9">
        <v>1.5E-3</v>
      </c>
      <c r="U67" s="9">
        <v>2.7000000000000001E-3</v>
      </c>
      <c r="V67" s="9">
        <v>4.4000000000000003E-3</v>
      </c>
      <c r="W67" s="9">
        <v>5.1000000000000004E-3</v>
      </c>
      <c r="X67" s="9">
        <v>2.5000000000000001E-3</v>
      </c>
      <c r="Y67" s="9">
        <v>1.09E-2</v>
      </c>
      <c r="Z67" s="9">
        <v>3.3E-3</v>
      </c>
      <c r="AA67" s="9"/>
      <c r="AB67" s="9"/>
      <c r="AC67" s="9">
        <v>6.4999999999999997E-3</v>
      </c>
      <c r="AD67" s="9">
        <v>2.8E-3</v>
      </c>
      <c r="AE67" s="9">
        <v>2.8E-3</v>
      </c>
    </row>
    <row r="68" spans="2:31" x14ac:dyDescent="0.3">
      <c r="B68" s="5">
        <v>202535</v>
      </c>
      <c r="C68" s="5"/>
      <c r="D68" s="9">
        <v>4.4999999999999997E-3</v>
      </c>
      <c r="E68" s="9">
        <v>4.1000000000000003E-3</v>
      </c>
      <c r="F68" s="9">
        <v>4.5999999999999999E-3</v>
      </c>
      <c r="G68" s="9">
        <v>3.3E-3</v>
      </c>
      <c r="H68" s="9">
        <v>4.0000000000000001E-3</v>
      </c>
      <c r="I68" s="9">
        <v>6.6E-3</v>
      </c>
      <c r="J68" s="9">
        <v>4.3E-3</v>
      </c>
      <c r="K68" s="9"/>
      <c r="L68" s="9">
        <v>3.3999999999999998E-3</v>
      </c>
      <c r="M68" s="9">
        <v>5.1999999999999998E-3</v>
      </c>
      <c r="N68" s="9">
        <v>3.7000000000000002E-3</v>
      </c>
      <c r="O68" s="9"/>
      <c r="P68" s="9">
        <v>1.89E-2</v>
      </c>
      <c r="Q68" s="9">
        <v>7.1999999999999998E-3</v>
      </c>
      <c r="R68" s="9"/>
      <c r="S68" s="9">
        <v>1.8E-3</v>
      </c>
      <c r="T68" s="9">
        <v>1.9E-3</v>
      </c>
      <c r="U68" s="9">
        <v>3.0999999999999999E-3</v>
      </c>
      <c r="V68" s="9">
        <v>4.4000000000000003E-3</v>
      </c>
      <c r="W68" s="9">
        <v>2.8999999999999998E-3</v>
      </c>
      <c r="X68" s="9">
        <v>2.5000000000000001E-3</v>
      </c>
      <c r="Y68" s="9">
        <v>1.23E-2</v>
      </c>
      <c r="Z68" s="9">
        <v>3.5999999999999999E-3</v>
      </c>
      <c r="AA68" s="9"/>
      <c r="AB68" s="9"/>
      <c r="AC68" s="9">
        <v>4.5999999999999999E-3</v>
      </c>
      <c r="AD68" s="9">
        <v>1.6999999999999999E-3</v>
      </c>
      <c r="AE68" s="9">
        <v>3.3E-3</v>
      </c>
    </row>
    <row r="69" spans="2:31" x14ac:dyDescent="0.3">
      <c r="B69" s="5">
        <v>202536</v>
      </c>
      <c r="C69" s="5"/>
      <c r="D69" s="9">
        <v>4.1999999999999997E-3</v>
      </c>
      <c r="E69" s="9">
        <v>3.8E-3</v>
      </c>
      <c r="F69" s="9">
        <v>4.1999999999999997E-3</v>
      </c>
      <c r="G69" s="9">
        <v>3.2000000000000002E-3</v>
      </c>
      <c r="H69" s="9">
        <v>3.2000000000000002E-3</v>
      </c>
      <c r="I69" s="9">
        <v>6.4000000000000003E-3</v>
      </c>
      <c r="J69" s="9">
        <v>3.0000000000000001E-3</v>
      </c>
      <c r="K69" s="9"/>
      <c r="L69" s="9">
        <v>4.5999999999999999E-3</v>
      </c>
      <c r="M69" s="9">
        <v>2.2000000000000001E-3</v>
      </c>
      <c r="N69" s="9">
        <v>3.3999999999999998E-3</v>
      </c>
      <c r="O69" s="9">
        <v>5.9999999999999995E-4</v>
      </c>
      <c r="P69" s="9">
        <v>1.3899999999999999E-2</v>
      </c>
      <c r="Q69" s="9">
        <v>5.4999999999999997E-3</v>
      </c>
      <c r="R69" s="9"/>
      <c r="S69" s="9">
        <v>1.5E-3</v>
      </c>
      <c r="T69" s="9">
        <v>1.6000000000000001E-3</v>
      </c>
      <c r="U69" s="9">
        <v>4.0000000000000001E-3</v>
      </c>
      <c r="V69" s="9">
        <v>3.5999999999999999E-3</v>
      </c>
      <c r="W69" s="9">
        <v>3.7000000000000002E-3</v>
      </c>
      <c r="X69" s="9">
        <v>3.0000000000000001E-3</v>
      </c>
      <c r="Y69" s="9">
        <v>1.23E-2</v>
      </c>
      <c r="Z69" s="9">
        <v>5.1999999999999998E-3</v>
      </c>
      <c r="AA69" s="9"/>
      <c r="AB69" s="9"/>
      <c r="AC69" s="9">
        <v>4.0000000000000001E-3</v>
      </c>
      <c r="AD69" s="9">
        <v>2.0999999999999999E-3</v>
      </c>
      <c r="AE69" s="9">
        <v>3.0999999999999999E-3</v>
      </c>
    </row>
    <row r="70" spans="2:31" x14ac:dyDescent="0.3">
      <c r="B70" s="5">
        <v>202537</v>
      </c>
      <c r="C70" s="5"/>
      <c r="D70" s="9">
        <v>4.8999999999999998E-3</v>
      </c>
      <c r="E70" s="9">
        <v>4.7000000000000002E-3</v>
      </c>
      <c r="F70" s="9">
        <v>4.8999999999999998E-3</v>
      </c>
      <c r="G70" s="9">
        <v>4.0000000000000001E-3</v>
      </c>
      <c r="H70" s="9">
        <v>3.2000000000000002E-3</v>
      </c>
      <c r="I70" s="9">
        <v>9.2999999999999992E-3</v>
      </c>
      <c r="J70" s="9">
        <v>6.3E-3</v>
      </c>
      <c r="K70" s="9"/>
      <c r="L70" s="9">
        <v>4.1999999999999997E-3</v>
      </c>
      <c r="M70" s="9"/>
      <c r="N70" s="9">
        <v>3.3999999999999998E-3</v>
      </c>
      <c r="O70" s="9">
        <v>1.11E-2</v>
      </c>
      <c r="P70" s="9">
        <v>1.14E-2</v>
      </c>
      <c r="Q70" s="9">
        <v>1.0500000000000001E-2</v>
      </c>
      <c r="R70" s="9"/>
      <c r="S70" s="9">
        <v>1.6000000000000001E-3</v>
      </c>
      <c r="T70" s="9">
        <v>1.6999999999999999E-3</v>
      </c>
      <c r="U70" s="9">
        <v>3.5999999999999999E-3</v>
      </c>
      <c r="V70" s="9">
        <v>4.4999999999999997E-3</v>
      </c>
      <c r="W70" s="9">
        <v>3.8999999999999998E-3</v>
      </c>
      <c r="X70" s="9">
        <v>4.1999999999999997E-3</v>
      </c>
      <c r="Y70" s="9">
        <v>1.1599999999999999E-2</v>
      </c>
      <c r="Z70" s="9">
        <v>3.7000000000000002E-3</v>
      </c>
      <c r="AA70" s="9"/>
      <c r="AB70" s="9"/>
      <c r="AC70" s="9">
        <v>4.4000000000000003E-3</v>
      </c>
      <c r="AD70" s="9">
        <v>3.3999999999999998E-3</v>
      </c>
      <c r="AE70" s="9">
        <v>3.3E-3</v>
      </c>
    </row>
    <row r="71" spans="2:31" x14ac:dyDescent="0.3">
      <c r="B71" s="5">
        <v>202538</v>
      </c>
      <c r="C71" s="5"/>
      <c r="D71" s="9">
        <v>4.5999999999999999E-3</v>
      </c>
      <c r="E71" s="9">
        <v>4.7000000000000002E-3</v>
      </c>
      <c r="F71" s="9">
        <v>4.5999999999999999E-3</v>
      </c>
      <c r="G71" s="9">
        <v>4.0000000000000001E-3</v>
      </c>
      <c r="H71" s="9">
        <v>3.7000000000000002E-3</v>
      </c>
      <c r="I71" s="9">
        <v>8.2000000000000007E-3</v>
      </c>
      <c r="J71" s="9">
        <v>6.1000000000000004E-3</v>
      </c>
      <c r="K71" s="9"/>
      <c r="L71" s="9">
        <v>3.5000000000000001E-3</v>
      </c>
      <c r="M71" s="9"/>
      <c r="N71" s="9">
        <v>3.8999999999999998E-3</v>
      </c>
      <c r="O71" s="9">
        <v>6.0000000000000001E-3</v>
      </c>
      <c r="P71" s="9">
        <v>1.0200000000000001E-2</v>
      </c>
      <c r="Q71" s="9">
        <v>8.5000000000000006E-3</v>
      </c>
      <c r="R71" s="9"/>
      <c r="S71" s="9">
        <v>1.8E-3</v>
      </c>
      <c r="T71" s="9">
        <v>1.2999999999999999E-3</v>
      </c>
      <c r="U71" s="9">
        <v>3.8E-3</v>
      </c>
      <c r="V71" s="9">
        <v>3.3999999999999998E-3</v>
      </c>
      <c r="W71" s="9">
        <v>6.4000000000000003E-3</v>
      </c>
      <c r="X71" s="9">
        <v>7.9000000000000008E-3</v>
      </c>
      <c r="Y71" s="9">
        <v>9.7999999999999997E-3</v>
      </c>
      <c r="Z71" s="9">
        <v>3.0000000000000001E-3</v>
      </c>
      <c r="AA71" s="9"/>
      <c r="AB71" s="9"/>
      <c r="AC71" s="9">
        <v>4.3E-3</v>
      </c>
      <c r="AD71" s="9">
        <v>3.0999999999999999E-3</v>
      </c>
      <c r="AE71" s="9">
        <v>3.2000000000000002E-3</v>
      </c>
    </row>
    <row r="72" spans="2:31" ht="15" thickBot="1" x14ac:dyDescent="0.35">
      <c r="B72" s="5">
        <v>202539</v>
      </c>
      <c r="C72" s="5"/>
      <c r="D72" s="9">
        <v>4.1999999999999997E-3</v>
      </c>
      <c r="E72" s="9">
        <v>5.1000000000000004E-3</v>
      </c>
      <c r="F72" s="9">
        <v>4.1999999999999997E-3</v>
      </c>
      <c r="G72" s="9">
        <v>3.3E-3</v>
      </c>
      <c r="H72" s="9">
        <v>3.3E-3</v>
      </c>
      <c r="I72" s="9">
        <v>1.1299999999999999E-2</v>
      </c>
      <c r="J72" s="9">
        <v>6.6E-3</v>
      </c>
      <c r="K72" s="9"/>
      <c r="L72" s="9">
        <v>6.1000000000000004E-3</v>
      </c>
      <c r="M72" s="9"/>
      <c r="N72" s="9">
        <v>3.0000000000000001E-3</v>
      </c>
      <c r="O72" s="9">
        <v>6.6E-3</v>
      </c>
      <c r="P72" s="9">
        <v>1.15E-2</v>
      </c>
      <c r="Q72" s="9">
        <v>3.5000000000000001E-3</v>
      </c>
      <c r="R72" s="9"/>
      <c r="S72" s="9">
        <v>1.6000000000000001E-3</v>
      </c>
      <c r="T72" s="9">
        <v>1.6000000000000001E-3</v>
      </c>
      <c r="U72" s="9">
        <v>3.2000000000000002E-3</v>
      </c>
      <c r="V72" s="9">
        <v>4.5999999999999999E-3</v>
      </c>
      <c r="W72" s="9">
        <v>8.6E-3</v>
      </c>
      <c r="X72" s="9">
        <v>1.15E-2</v>
      </c>
      <c r="Y72" s="9">
        <v>8.8000000000000005E-3</v>
      </c>
      <c r="Z72" s="9">
        <v>2.8E-3</v>
      </c>
      <c r="AA72" s="9"/>
      <c r="AB72" s="9"/>
      <c r="AC72" s="9">
        <v>3.8999999999999998E-3</v>
      </c>
      <c r="AD72" s="9">
        <v>3.5000000000000001E-3</v>
      </c>
      <c r="AE72" s="9">
        <v>3.8E-3</v>
      </c>
    </row>
    <row r="73" spans="2:31" ht="15" thickBot="1" x14ac:dyDescent="0.35">
      <c r="B73" s="22" t="s">
        <v>82</v>
      </c>
      <c r="C73" s="22"/>
      <c r="D73" s="24">
        <f t="shared" ref="D73:AE73" si="17">AVERAGE(D34:D72)</f>
        <v>3.2871794871794876E-3</v>
      </c>
      <c r="E73" s="24">
        <f t="shared" si="17"/>
        <v>3.7153846153846156E-3</v>
      </c>
      <c r="F73" s="24">
        <f t="shared" si="17"/>
        <v>3.2410256410256408E-3</v>
      </c>
      <c r="G73" s="24">
        <f t="shared" si="17"/>
        <v>4.5000000000000014E-3</v>
      </c>
      <c r="H73" s="24">
        <f t="shared" si="17"/>
        <v>3.2743589743589744E-3</v>
      </c>
      <c r="I73" s="24">
        <f t="shared" si="17"/>
        <v>5.3153846153846159E-3</v>
      </c>
      <c r="J73" s="24">
        <f t="shared" si="17"/>
        <v>3.2538461538461536E-3</v>
      </c>
      <c r="K73" s="24">
        <f t="shared" si="17"/>
        <v>3.2558823529411757E-3</v>
      </c>
      <c r="L73" s="24">
        <f t="shared" si="17"/>
        <v>2.8358974358974358E-3</v>
      </c>
      <c r="M73" s="24">
        <f t="shared" si="17"/>
        <v>3.5388888888888892E-3</v>
      </c>
      <c r="N73" s="24">
        <f t="shared" si="17"/>
        <v>3.0470588235294118E-3</v>
      </c>
      <c r="O73" s="24">
        <f t="shared" si="17"/>
        <v>6.0750000000000005E-3</v>
      </c>
      <c r="P73" s="24">
        <f t="shared" si="17"/>
        <v>9.3923076923076946E-3</v>
      </c>
      <c r="Q73" s="24">
        <f t="shared" si="17"/>
        <v>3.9179487179487179E-3</v>
      </c>
      <c r="R73" s="24">
        <f t="shared" si="17"/>
        <v>-6.7871428571428569E-2</v>
      </c>
      <c r="S73" s="24">
        <f t="shared" si="17"/>
        <v>3.0153846153846155E-3</v>
      </c>
      <c r="T73" s="24">
        <f t="shared" si="17"/>
        <v>1.7333333333333337E-3</v>
      </c>
      <c r="U73" s="24">
        <f t="shared" si="17"/>
        <v>2.7911764705882349E-3</v>
      </c>
      <c r="V73" s="24">
        <f t="shared" si="17"/>
        <v>3.6641025641025626E-3</v>
      </c>
      <c r="W73" s="24">
        <f t="shared" si="17"/>
        <v>3.4969696969696972E-3</v>
      </c>
      <c r="X73" s="24">
        <f t="shared" si="17"/>
        <v>3.0636363636363634E-3</v>
      </c>
      <c r="Y73" s="24">
        <f t="shared" si="17"/>
        <v>5.1923076923076922E-3</v>
      </c>
      <c r="Z73" s="24">
        <f t="shared" si="17"/>
        <v>1.8435897435897435E-3</v>
      </c>
      <c r="AA73" s="24">
        <f t="shared" si="17"/>
        <v>4.3151515151515158E-3</v>
      </c>
      <c r="AB73" s="24">
        <f t="shared" si="17"/>
        <v>2.3757575757575762E-3</v>
      </c>
      <c r="AC73" s="24">
        <f t="shared" si="17"/>
        <v>2.8617647058823527E-3</v>
      </c>
      <c r="AD73" s="24">
        <f t="shared" si="17"/>
        <v>1.6352941176470586E-3</v>
      </c>
      <c r="AE73" s="24">
        <f t="shared" si="17"/>
        <v>1.9102564102564102E-3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T77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8" bestFit="1" customWidth="1"/>
    <col min="16" max="16" width="11.109375" bestFit="1" customWidth="1"/>
    <col min="17" max="17" width="8.664062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44140625" bestFit="1" customWidth="1"/>
    <col min="23" max="23" width="8.6640625" bestFit="1" customWidth="1"/>
    <col min="24" max="24" width="10.6640625" bestFit="1" customWidth="1"/>
    <col min="25" max="25" width="8.33203125" bestFit="1" customWidth="1"/>
    <col min="26" max="26" width="11.33203125" bestFit="1" customWidth="1"/>
    <col min="27" max="27" width="9.109375" bestFit="1" customWidth="1"/>
    <col min="28" max="28" width="11.109375" bestFit="1" customWidth="1"/>
    <col min="30" max="30" width="11.109375" bestFit="1" customWidth="1"/>
    <col min="31" max="31" width="7.44140625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45928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45934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142</v>
      </c>
      <c r="C6" s="7"/>
      <c r="D6" s="7">
        <v>7</v>
      </c>
      <c r="E6" s="7">
        <v>4590</v>
      </c>
      <c r="F6" s="7">
        <v>5248</v>
      </c>
      <c r="G6" s="7">
        <v>52</v>
      </c>
      <c r="H6" s="9">
        <f t="shared" ref="H6:H12" si="0">IFERROR(G6/F6,0)</f>
        <v>9.9085365853658538E-3</v>
      </c>
      <c r="I6" s="9">
        <f>IFERROR((4590-F6)/4590,0)</f>
        <v>-0.14335511982570806</v>
      </c>
      <c r="J6" s="7">
        <v>21780</v>
      </c>
      <c r="K6" s="11">
        <f t="shared" ref="K6:K12" si="1">IFERROR(J6/D6/F6*100,0)</f>
        <v>59.287891986062725</v>
      </c>
      <c r="L6" s="11">
        <f>K6-59.5148</f>
        <v>-0.22690801393727611</v>
      </c>
      <c r="M6" s="11">
        <v>0</v>
      </c>
      <c r="N6" s="11">
        <f t="shared" ref="N6:N12" si="2">K6-M6</f>
        <v>59.287891986062725</v>
      </c>
      <c r="O6" s="11">
        <f>IFERROR(151320/4590,0)</f>
        <v>32.967320261437905</v>
      </c>
      <c r="P6" s="11">
        <v>0</v>
      </c>
      <c r="Q6" s="11">
        <f t="shared" ref="Q6:Q11" si="3">IFERROR(O6-P6,0)</f>
        <v>32.967320261437905</v>
      </c>
      <c r="R6" s="7">
        <v>4490</v>
      </c>
      <c r="S6" s="11">
        <f t="shared" ref="S6:S11" si="4">IFERROR(R6/D6/F6*1000,0)</f>
        <v>122.22343205574913</v>
      </c>
      <c r="T6" s="13">
        <f t="shared" ref="T6:T12" si="5">IFERROR(J6/R6,0)</f>
        <v>4.8507795100222717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212.05714285709999</v>
      </c>
      <c r="Y6" s="11">
        <f t="shared" ref="Y6:Y11" si="8">IFERROR((F6*S6)/(F6*K6)*100,0)</f>
        <v>206.15243342516072</v>
      </c>
      <c r="Z6" s="11">
        <f t="shared" ref="Z6:Z12" si="9">IFERROR(Y6*X6/1000,0)</f>
        <v>43.716096025178096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28</v>
      </c>
      <c r="AG6" s="7">
        <f t="shared" ref="AG6:AG11" si="10">IF(M6=0,0,IFERROR(N6/100*7*F6,0))</f>
        <v>0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15</v>
      </c>
      <c r="AT6" s="7"/>
    </row>
    <row r="7" spans="1:46" x14ac:dyDescent="0.3">
      <c r="A7" s="5" t="s">
        <v>50</v>
      </c>
      <c r="B7" s="5">
        <v>102</v>
      </c>
      <c r="C7" s="7">
        <v>32</v>
      </c>
      <c r="D7" s="7">
        <v>7</v>
      </c>
      <c r="E7" s="7">
        <v>14440</v>
      </c>
      <c r="F7" s="7">
        <v>10638</v>
      </c>
      <c r="G7" s="7">
        <v>41</v>
      </c>
      <c r="H7" s="9">
        <f t="shared" si="0"/>
        <v>3.8541079150216208E-3</v>
      </c>
      <c r="I7" s="9">
        <f>IFERROR((14440-F7)/14440,0)</f>
        <v>0.26329639889196677</v>
      </c>
      <c r="J7" s="7">
        <v>50520</v>
      </c>
      <c r="K7" s="11">
        <f t="shared" si="1"/>
        <v>67.843042462331809</v>
      </c>
      <c r="L7" s="11">
        <f>K7-67.8635</f>
        <v>-2.0457537668193027E-2</v>
      </c>
      <c r="M7" s="11">
        <v>74</v>
      </c>
      <c r="N7" s="11">
        <f t="shared" si="2"/>
        <v>-6.1569575376681911</v>
      </c>
      <c r="O7" s="11">
        <f>IFERROR(5650780/14440,0)</f>
        <v>391.32825484764544</v>
      </c>
      <c r="P7" s="11">
        <v>0</v>
      </c>
      <c r="Q7" s="11">
        <f t="shared" si="3"/>
        <v>391.32825484764544</v>
      </c>
      <c r="R7" s="7">
        <v>9230</v>
      </c>
      <c r="S7" s="11">
        <f t="shared" si="4"/>
        <v>123.94918486289046</v>
      </c>
      <c r="T7" s="13">
        <f t="shared" si="5"/>
        <v>5.4734561213434452</v>
      </c>
      <c r="U7" s="7">
        <v>0</v>
      </c>
      <c r="V7" s="11">
        <f t="shared" si="6"/>
        <v>0</v>
      </c>
      <c r="W7" s="11">
        <f t="shared" si="7"/>
        <v>0</v>
      </c>
      <c r="X7" s="11">
        <v>213.22857142859999</v>
      </c>
      <c r="Y7" s="11">
        <f t="shared" si="8"/>
        <v>182.69992082343626</v>
      </c>
      <c r="Z7" s="11">
        <f t="shared" si="9"/>
        <v>38.956843117299641</v>
      </c>
      <c r="AA7" s="7">
        <v>2090</v>
      </c>
      <c r="AB7" s="15">
        <f>IFERROR(AA7/0,0)</f>
        <v>0</v>
      </c>
      <c r="AC7" s="11">
        <v>0</v>
      </c>
      <c r="AD7" s="15">
        <f>IFERROR(AC7/0,0)</f>
        <v>0</v>
      </c>
      <c r="AE7" s="11">
        <v>0</v>
      </c>
      <c r="AF7" s="11">
        <v>28</v>
      </c>
      <c r="AG7" s="7">
        <f t="shared" si="10"/>
        <v>-4584.8399999999956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15</v>
      </c>
      <c r="AT7" s="7"/>
    </row>
    <row r="8" spans="1:46" x14ac:dyDescent="0.3">
      <c r="A8" s="5" t="s">
        <v>51</v>
      </c>
      <c r="B8" s="5">
        <v>102</v>
      </c>
      <c r="C8" s="7">
        <v>32</v>
      </c>
      <c r="D8" s="7">
        <v>7</v>
      </c>
      <c r="E8" s="7">
        <v>16063</v>
      </c>
      <c r="F8" s="7">
        <v>12554</v>
      </c>
      <c r="G8" s="7">
        <v>51</v>
      </c>
      <c r="H8" s="9">
        <f t="shared" si="0"/>
        <v>4.0624502150708938E-3</v>
      </c>
      <c r="I8" s="9">
        <f>IFERROR((16063-F8)/16063,0)</f>
        <v>0.21845234389590987</v>
      </c>
      <c r="J8" s="7">
        <v>54300</v>
      </c>
      <c r="K8" s="11">
        <f t="shared" si="1"/>
        <v>61.790209153599307</v>
      </c>
      <c r="L8" s="11">
        <f>K8-61.9482</f>
        <v>-0.15799084640069339</v>
      </c>
      <c r="M8" s="11">
        <v>71</v>
      </c>
      <c r="N8" s="11">
        <f t="shared" si="2"/>
        <v>-9.2097908464006935</v>
      </c>
      <c r="O8" s="11">
        <f>IFERROR(5902080/16063,0)</f>
        <v>367.43323165037663</v>
      </c>
      <c r="P8" s="11">
        <v>0</v>
      </c>
      <c r="Q8" s="11">
        <f t="shared" si="3"/>
        <v>367.43323165037663</v>
      </c>
      <c r="R8" s="7">
        <v>9950</v>
      </c>
      <c r="S8" s="11">
        <f t="shared" si="4"/>
        <v>113.22515305309634</v>
      </c>
      <c r="T8" s="13">
        <f t="shared" si="5"/>
        <v>5.4572864321608039</v>
      </c>
      <c r="U8" s="7">
        <v>0</v>
      </c>
      <c r="V8" s="11">
        <f t="shared" si="6"/>
        <v>0</v>
      </c>
      <c r="W8" s="11">
        <f t="shared" si="7"/>
        <v>0</v>
      </c>
      <c r="X8" s="11">
        <v>264.28571428570001</v>
      </c>
      <c r="Y8" s="11">
        <f t="shared" si="8"/>
        <v>183.2412523020258</v>
      </c>
      <c r="Z8" s="11">
        <f t="shared" si="9"/>
        <v>48.428045251247056</v>
      </c>
      <c r="AA8" s="7">
        <v>1741</v>
      </c>
      <c r="AB8" s="15">
        <f>IFERROR(AA8/0,0)</f>
        <v>0</v>
      </c>
      <c r="AC8" s="11">
        <v>0</v>
      </c>
      <c r="AD8" s="15">
        <f>IFERROR(AC8/0,0)</f>
        <v>0</v>
      </c>
      <c r="AE8" s="11">
        <v>0</v>
      </c>
      <c r="AF8" s="11">
        <v>28</v>
      </c>
      <c r="AG8" s="7">
        <f t="shared" si="10"/>
        <v>-8093.3800000000019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15</v>
      </c>
      <c r="AT8" s="7"/>
    </row>
    <row r="9" spans="1:46" x14ac:dyDescent="0.3">
      <c r="A9" s="5" t="s">
        <v>52</v>
      </c>
      <c r="B9" s="5">
        <v>63</v>
      </c>
      <c r="C9" s="7"/>
      <c r="D9" s="7">
        <v>7</v>
      </c>
      <c r="E9" s="7">
        <v>4686</v>
      </c>
      <c r="F9" s="7">
        <v>3883</v>
      </c>
      <c r="G9" s="7">
        <v>27</v>
      </c>
      <c r="H9" s="9">
        <f t="shared" si="0"/>
        <v>6.9533865567859903E-3</v>
      </c>
      <c r="I9" s="9">
        <f>IFERROR((4686-F9)/4686,0)</f>
        <v>0.17136150234741784</v>
      </c>
      <c r="J9" s="7">
        <v>26160</v>
      </c>
      <c r="K9" s="11">
        <f t="shared" si="1"/>
        <v>96.24369964313307</v>
      </c>
      <c r="L9" s="11">
        <f>K9-96.5035</f>
        <v>-0.2598003568669327</v>
      </c>
      <c r="M9" s="11">
        <v>84</v>
      </c>
      <c r="N9" s="11">
        <f t="shared" si="2"/>
        <v>12.24369964313307</v>
      </c>
      <c r="O9" s="11">
        <f>IFERROR(1241141/4686,0)</f>
        <v>264.86150234741785</v>
      </c>
      <c r="P9" s="11">
        <v>275</v>
      </c>
      <c r="Q9" s="11">
        <f t="shared" si="3"/>
        <v>-10.138497652582146</v>
      </c>
      <c r="R9" s="7">
        <v>4475</v>
      </c>
      <c r="S9" s="11">
        <f t="shared" si="4"/>
        <v>164.63706265405983</v>
      </c>
      <c r="T9" s="13">
        <f t="shared" si="5"/>
        <v>5.8458100558659218</v>
      </c>
      <c r="U9" s="7">
        <v>5040</v>
      </c>
      <c r="V9" s="11">
        <f t="shared" si="6"/>
        <v>185.42364151429308</v>
      </c>
      <c r="W9" s="11">
        <f t="shared" si="7"/>
        <v>1.1262569832402234</v>
      </c>
      <c r="X9" s="11">
        <v>259.11428571430002</v>
      </c>
      <c r="Y9" s="11">
        <f t="shared" si="8"/>
        <v>171.0626911314985</v>
      </c>
      <c r="Z9" s="11">
        <f t="shared" si="9"/>
        <v>44.324787024904161</v>
      </c>
      <c r="AA9" s="7">
        <v>1873</v>
      </c>
      <c r="AB9" s="15">
        <f>IFERROR(AA9/1960,0)</f>
        <v>0.95561224489795915</v>
      </c>
      <c r="AC9" s="11">
        <v>0</v>
      </c>
      <c r="AD9" s="15">
        <f>IFERROR(AC9/63.9,0)</f>
        <v>0</v>
      </c>
      <c r="AE9" s="11">
        <v>13</v>
      </c>
      <c r="AF9" s="11">
        <v>32</v>
      </c>
      <c r="AG9" s="7">
        <f t="shared" si="10"/>
        <v>3327.96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19</v>
      </c>
      <c r="C10" s="7"/>
      <c r="D10" s="7">
        <v>7</v>
      </c>
      <c r="E10" s="7">
        <v>5000</v>
      </c>
      <c r="F10" s="7">
        <v>3972</v>
      </c>
      <c r="G10" s="7">
        <v>0</v>
      </c>
      <c r="H10" s="9">
        <f t="shared" si="0"/>
        <v>0</v>
      </c>
      <c r="I10" s="9">
        <f>IFERROR((5000-F10)/5000,0)</f>
        <v>0.2056</v>
      </c>
      <c r="J10" s="7">
        <v>0</v>
      </c>
      <c r="K10" s="11">
        <f t="shared" si="1"/>
        <v>0</v>
      </c>
      <c r="L10" s="11">
        <f>K10-0</f>
        <v>0</v>
      </c>
      <c r="M10" s="11">
        <v>31</v>
      </c>
      <c r="N10" s="11">
        <f t="shared" si="2"/>
        <v>-31</v>
      </c>
      <c r="O10" s="11">
        <f>IFERROR(1988010/5000,0)</f>
        <v>397.60199999999998</v>
      </c>
      <c r="P10" s="11">
        <v>3</v>
      </c>
      <c r="Q10" s="11">
        <f t="shared" si="3"/>
        <v>394.60199999999998</v>
      </c>
      <c r="R10" s="7">
        <v>3806</v>
      </c>
      <c r="S10" s="11">
        <f t="shared" si="4"/>
        <v>136.88677888073659</v>
      </c>
      <c r="T10" s="13">
        <f t="shared" si="5"/>
        <v>0</v>
      </c>
      <c r="U10" s="7">
        <v>5040</v>
      </c>
      <c r="V10" s="11">
        <f t="shared" si="6"/>
        <v>181.26888217522657</v>
      </c>
      <c r="W10" s="11">
        <f t="shared" si="7"/>
        <v>1.3242249080399369</v>
      </c>
      <c r="X10" s="11">
        <v>374.81</v>
      </c>
      <c r="Y10" s="11">
        <f t="shared" si="8"/>
        <v>0</v>
      </c>
      <c r="Z10" s="11">
        <f t="shared" si="9"/>
        <v>0</v>
      </c>
      <c r="AA10" s="7">
        <v>1652</v>
      </c>
      <c r="AB10" s="15">
        <f>IFERROR(AA10/1620,0)</f>
        <v>1.019753086419753</v>
      </c>
      <c r="AC10" s="11">
        <v>0</v>
      </c>
      <c r="AD10" s="15">
        <f>IFERROR(AC10/50,0)</f>
        <v>0</v>
      </c>
      <c r="AE10" s="11">
        <v>14</v>
      </c>
      <c r="AF10" s="11">
        <v>28</v>
      </c>
      <c r="AG10" s="7">
        <f t="shared" si="10"/>
        <v>-8619.24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63</v>
      </c>
      <c r="C11" s="7"/>
      <c r="D11" s="7">
        <v>7</v>
      </c>
      <c r="E11" s="7">
        <v>4819</v>
      </c>
      <c r="F11" s="7">
        <v>4249</v>
      </c>
      <c r="G11" s="7">
        <v>28</v>
      </c>
      <c r="H11" s="9">
        <f t="shared" si="0"/>
        <v>6.5897858319604614E-3</v>
      </c>
      <c r="I11" s="9">
        <f>IFERROR((4819-F11)/4819,0)</f>
        <v>0.11828180120356921</v>
      </c>
      <c r="J11" s="7">
        <v>26100</v>
      </c>
      <c r="K11" s="11">
        <f t="shared" si="1"/>
        <v>87.751739905187776</v>
      </c>
      <c r="L11" s="11">
        <f>K11-87.9789</f>
        <v>-0.22716009481221988</v>
      </c>
      <c r="M11" s="11">
        <v>84</v>
      </c>
      <c r="N11" s="11">
        <f t="shared" si="2"/>
        <v>3.751739905187776</v>
      </c>
      <c r="O11" s="11">
        <f>IFERROR(1278856/4819,0)</f>
        <v>265.37787922805563</v>
      </c>
      <c r="P11" s="11">
        <v>275</v>
      </c>
      <c r="Q11" s="11">
        <f t="shared" si="3"/>
        <v>-9.6221207719443669</v>
      </c>
      <c r="R11" s="7">
        <v>4266</v>
      </c>
      <c r="S11" s="11">
        <f t="shared" si="4"/>
        <v>143.42870591399657</v>
      </c>
      <c r="T11" s="13">
        <f t="shared" si="5"/>
        <v>6.1181434599156121</v>
      </c>
      <c r="U11" s="7">
        <v>5040</v>
      </c>
      <c r="V11" s="11">
        <f t="shared" si="6"/>
        <v>169.45163567898331</v>
      </c>
      <c r="W11" s="11">
        <f t="shared" si="7"/>
        <v>1.1814345991561184</v>
      </c>
      <c r="X11" s="11">
        <v>362.76</v>
      </c>
      <c r="Y11" s="11">
        <f t="shared" si="8"/>
        <v>163.44827586206895</v>
      </c>
      <c r="Z11" s="11">
        <f t="shared" si="9"/>
        <v>59.292496551724128</v>
      </c>
      <c r="AA11" s="7">
        <v>1945</v>
      </c>
      <c r="AB11" s="15">
        <f>IFERROR(AA11/1960,0)</f>
        <v>0.99234693877551017</v>
      </c>
      <c r="AC11" s="11">
        <v>0</v>
      </c>
      <c r="AD11" s="15">
        <f>IFERROR(AC11/63.9,0)</f>
        <v>0</v>
      </c>
      <c r="AE11" s="11">
        <v>15</v>
      </c>
      <c r="AF11" s="11">
        <v>29</v>
      </c>
      <c r="AG11" s="7">
        <f t="shared" si="10"/>
        <v>1115.8800000000001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49598</v>
      </c>
      <c r="F12" s="17">
        <f>SUM(F6:F11)</f>
        <v>40544</v>
      </c>
      <c r="G12" s="17">
        <f>SUM(G6:G11)</f>
        <v>199</v>
      </c>
      <c r="H12" s="18">
        <f t="shared" si="0"/>
        <v>4.9082478295185477E-3</v>
      </c>
      <c r="I12" s="18"/>
      <c r="J12" s="17">
        <f>SUM(J6:J11)</f>
        <v>178860</v>
      </c>
      <c r="K12" s="19">
        <f t="shared" si="1"/>
        <v>63.021479309956028</v>
      </c>
      <c r="L12" s="19"/>
      <c r="M12" s="19">
        <f>IFERROR(SUMPRODUCT($F6:$F11,M6:M11)/$F12, 0)</f>
        <v>61.285664956590374</v>
      </c>
      <c r="N12" s="19">
        <f t="shared" si="2"/>
        <v>1.7358143533656545</v>
      </c>
      <c r="O12" s="19">
        <f>IFERROR(SUMPRODUCT($E6:$E11,O6:O11)/$E12, 0)</f>
        <v>326.87178918504776</v>
      </c>
      <c r="P12" s="19">
        <f>IFERROR(SUMPRODUCT($E6:$E11,P6:P11)/$E12, 0)</f>
        <v>53.003649340699219</v>
      </c>
      <c r="Q12" s="19">
        <f>IFERROR(SUMPRODUCT($E6:$E11,Q6:Q11)/$E12, 0)</f>
        <v>273.86813984434855</v>
      </c>
      <c r="R12" s="17">
        <f>SUM(R6:R11)</f>
        <v>36217</v>
      </c>
      <c r="S12" s="19">
        <f>IFERROR(R12/D12/$F12*1000,0)</f>
        <v>127.61092005863119</v>
      </c>
      <c r="T12" s="20">
        <f t="shared" si="5"/>
        <v>4.938564762404396</v>
      </c>
      <c r="U12" s="17">
        <f>SUM(U6:U11)</f>
        <v>15120</v>
      </c>
      <c r="V12" s="19">
        <f>IFERROR(U12/D12/$F12*1000,0)</f>
        <v>53.275453827940012</v>
      </c>
      <c r="W12" s="19">
        <f t="shared" si="7"/>
        <v>0.41748350222271302</v>
      </c>
      <c r="X12" s="19">
        <f>IFERROR(SUMPRODUCT(R6:R11,X6:X11)/R12,0)</f>
        <v>267.37379107680272</v>
      </c>
      <c r="Y12" s="19">
        <f>IFERROR(($F12*S12)/($F12*K12)*100,0)</f>
        <v>202.48797942524877</v>
      </c>
      <c r="Z12" s="19">
        <f t="shared" si="9"/>
        <v>54.139978706410389</v>
      </c>
      <c r="AA12" s="17"/>
      <c r="AB12" s="21">
        <f>IFERROR(SUMPRODUCT($F6:$F11,AB6:AB11)/$F12,0)</f>
        <v>0.2954218564782749</v>
      </c>
      <c r="AC12" s="19"/>
      <c r="AD12" s="21">
        <f>AVERAGE(AD6:AD11)</f>
        <v>0</v>
      </c>
      <c r="AE12" s="19"/>
      <c r="AF12" s="19"/>
      <c r="AG12" s="17">
        <f>SUM(AG6:AG11)</f>
        <v>-16853.62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19</v>
      </c>
      <c r="C14" s="6"/>
      <c r="D14" s="6">
        <v>7</v>
      </c>
      <c r="E14" s="6">
        <v>5260</v>
      </c>
      <c r="F14" s="6">
        <v>20638</v>
      </c>
      <c r="G14" s="6">
        <v>36</v>
      </c>
      <c r="H14" s="8">
        <f t="shared" ref="H14:H31" si="12">IFERROR(G14/F14,0)</f>
        <v>1.7443550731660045E-3</v>
      </c>
      <c r="I14" s="8">
        <f>IFERROR((5260-F14)/5260,0)</f>
        <v>-2.9235741444866918</v>
      </c>
      <c r="J14" s="6">
        <v>4410</v>
      </c>
      <c r="K14" s="10">
        <f t="shared" ref="K14:K31" si="13">IFERROR(J14/D14/F14*100,0)</f>
        <v>3.0526213780405076</v>
      </c>
      <c r="L14" s="10">
        <f>K14-0</f>
        <v>3.0526213780405076</v>
      </c>
      <c r="M14" s="10">
        <v>18.5</v>
      </c>
      <c r="N14" s="10">
        <f t="shared" ref="N14:N31" si="14">K14-M14</f>
        <v>-15.447378621959492</v>
      </c>
      <c r="O14" s="10">
        <f>IFERROR(6571200/5260,0)</f>
        <v>1249.277566539924</v>
      </c>
      <c r="P14" s="10">
        <v>1</v>
      </c>
      <c r="Q14" s="10">
        <f t="shared" ref="Q14:Q30" si="15">IFERROR(O14-P14,0)</f>
        <v>1248.277566539924</v>
      </c>
      <c r="R14" s="6">
        <v>12820</v>
      </c>
      <c r="S14" s="10">
        <f t="shared" ref="S14:S30" si="16">IFERROR(R14/D14/F14*1000,0)</f>
        <v>88.740603325349895</v>
      </c>
      <c r="T14" s="12">
        <f t="shared" ref="T14:T31" si="17">IFERROR(J14/R14,0)</f>
        <v>0.34399375975039004</v>
      </c>
      <c r="U14" s="6">
        <v>19240</v>
      </c>
      <c r="V14" s="10">
        <f t="shared" ref="V14:V30" si="18">IFERROR(U14/D14/F14*1000,0)</f>
        <v>133.1801254274362</v>
      </c>
      <c r="W14" s="10">
        <f t="shared" ref="W14:W31" si="19">IFERROR(V14/S14,0)</f>
        <v>1.500780031201248</v>
      </c>
      <c r="X14" s="10">
        <v>287.80142857139998</v>
      </c>
      <c r="Y14" s="10">
        <f t="shared" ref="Y14:Y30" si="20">IFERROR((F14*S14)/(F14*K14)*100,0)</f>
        <v>2907.0294784580497</v>
      </c>
      <c r="Z14" s="10">
        <f t="shared" ref="Z14:Z31" si="21">IFERROR(Y14*X14/1000,0)</f>
        <v>836.64723679939857</v>
      </c>
      <c r="AA14" s="6">
        <v>0</v>
      </c>
      <c r="AB14" s="14">
        <f>IFERROR(AA14/1320,0)</f>
        <v>0</v>
      </c>
      <c r="AC14" s="10">
        <v>0</v>
      </c>
      <c r="AD14" s="14">
        <f>IFERROR(AC14/45,0)</f>
        <v>0</v>
      </c>
      <c r="AE14" s="10">
        <v>20</v>
      </c>
      <c r="AF14" s="10">
        <v>27</v>
      </c>
      <c r="AG14" s="6">
        <f t="shared" ref="AG14:AG30" si="22">IF(M14=0,0,IFERROR(N14/100*7*F14,0))</f>
        <v>-22316.210000000003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57</v>
      </c>
      <c r="B15" s="5">
        <v>103</v>
      </c>
      <c r="C15" s="7">
        <v>40</v>
      </c>
      <c r="D15" s="7">
        <v>7</v>
      </c>
      <c r="E15" s="7">
        <v>3499</v>
      </c>
      <c r="F15" s="7">
        <v>3459</v>
      </c>
      <c r="G15" s="7">
        <v>17</v>
      </c>
      <c r="H15" s="9">
        <f t="shared" si="12"/>
        <v>4.9147152356172306E-3</v>
      </c>
      <c r="I15" s="9">
        <f>IFERROR((3499-F15)/3499,0)</f>
        <v>1.1431837667905115E-2</v>
      </c>
      <c r="J15" s="7">
        <v>15690</v>
      </c>
      <c r="K15" s="11">
        <f t="shared" si="13"/>
        <v>64.799900879692728</v>
      </c>
      <c r="L15" s="11">
        <f>K15-64.9762</f>
        <v>-0.17629912030727724</v>
      </c>
      <c r="M15" s="11">
        <v>0</v>
      </c>
      <c r="N15" s="11">
        <f t="shared" si="14"/>
        <v>64.799900879692728</v>
      </c>
      <c r="O15" s="11">
        <f>IFERROR(61120/3499,0)</f>
        <v>17.467847956559016</v>
      </c>
      <c r="P15" s="11">
        <v>0</v>
      </c>
      <c r="Q15" s="11">
        <f t="shared" si="15"/>
        <v>17.467847956559016</v>
      </c>
      <c r="R15" s="7">
        <v>2420</v>
      </c>
      <c r="S15" s="11">
        <f t="shared" si="16"/>
        <v>99.946309833560477</v>
      </c>
      <c r="T15" s="13">
        <f t="shared" si="17"/>
        <v>6.4834710743801649</v>
      </c>
      <c r="U15" s="7">
        <v>4520</v>
      </c>
      <c r="V15" s="11">
        <f t="shared" si="18"/>
        <v>186.67657869739395</v>
      </c>
      <c r="W15" s="11">
        <f t="shared" si="19"/>
        <v>1.8677685950413223</v>
      </c>
      <c r="X15" s="11">
        <v>286.69571428569998</v>
      </c>
      <c r="Y15" s="11">
        <f t="shared" si="20"/>
        <v>154.23836838750796</v>
      </c>
      <c r="Z15" s="11">
        <f t="shared" si="21"/>
        <v>44.219479195117522</v>
      </c>
      <c r="AA15" s="7">
        <v>0</v>
      </c>
      <c r="AB15" s="15">
        <f>IFERROR(AA15/0,0)</f>
        <v>0</v>
      </c>
      <c r="AC15" s="11">
        <v>0</v>
      </c>
      <c r="AD15" s="15">
        <f>IFERROR(AC15/0,0)</f>
        <v>0</v>
      </c>
      <c r="AE15" s="11">
        <v>15</v>
      </c>
      <c r="AF15" s="11">
        <v>26</v>
      </c>
      <c r="AG15" s="7">
        <f t="shared" si="22"/>
        <v>0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58</v>
      </c>
      <c r="B16" s="5">
        <v>63</v>
      </c>
      <c r="C16" s="7"/>
      <c r="D16" s="7">
        <v>7</v>
      </c>
      <c r="E16" s="7">
        <v>10225</v>
      </c>
      <c r="F16" s="7">
        <v>6883</v>
      </c>
      <c r="G16" s="7">
        <v>75</v>
      </c>
      <c r="H16" s="9">
        <f t="shared" si="12"/>
        <v>1.0896411448496296E-2</v>
      </c>
      <c r="I16" s="9">
        <f>IFERROR((10225-F16)/10225,0)</f>
        <v>0.32684596577017117</v>
      </c>
      <c r="J16" s="7">
        <v>36510</v>
      </c>
      <c r="K16" s="11">
        <f t="shared" si="13"/>
        <v>75.77675847325709</v>
      </c>
      <c r="L16" s="11">
        <f>K16-74.0361</f>
        <v>1.7406584732570849</v>
      </c>
      <c r="M16" s="11">
        <v>84</v>
      </c>
      <c r="N16" s="11">
        <f t="shared" si="14"/>
        <v>-8.2232415267429104</v>
      </c>
      <c r="O16" s="11">
        <f>IFERROR(2150730/10225,0)</f>
        <v>210.3403422982885</v>
      </c>
      <c r="P16" s="11">
        <v>275</v>
      </c>
      <c r="Q16" s="11">
        <f t="shared" si="15"/>
        <v>-64.659657701711495</v>
      </c>
      <c r="R16" s="7">
        <v>6670</v>
      </c>
      <c r="S16" s="11">
        <f t="shared" si="16"/>
        <v>138.43631306946722</v>
      </c>
      <c r="T16" s="13">
        <f t="shared" si="17"/>
        <v>5.4737631184407798</v>
      </c>
      <c r="U16" s="7">
        <v>11730</v>
      </c>
      <c r="V16" s="11">
        <f t="shared" si="18"/>
        <v>243.45696436354581</v>
      </c>
      <c r="W16" s="11">
        <f t="shared" si="19"/>
        <v>1.7586206896551726</v>
      </c>
      <c r="X16" s="11">
        <v>287.63285714289998</v>
      </c>
      <c r="Y16" s="11">
        <f t="shared" si="20"/>
        <v>182.68967406190086</v>
      </c>
      <c r="Z16" s="11">
        <f t="shared" si="21"/>
        <v>52.547552920929689</v>
      </c>
      <c r="AA16" s="7">
        <v>2000</v>
      </c>
      <c r="AB16" s="15">
        <f>IFERROR(AA16/1960,0)</f>
        <v>1.0204081632653061</v>
      </c>
      <c r="AC16" s="11">
        <v>0</v>
      </c>
      <c r="AD16" s="15">
        <f>IFERROR(AC16/63.9,0)</f>
        <v>0</v>
      </c>
      <c r="AE16" s="11">
        <v>15</v>
      </c>
      <c r="AF16" s="11">
        <v>27</v>
      </c>
      <c r="AG16" s="7">
        <f t="shared" si="22"/>
        <v>-3962.0400000000022</v>
      </c>
      <c r="AH16" s="7">
        <v>0</v>
      </c>
      <c r="AI16" s="7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IFERROR(0/F16,0)</f>
        <v>0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59</v>
      </c>
      <c r="B17" s="5">
        <v>91</v>
      </c>
      <c r="C17" s="7"/>
      <c r="D17" s="7">
        <v>7</v>
      </c>
      <c r="E17" s="7">
        <v>56050</v>
      </c>
      <c r="F17" s="7">
        <v>52260</v>
      </c>
      <c r="G17" s="7">
        <v>124</v>
      </c>
      <c r="H17" s="9">
        <f t="shared" si="12"/>
        <v>2.3727516264829699E-3</v>
      </c>
      <c r="I17" s="9">
        <f>IFERROR((56050-F17)/56050,0)</f>
        <v>6.7618198037466548E-2</v>
      </c>
      <c r="J17" s="7">
        <v>11310</v>
      </c>
      <c r="K17" s="11">
        <f t="shared" si="13"/>
        <v>3.091684434968017</v>
      </c>
      <c r="L17" s="11">
        <f>K17-0</f>
        <v>3.091684434968017</v>
      </c>
      <c r="M17" s="11">
        <v>81.25</v>
      </c>
      <c r="N17" s="11">
        <f t="shared" si="14"/>
        <v>-78.158315565031984</v>
      </c>
      <c r="O17" s="11">
        <f>IFERROR(22746461/56050,0)</f>
        <v>405.82446030330061</v>
      </c>
      <c r="P17" s="11">
        <v>430</v>
      </c>
      <c r="Q17" s="11">
        <f t="shared" si="15"/>
        <v>-24.175539696699389</v>
      </c>
      <c r="R17" s="7">
        <v>32280</v>
      </c>
      <c r="S17" s="11">
        <f t="shared" si="16"/>
        <v>88.240118090864371</v>
      </c>
      <c r="T17" s="13">
        <f t="shared" si="17"/>
        <v>0.3503717472118959</v>
      </c>
      <c r="U17" s="7">
        <v>52500</v>
      </c>
      <c r="V17" s="11">
        <f t="shared" si="18"/>
        <v>143.51320321469575</v>
      </c>
      <c r="W17" s="11">
        <f t="shared" si="19"/>
        <v>1.6263940520446094</v>
      </c>
      <c r="X17" s="11">
        <v>298.68142857139998</v>
      </c>
      <c r="Y17" s="11">
        <f t="shared" si="20"/>
        <v>2854.1114058355438</v>
      </c>
      <c r="Z17" s="11">
        <f t="shared" si="21"/>
        <v>852.47007199688699</v>
      </c>
      <c r="AA17" s="7">
        <v>0</v>
      </c>
      <c r="AB17" s="15">
        <f>IFERROR(AA17/1710,0)</f>
        <v>0</v>
      </c>
      <c r="AC17" s="11">
        <v>0</v>
      </c>
      <c r="AD17" s="15">
        <f>IFERROR(AC17/64.65,0)</f>
        <v>0</v>
      </c>
      <c r="AE17" s="11">
        <v>21</v>
      </c>
      <c r="AF17" s="11">
        <v>26</v>
      </c>
      <c r="AG17" s="7">
        <f t="shared" si="22"/>
        <v>-285918.75000000006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84</v>
      </c>
      <c r="C18" s="7">
        <v>11</v>
      </c>
      <c r="D18" s="7">
        <v>7</v>
      </c>
      <c r="E18" s="7">
        <v>51536</v>
      </c>
      <c r="F18" s="7">
        <v>47621</v>
      </c>
      <c r="G18" s="7">
        <v>81</v>
      </c>
      <c r="H18" s="9">
        <f t="shared" si="12"/>
        <v>1.7009302618592637E-3</v>
      </c>
      <c r="I18" s="9">
        <f>IFERROR((51536-F18)/51536,0)</f>
        <v>7.5966314809065502E-2</v>
      </c>
      <c r="J18" s="7">
        <v>293640</v>
      </c>
      <c r="K18" s="11">
        <f t="shared" si="13"/>
        <v>88.08838837607658</v>
      </c>
      <c r="L18" s="11">
        <f>K18-88.3933</f>
        <v>-0.30491162392341664</v>
      </c>
      <c r="M18" s="11">
        <v>84</v>
      </c>
      <c r="N18" s="11">
        <f t="shared" si="14"/>
        <v>4.0883883760765798</v>
      </c>
      <c r="O18" s="11">
        <f>IFERROR(18473302/51536,0)</f>
        <v>358.45432319155543</v>
      </c>
      <c r="P18" s="11">
        <v>0</v>
      </c>
      <c r="Q18" s="11">
        <f t="shared" si="15"/>
        <v>358.45432319155543</v>
      </c>
      <c r="R18" s="7">
        <v>39290</v>
      </c>
      <c r="S18" s="11">
        <f t="shared" si="16"/>
        <v>117.86516752813135</v>
      </c>
      <c r="T18" s="13">
        <f t="shared" si="17"/>
        <v>7.4736574191906335</v>
      </c>
      <c r="U18" s="7">
        <v>71641</v>
      </c>
      <c r="V18" s="11">
        <f t="shared" si="18"/>
        <v>214.91418851827075</v>
      </c>
      <c r="W18" s="11">
        <f t="shared" si="19"/>
        <v>1.8233901756172053</v>
      </c>
      <c r="X18" s="11">
        <v>296.87428571430002</v>
      </c>
      <c r="Y18" s="11">
        <f t="shared" si="20"/>
        <v>133.80329655360305</v>
      </c>
      <c r="Z18" s="11">
        <f t="shared" si="21"/>
        <v>39.722758090569563</v>
      </c>
      <c r="AA18" s="7">
        <v>1758</v>
      </c>
      <c r="AB18" s="15">
        <f>IFERROR(AA18/1725,0)</f>
        <v>1.0191304347826087</v>
      </c>
      <c r="AC18" s="11">
        <v>0</v>
      </c>
      <c r="AD18" s="15">
        <f>IFERROR(AC18/64.35,0)</f>
        <v>0</v>
      </c>
      <c r="AE18" s="11">
        <v>23</v>
      </c>
      <c r="AF18" s="11">
        <v>26</v>
      </c>
      <c r="AG18" s="7">
        <f t="shared" si="22"/>
        <v>13628.519999999997</v>
      </c>
      <c r="AH18" s="7">
        <v>66</v>
      </c>
      <c r="AI18" s="7">
        <v>10.303030303</v>
      </c>
      <c r="AJ18" s="11">
        <v>16</v>
      </c>
      <c r="AK18" s="11">
        <v>14</v>
      </c>
      <c r="AL18" s="11">
        <v>0</v>
      </c>
      <c r="AM18" s="11">
        <v>0</v>
      </c>
      <c r="AN18" s="11">
        <v>0</v>
      </c>
      <c r="AO18" s="13">
        <f>IFERROR(1050/F18,0)</f>
        <v>2.2049095987064532E-2</v>
      </c>
      <c r="AP18" s="11">
        <v>1500</v>
      </c>
      <c r="AQ18" s="7"/>
      <c r="AR18" s="7"/>
      <c r="AS18" s="7">
        <v>14</v>
      </c>
      <c r="AT18" s="7"/>
    </row>
    <row r="19" spans="1:46" x14ac:dyDescent="0.3">
      <c r="A19" s="5" t="s">
        <v>61</v>
      </c>
      <c r="B19" s="5">
        <v>31</v>
      </c>
      <c r="C19" s="7"/>
      <c r="D19" s="7">
        <v>7</v>
      </c>
      <c r="E19" s="7">
        <v>49067</v>
      </c>
      <c r="F19" s="7">
        <v>47425</v>
      </c>
      <c r="G19" s="7">
        <v>168</v>
      </c>
      <c r="H19" s="9">
        <f t="shared" si="12"/>
        <v>3.5424354243542436E-3</v>
      </c>
      <c r="I19" s="9">
        <f>IFERROR((49067-F19)/49067,0)</f>
        <v>3.3464446573053169E-2</v>
      </c>
      <c r="J19" s="7">
        <v>325760</v>
      </c>
      <c r="K19" s="11">
        <f t="shared" si="13"/>
        <v>98.127871074629113</v>
      </c>
      <c r="L19" s="11">
        <f>K19-96.2987</f>
        <v>1.8291710746291159</v>
      </c>
      <c r="M19" s="11">
        <v>95.85</v>
      </c>
      <c r="N19" s="11">
        <f t="shared" si="14"/>
        <v>2.2778710746291182</v>
      </c>
      <c r="O19" s="11">
        <f>IFERROR(3573010/49067,0)</f>
        <v>72.819002588297636</v>
      </c>
      <c r="P19" s="11">
        <v>73</v>
      </c>
      <c r="Q19" s="11">
        <f t="shared" si="15"/>
        <v>-0.18099741170236427</v>
      </c>
      <c r="R19" s="7">
        <v>39150</v>
      </c>
      <c r="S19" s="11">
        <f t="shared" si="16"/>
        <v>117.93056706077265</v>
      </c>
      <c r="T19" s="13">
        <f t="shared" si="17"/>
        <v>8.3208173690932306</v>
      </c>
      <c r="U19" s="7">
        <v>56530</v>
      </c>
      <c r="V19" s="11">
        <f t="shared" si="18"/>
        <v>170.28390692070187</v>
      </c>
      <c r="W19" s="11">
        <f t="shared" si="19"/>
        <v>1.4439335887611751</v>
      </c>
      <c r="X19" s="11">
        <v>294.87857142860003</v>
      </c>
      <c r="Y19" s="11">
        <f t="shared" si="20"/>
        <v>120.18050098231828</v>
      </c>
      <c r="Z19" s="11">
        <f t="shared" si="21"/>
        <v>35.438654443239471</v>
      </c>
      <c r="AA19" s="7">
        <v>1688</v>
      </c>
      <c r="AB19" s="15">
        <f>IFERROR(AA19/1665,0)</f>
        <v>1.0138138138138137</v>
      </c>
      <c r="AC19" s="11">
        <v>0</v>
      </c>
      <c r="AD19" s="15">
        <f>IFERROR(AC19/59.55,0)</f>
        <v>0</v>
      </c>
      <c r="AE19" s="11">
        <v>23</v>
      </c>
      <c r="AF19" s="11">
        <v>26</v>
      </c>
      <c r="AG19" s="7">
        <f t="shared" si="22"/>
        <v>7561.962500000016</v>
      </c>
      <c r="AH19" s="7">
        <v>46</v>
      </c>
      <c r="AI19" s="7">
        <v>12.173913043500001</v>
      </c>
      <c r="AJ19" s="11">
        <v>10</v>
      </c>
      <c r="AK19" s="11">
        <v>12</v>
      </c>
      <c r="AL19" s="11">
        <v>0</v>
      </c>
      <c r="AM19" s="11">
        <v>0</v>
      </c>
      <c r="AN19" s="11">
        <v>0</v>
      </c>
      <c r="AO19" s="13">
        <f>IFERROR(0/F19,0)</f>
        <v>0</v>
      </c>
      <c r="AP19" s="11">
        <v>1500</v>
      </c>
      <c r="AQ19" s="7"/>
      <c r="AR19" s="7"/>
      <c r="AS19" s="7">
        <v>14</v>
      </c>
      <c r="AT19" s="7"/>
    </row>
    <row r="20" spans="1:46" x14ac:dyDescent="0.3">
      <c r="A20" s="5" t="s">
        <v>62</v>
      </c>
      <c r="B20" s="5">
        <v>63</v>
      </c>
      <c r="C20" s="7"/>
      <c r="D20" s="7">
        <v>7</v>
      </c>
      <c r="E20" s="7">
        <v>52424</v>
      </c>
      <c r="F20" s="7">
        <v>42134</v>
      </c>
      <c r="G20" s="7">
        <v>341</v>
      </c>
      <c r="H20" s="9">
        <f t="shared" si="12"/>
        <v>8.0932263730004277E-3</v>
      </c>
      <c r="I20" s="9">
        <f>IFERROR((52424-F20)/52424,0)</f>
        <v>0.19628414466656494</v>
      </c>
      <c r="J20" s="7">
        <v>258180</v>
      </c>
      <c r="K20" s="11">
        <f t="shared" si="13"/>
        <v>87.537041683336852</v>
      </c>
      <c r="L20" s="11">
        <f>K20-88.6639</f>
        <v>-1.1268583166631458</v>
      </c>
      <c r="M20" s="11">
        <v>90.45</v>
      </c>
      <c r="N20" s="11">
        <f t="shared" si="14"/>
        <v>-2.9129583166631505</v>
      </c>
      <c r="O20" s="11">
        <f>IFERROR(13150580/52424,0)</f>
        <v>250.85037387456126</v>
      </c>
      <c r="P20" s="11">
        <v>275</v>
      </c>
      <c r="Q20" s="11">
        <f t="shared" si="15"/>
        <v>-24.149626125438743</v>
      </c>
      <c r="R20" s="7">
        <v>36425</v>
      </c>
      <c r="S20" s="11">
        <f t="shared" si="16"/>
        <v>123.50053231526626</v>
      </c>
      <c r="T20" s="13">
        <f t="shared" si="17"/>
        <v>7.0879890185312284</v>
      </c>
      <c r="U20" s="7">
        <v>53731</v>
      </c>
      <c r="V20" s="11">
        <f t="shared" si="18"/>
        <v>182.17727115529368</v>
      </c>
      <c r="W20" s="11">
        <f t="shared" si="19"/>
        <v>1.4751132463967058</v>
      </c>
      <c r="X20" s="11">
        <v>297.09714285709998</v>
      </c>
      <c r="Y20" s="11">
        <f t="shared" si="20"/>
        <v>141.08374002633818</v>
      </c>
      <c r="Z20" s="11">
        <f t="shared" si="21"/>
        <v>41.915576065418954</v>
      </c>
      <c r="AA20" s="7">
        <v>1682</v>
      </c>
      <c r="AB20" s="15">
        <f>IFERROR(AA20/1725,0)</f>
        <v>0.97507246376811596</v>
      </c>
      <c r="AC20" s="11">
        <v>61.43</v>
      </c>
      <c r="AD20" s="15">
        <f>IFERROR(AC20/63.3,0)</f>
        <v>0.97045813586097951</v>
      </c>
      <c r="AE20" s="11">
        <v>23</v>
      </c>
      <c r="AF20" s="11">
        <v>26</v>
      </c>
      <c r="AG20" s="7">
        <f t="shared" si="22"/>
        <v>-8591.4209999999621</v>
      </c>
      <c r="AH20" s="7">
        <v>72</v>
      </c>
      <c r="AI20" s="7">
        <v>10</v>
      </c>
      <c r="AJ20" s="11">
        <v>11</v>
      </c>
      <c r="AK20" s="11">
        <v>11</v>
      </c>
      <c r="AL20" s="11">
        <v>0</v>
      </c>
      <c r="AM20" s="11">
        <v>0</v>
      </c>
      <c r="AN20" s="11">
        <v>0</v>
      </c>
      <c r="AO20" s="13">
        <f>IFERROR(1400/F20,0)</f>
        <v>3.3227322352494419E-2</v>
      </c>
      <c r="AP20" s="11">
        <v>1500</v>
      </c>
      <c r="AQ20" s="7"/>
      <c r="AR20" s="7"/>
      <c r="AS20" s="7">
        <v>14.45</v>
      </c>
      <c r="AT20" s="7"/>
    </row>
    <row r="21" spans="1:46" x14ac:dyDescent="0.3">
      <c r="A21" s="5" t="s">
        <v>63</v>
      </c>
      <c r="B21" s="5">
        <v>53</v>
      </c>
      <c r="C21" s="7"/>
      <c r="D21" s="7">
        <v>7</v>
      </c>
      <c r="E21" s="7">
        <v>50525</v>
      </c>
      <c r="F21" s="7">
        <v>45582</v>
      </c>
      <c r="G21" s="7">
        <v>153</v>
      </c>
      <c r="H21" s="9">
        <f t="shared" si="12"/>
        <v>3.3565881268921944E-3</v>
      </c>
      <c r="I21" s="9">
        <f>IFERROR((50525-F21)/50525,0)</f>
        <v>9.7832756061355761E-2</v>
      </c>
      <c r="J21" s="7">
        <v>285500</v>
      </c>
      <c r="K21" s="11">
        <f t="shared" si="13"/>
        <v>89.477676024997336</v>
      </c>
      <c r="L21" s="11">
        <f>K21-90.6004</f>
        <v>-1.122723975002657</v>
      </c>
      <c r="M21" s="11">
        <v>0</v>
      </c>
      <c r="N21" s="11">
        <f t="shared" si="14"/>
        <v>89.477676024997336</v>
      </c>
      <c r="O21" s="11">
        <f>IFERROR(9971910/50525,0)</f>
        <v>197.36585848589806</v>
      </c>
      <c r="P21" s="11">
        <v>0</v>
      </c>
      <c r="Q21" s="11">
        <f t="shared" si="15"/>
        <v>197.36585848589806</v>
      </c>
      <c r="R21" s="7">
        <v>37496</v>
      </c>
      <c r="S21" s="11">
        <f t="shared" si="16"/>
        <v>117.51505920256743</v>
      </c>
      <c r="T21" s="13">
        <f t="shared" si="17"/>
        <v>7.6141455088542775</v>
      </c>
      <c r="U21" s="7">
        <v>62763</v>
      </c>
      <c r="V21" s="11">
        <f t="shared" si="18"/>
        <v>196.70358600199324</v>
      </c>
      <c r="W21" s="11">
        <f t="shared" si="19"/>
        <v>1.6738585449114571</v>
      </c>
      <c r="X21" s="11">
        <v>305.85000000000002</v>
      </c>
      <c r="Y21" s="11">
        <f t="shared" si="20"/>
        <v>131.33450087565672</v>
      </c>
      <c r="Z21" s="11">
        <f t="shared" si="21"/>
        <v>40.168657092819608</v>
      </c>
      <c r="AA21" s="7">
        <v>1693</v>
      </c>
      <c r="AB21" s="15">
        <f>IFERROR(AA21/0,0)</f>
        <v>0</v>
      </c>
      <c r="AC21" s="11">
        <v>61.12</v>
      </c>
      <c r="AD21" s="15">
        <f>IFERROR(AC21/0,0)</f>
        <v>0</v>
      </c>
      <c r="AE21" s="11">
        <v>22</v>
      </c>
      <c r="AF21" s="11">
        <v>26</v>
      </c>
      <c r="AG21" s="7">
        <f t="shared" si="22"/>
        <v>0</v>
      </c>
      <c r="AH21" s="7">
        <v>65</v>
      </c>
      <c r="AI21" s="7">
        <v>11.0769230769</v>
      </c>
      <c r="AJ21" s="11">
        <v>14</v>
      </c>
      <c r="AK21" s="11">
        <v>11</v>
      </c>
      <c r="AL21" s="11">
        <v>0</v>
      </c>
      <c r="AM21" s="11">
        <v>0</v>
      </c>
      <c r="AN21" s="11">
        <v>0</v>
      </c>
      <c r="AO21" s="13">
        <f>IFERROR(1400/F21,0)</f>
        <v>3.0713878285288054E-2</v>
      </c>
      <c r="AP21" s="11">
        <v>1500</v>
      </c>
      <c r="AQ21" s="7"/>
      <c r="AR21" s="7"/>
      <c r="AS21" s="7">
        <v>14.45</v>
      </c>
      <c r="AT21" s="7"/>
    </row>
    <row r="22" spans="1:46" x14ac:dyDescent="0.3">
      <c r="A22" s="5" t="s">
        <v>64</v>
      </c>
      <c r="B22" s="5">
        <v>72</v>
      </c>
      <c r="C22" s="7"/>
      <c r="D22" s="7">
        <v>7</v>
      </c>
      <c r="E22" s="7">
        <v>50845</v>
      </c>
      <c r="F22" s="7">
        <v>46290</v>
      </c>
      <c r="G22" s="7">
        <v>159</v>
      </c>
      <c r="H22" s="9">
        <f t="shared" si="12"/>
        <v>3.4348671419313025E-3</v>
      </c>
      <c r="I22" s="9">
        <f>IFERROR((50845-F22)/50845,0)</f>
        <v>8.958599665650506E-2</v>
      </c>
      <c r="J22" s="7">
        <v>279140</v>
      </c>
      <c r="K22" s="11">
        <f t="shared" si="13"/>
        <v>86.146344474277072</v>
      </c>
      <c r="L22" s="11">
        <f>K22-85.7038</f>
        <v>0.44254447427707078</v>
      </c>
      <c r="M22" s="11">
        <v>87.8</v>
      </c>
      <c r="N22" s="11">
        <f t="shared" si="14"/>
        <v>-1.6536555257229253</v>
      </c>
      <c r="O22" s="11">
        <f>IFERROR(16318150/50845,0)</f>
        <v>320.93912872455502</v>
      </c>
      <c r="P22" s="11">
        <v>327</v>
      </c>
      <c r="Q22" s="11">
        <f t="shared" si="15"/>
        <v>-6.0608712754449812</v>
      </c>
      <c r="R22" s="7">
        <v>37639</v>
      </c>
      <c r="S22" s="11">
        <f t="shared" si="16"/>
        <v>116.15899762367683</v>
      </c>
      <c r="T22" s="13">
        <f t="shared" si="17"/>
        <v>7.4162437896862299</v>
      </c>
      <c r="U22" s="7">
        <v>67400</v>
      </c>
      <c r="V22" s="11">
        <f t="shared" si="18"/>
        <v>208.00543159583989</v>
      </c>
      <c r="W22" s="11">
        <f t="shared" si="19"/>
        <v>1.790695820824145</v>
      </c>
      <c r="X22" s="11">
        <v>317.73142857139999</v>
      </c>
      <c r="Y22" s="11">
        <f t="shared" si="20"/>
        <v>134.83914881421509</v>
      </c>
      <c r="Z22" s="11">
        <f t="shared" si="21"/>
        <v>42.842635380092155</v>
      </c>
      <c r="AA22" s="7">
        <v>1683</v>
      </c>
      <c r="AB22" s="15">
        <f>IFERROR(AA22/1725,0)</f>
        <v>0.97565217391304349</v>
      </c>
      <c r="AC22" s="11">
        <v>61.83</v>
      </c>
      <c r="AD22" s="15">
        <f>IFERROR(AC22/63.8,0)</f>
        <v>0.96912225705329158</v>
      </c>
      <c r="AE22" s="11">
        <v>18</v>
      </c>
      <c r="AF22" s="11">
        <v>26</v>
      </c>
      <c r="AG22" s="7">
        <f t="shared" si="22"/>
        <v>-5358.3399999999956</v>
      </c>
      <c r="AH22" s="7">
        <v>70</v>
      </c>
      <c r="AI22" s="7">
        <v>10.5714285714</v>
      </c>
      <c r="AJ22" s="11">
        <v>10</v>
      </c>
      <c r="AK22" s="11">
        <v>13</v>
      </c>
      <c r="AL22" s="11">
        <v>0</v>
      </c>
      <c r="AM22" s="11">
        <v>0</v>
      </c>
      <c r="AN22" s="11">
        <v>0</v>
      </c>
      <c r="AO22" s="13">
        <f>IFERROR(1400/F22,0)</f>
        <v>3.0244113199395118E-2</v>
      </c>
      <c r="AP22" s="11">
        <v>1500</v>
      </c>
      <c r="AQ22" s="7"/>
      <c r="AR22" s="7"/>
      <c r="AS22" s="7">
        <v>14.45</v>
      </c>
      <c r="AT22" s="7"/>
    </row>
    <row r="23" spans="1:46" x14ac:dyDescent="0.3">
      <c r="A23" s="5" t="s">
        <v>65</v>
      </c>
      <c r="B23" s="5">
        <v>39</v>
      </c>
      <c r="C23" s="7"/>
      <c r="D23" s="7">
        <v>7</v>
      </c>
      <c r="E23" s="7">
        <v>21024</v>
      </c>
      <c r="F23" s="7">
        <v>19693</v>
      </c>
      <c r="G23" s="7">
        <v>44</v>
      </c>
      <c r="H23" s="9">
        <f t="shared" si="12"/>
        <v>2.2342964505154116E-3</v>
      </c>
      <c r="I23" s="9">
        <f>IFERROR((21024-F23)/21024,0)</f>
        <v>6.3308599695585999E-2</v>
      </c>
      <c r="J23" s="7">
        <v>102100</v>
      </c>
      <c r="K23" s="11">
        <f t="shared" si="13"/>
        <v>74.065476492734916</v>
      </c>
      <c r="L23" s="11">
        <f>K23-69.9194</f>
        <v>4.1460764927349203</v>
      </c>
      <c r="M23" s="11">
        <v>92.5</v>
      </c>
      <c r="N23" s="11">
        <f t="shared" si="14"/>
        <v>-18.434523507265084</v>
      </c>
      <c r="O23" s="11">
        <f>IFERROR(1751121/21024,0)</f>
        <v>83.291523972602747</v>
      </c>
      <c r="P23" s="11">
        <v>130</v>
      </c>
      <c r="Q23" s="11">
        <f t="shared" si="15"/>
        <v>-46.708476027397253</v>
      </c>
      <c r="R23" s="7">
        <v>17300</v>
      </c>
      <c r="S23" s="11">
        <f t="shared" si="16"/>
        <v>125.49782011011889</v>
      </c>
      <c r="T23" s="13">
        <f t="shared" si="17"/>
        <v>5.901734104046243</v>
      </c>
      <c r="U23" s="7">
        <v>22480</v>
      </c>
      <c r="V23" s="11">
        <f t="shared" si="18"/>
        <v>163.07462405060539</v>
      </c>
      <c r="W23" s="11">
        <f t="shared" si="19"/>
        <v>1.2994219653179193</v>
      </c>
      <c r="X23" s="11">
        <v>287.96571428570002</v>
      </c>
      <c r="Y23" s="11">
        <f t="shared" si="20"/>
        <v>169.44172380019586</v>
      </c>
      <c r="Z23" s="11">
        <f t="shared" si="21"/>
        <v>48.793407023923699</v>
      </c>
      <c r="AA23" s="7">
        <v>1970</v>
      </c>
      <c r="AB23" s="15">
        <f>IFERROR(AA23/1930,0)</f>
        <v>1.0207253886010363</v>
      </c>
      <c r="AC23" s="11">
        <v>0</v>
      </c>
      <c r="AD23" s="15">
        <f>IFERROR(AC23/62.4,0)</f>
        <v>0</v>
      </c>
      <c r="AE23" s="11">
        <v>20</v>
      </c>
      <c r="AF23" s="11">
        <v>27</v>
      </c>
      <c r="AG23" s="7">
        <f t="shared" si="22"/>
        <v>-25412.174999999988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63</v>
      </c>
      <c r="C24" s="7"/>
      <c r="D24" s="7">
        <v>7</v>
      </c>
      <c r="E24" s="7">
        <v>21875</v>
      </c>
      <c r="F24" s="7">
        <v>20105</v>
      </c>
      <c r="G24" s="7">
        <v>54</v>
      </c>
      <c r="H24" s="9">
        <f t="shared" si="12"/>
        <v>2.6858990300920168E-3</v>
      </c>
      <c r="I24" s="9">
        <f>IFERROR((21875-F24)/21875,0)</f>
        <v>8.0914285714285716E-2</v>
      </c>
      <c r="J24" s="7">
        <v>118540</v>
      </c>
      <c r="K24" s="11">
        <f t="shared" si="13"/>
        <v>84.22922513944647</v>
      </c>
      <c r="L24" s="11">
        <f>K24-86.1437</f>
        <v>-1.9144748605535256</v>
      </c>
      <c r="M24" s="11">
        <v>84</v>
      </c>
      <c r="N24" s="11">
        <f t="shared" si="14"/>
        <v>0.22922513944646994</v>
      </c>
      <c r="O24" s="11">
        <f>IFERROR(6124140/21875,0)</f>
        <v>279.96068571428572</v>
      </c>
      <c r="P24" s="11">
        <v>275</v>
      </c>
      <c r="Q24" s="11">
        <f t="shared" si="15"/>
        <v>4.9606857142857166</v>
      </c>
      <c r="R24" s="7">
        <v>18830</v>
      </c>
      <c r="S24" s="11">
        <f t="shared" si="16"/>
        <v>133.79756279532452</v>
      </c>
      <c r="T24" s="13">
        <f t="shared" si="17"/>
        <v>6.2952734997344661</v>
      </c>
      <c r="U24" s="7">
        <v>26864</v>
      </c>
      <c r="V24" s="11">
        <f t="shared" si="18"/>
        <v>190.88357551426441</v>
      </c>
      <c r="W24" s="11">
        <f t="shared" si="19"/>
        <v>1.4266595857673927</v>
      </c>
      <c r="X24" s="11">
        <v>284.42714285710002</v>
      </c>
      <c r="Y24" s="11">
        <f t="shared" si="20"/>
        <v>158.84933355829253</v>
      </c>
      <c r="Z24" s="11">
        <f t="shared" si="21"/>
        <v>45.181062088739601</v>
      </c>
      <c r="AA24" s="7">
        <v>2006</v>
      </c>
      <c r="AB24" s="15">
        <f>IFERROR(AA24/1960,0)</f>
        <v>1.023469387755102</v>
      </c>
      <c r="AC24" s="11">
        <v>65.63</v>
      </c>
      <c r="AD24" s="15">
        <f>IFERROR(AC24/63.9,0)</f>
        <v>1.0270735524256651</v>
      </c>
      <c r="AE24" s="11">
        <v>23</v>
      </c>
      <c r="AF24" s="11">
        <v>26</v>
      </c>
      <c r="AG24" s="7">
        <f t="shared" si="22"/>
        <v>322.59999999998951</v>
      </c>
      <c r="AH24" s="7">
        <v>0</v>
      </c>
      <c r="AI24" s="7">
        <v>0</v>
      </c>
      <c r="AJ24" s="11">
        <v>7</v>
      </c>
      <c r="AK24" s="11">
        <v>9</v>
      </c>
      <c r="AL24" s="11">
        <v>0</v>
      </c>
      <c r="AM24" s="11">
        <v>0</v>
      </c>
      <c r="AN24" s="11">
        <v>0</v>
      </c>
      <c r="AO24" s="13">
        <f>IFERROR(595/F24,0)</f>
        <v>2.9594628201939817E-2</v>
      </c>
      <c r="AP24" s="11">
        <v>1500</v>
      </c>
      <c r="AQ24" s="7"/>
      <c r="AR24" s="7"/>
      <c r="AS24" s="7">
        <v>14.45</v>
      </c>
      <c r="AT24" s="7"/>
    </row>
    <row r="25" spans="1:46" x14ac:dyDescent="0.3">
      <c r="A25" s="5" t="s">
        <v>67</v>
      </c>
      <c r="B25" s="5">
        <v>19</v>
      </c>
      <c r="C25" s="7"/>
      <c r="D25" s="7">
        <v>7</v>
      </c>
      <c r="E25" s="7">
        <v>77078</v>
      </c>
      <c r="F25" s="7">
        <v>77036</v>
      </c>
      <c r="G25" s="7">
        <v>42</v>
      </c>
      <c r="H25" s="9">
        <f t="shared" si="12"/>
        <v>5.4519964691832393E-4</v>
      </c>
      <c r="I25" s="9">
        <f>IFERROR((77078-F25)/77078,0)</f>
        <v>5.4490256623160955E-4</v>
      </c>
      <c r="J25" s="7">
        <v>57320</v>
      </c>
      <c r="K25" s="11">
        <f t="shared" si="13"/>
        <v>10.629538694339566</v>
      </c>
      <c r="L25" s="11">
        <f>K25-0</f>
        <v>10.629538694339566</v>
      </c>
      <c r="M25" s="11">
        <v>31</v>
      </c>
      <c r="N25" s="11">
        <f t="shared" si="14"/>
        <v>-20.370461305660434</v>
      </c>
      <c r="O25" s="11">
        <f>IFERROR(57320/77078,0)</f>
        <v>0.74366226419990145</v>
      </c>
      <c r="P25" s="11">
        <v>3</v>
      </c>
      <c r="Q25" s="11">
        <f t="shared" si="15"/>
        <v>-2.2563377358000984</v>
      </c>
      <c r="R25" s="7">
        <v>45289</v>
      </c>
      <c r="S25" s="11">
        <f t="shared" si="16"/>
        <v>83.984853092802624</v>
      </c>
      <c r="T25" s="13">
        <f t="shared" si="17"/>
        <v>1.2656494954624744</v>
      </c>
      <c r="U25" s="7">
        <v>67720</v>
      </c>
      <c r="V25" s="11">
        <f t="shared" si="18"/>
        <v>125.58136084798943</v>
      </c>
      <c r="W25" s="11">
        <f t="shared" si="19"/>
        <v>1.4952858309964892</v>
      </c>
      <c r="X25" s="11">
        <v>294.5528571429</v>
      </c>
      <c r="Y25" s="11">
        <f t="shared" si="20"/>
        <v>790.1081646894628</v>
      </c>
      <c r="Z25" s="11">
        <f t="shared" si="21"/>
        <v>232.72861736121425</v>
      </c>
      <c r="AA25" s="7">
        <v>1416</v>
      </c>
      <c r="AB25" s="15">
        <f>IFERROR(AA25/1620,0)</f>
        <v>0.87407407407407411</v>
      </c>
      <c r="AC25" s="11">
        <v>41.81</v>
      </c>
      <c r="AD25" s="15">
        <f>IFERROR(AC25/50,0)</f>
        <v>0.83620000000000005</v>
      </c>
      <c r="AE25" s="11">
        <v>22</v>
      </c>
      <c r="AF25" s="11">
        <v>26</v>
      </c>
      <c r="AG25" s="7">
        <f t="shared" si="22"/>
        <v>-109848.12000000001</v>
      </c>
      <c r="AH25" s="7">
        <v>4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0</v>
      </c>
      <c r="AQ25" s="7"/>
      <c r="AR25" s="7"/>
      <c r="AS25" s="7">
        <v>12</v>
      </c>
      <c r="AT25" s="7"/>
    </row>
    <row r="26" spans="1:46" x14ac:dyDescent="0.3">
      <c r="A26" s="5" t="s">
        <v>68</v>
      </c>
      <c r="B26" s="5">
        <v>53</v>
      </c>
      <c r="C26" s="7"/>
      <c r="D26" s="7">
        <v>7</v>
      </c>
      <c r="E26" s="7">
        <v>21339</v>
      </c>
      <c r="F26" s="7">
        <v>20026</v>
      </c>
      <c r="G26" s="7">
        <v>79</v>
      </c>
      <c r="H26" s="9">
        <f t="shared" si="12"/>
        <v>3.9448716668331173E-3</v>
      </c>
      <c r="I26" s="9">
        <f>IFERROR((21339-F26)/21339,0)</f>
        <v>6.1530530952715684E-2</v>
      </c>
      <c r="J26" s="7">
        <v>124500</v>
      </c>
      <c r="K26" s="11">
        <f t="shared" si="13"/>
        <v>88.813114379877589</v>
      </c>
      <c r="L26" s="11">
        <f>K26-91.1164</f>
        <v>-2.3032856201224092</v>
      </c>
      <c r="M26" s="11">
        <v>87.5</v>
      </c>
      <c r="N26" s="11">
        <f t="shared" si="14"/>
        <v>1.3131143798775895</v>
      </c>
      <c r="O26" s="11">
        <f>IFERROR(4422190/21339,0)</f>
        <v>207.23510942405923</v>
      </c>
      <c r="P26" s="11">
        <v>216</v>
      </c>
      <c r="Q26" s="11">
        <f t="shared" si="15"/>
        <v>-8.7648905759407683</v>
      </c>
      <c r="R26" s="7">
        <v>17080</v>
      </c>
      <c r="S26" s="11">
        <f t="shared" si="16"/>
        <v>121.84160591231399</v>
      </c>
      <c r="T26" s="13">
        <f t="shared" si="17"/>
        <v>7.2892271662763468</v>
      </c>
      <c r="U26" s="7">
        <v>31381</v>
      </c>
      <c r="V26" s="11">
        <f t="shared" si="18"/>
        <v>223.85898332168179</v>
      </c>
      <c r="W26" s="11">
        <f t="shared" si="19"/>
        <v>1.8372950819672129</v>
      </c>
      <c r="X26" s="11">
        <v>294.56</v>
      </c>
      <c r="Y26" s="11">
        <f t="shared" si="20"/>
        <v>137.18875502008032</v>
      </c>
      <c r="Z26" s="11">
        <f t="shared" si="21"/>
        <v>40.410319678714863</v>
      </c>
      <c r="AA26" s="7">
        <v>1894</v>
      </c>
      <c r="AB26" s="15">
        <f>IFERROR(AA26/1950,0)</f>
        <v>0.97128205128205125</v>
      </c>
      <c r="AC26" s="11">
        <v>65.010000000000005</v>
      </c>
      <c r="AD26" s="15">
        <f>IFERROR(AC26/63.5,0)</f>
        <v>1.0237795275590551</v>
      </c>
      <c r="AE26" s="11">
        <v>22</v>
      </c>
      <c r="AF26" s="11">
        <v>26</v>
      </c>
      <c r="AG26" s="7">
        <f t="shared" si="22"/>
        <v>1840.7500000000027</v>
      </c>
      <c r="AH26" s="7">
        <v>0</v>
      </c>
      <c r="AI26" s="7">
        <v>0</v>
      </c>
      <c r="AJ26" s="11">
        <v>10</v>
      </c>
      <c r="AK26" s="11">
        <v>10</v>
      </c>
      <c r="AL26" s="11">
        <v>0</v>
      </c>
      <c r="AM26" s="11">
        <v>0</v>
      </c>
      <c r="AN26" s="11">
        <v>0</v>
      </c>
      <c r="AO26" s="13">
        <f>IFERROR(490/F26,0)</f>
        <v>2.4468191351243385E-2</v>
      </c>
      <c r="AP26" s="11">
        <v>1500</v>
      </c>
      <c r="AQ26" s="7"/>
      <c r="AR26" s="7"/>
      <c r="AS26" s="7">
        <v>14.45</v>
      </c>
      <c r="AT26" s="7"/>
    </row>
    <row r="27" spans="1:46" x14ac:dyDescent="0.3">
      <c r="A27" s="5" t="s">
        <v>69</v>
      </c>
      <c r="B27" s="5">
        <v>40</v>
      </c>
      <c r="C27" s="7"/>
      <c r="D27" s="7">
        <v>7</v>
      </c>
      <c r="E27" s="7">
        <v>64976</v>
      </c>
      <c r="F27" s="7">
        <v>62520</v>
      </c>
      <c r="G27" s="7">
        <v>111</v>
      </c>
      <c r="H27" s="9">
        <f t="shared" si="12"/>
        <v>1.7754318618042227E-3</v>
      </c>
      <c r="I27" s="9">
        <f>IFERROR((64976-F27)/64976,0)</f>
        <v>3.779857178034967E-2</v>
      </c>
      <c r="J27" s="7">
        <v>422240</v>
      </c>
      <c r="K27" s="11">
        <f t="shared" si="13"/>
        <v>96.481126039667302</v>
      </c>
      <c r="L27" s="11">
        <f>K27-99.8684</f>
        <v>-3.387273960332692</v>
      </c>
      <c r="M27" s="11">
        <v>93.5</v>
      </c>
      <c r="N27" s="11">
        <f t="shared" si="14"/>
        <v>2.9811260396673021</v>
      </c>
      <c r="O27" s="11">
        <f>IFERROR(8656590/64976,0)</f>
        <v>133.22749938438807</v>
      </c>
      <c r="P27" s="11">
        <v>133</v>
      </c>
      <c r="Q27" s="11">
        <f t="shared" si="15"/>
        <v>0.22749938438806794</v>
      </c>
      <c r="R27" s="7">
        <v>52390</v>
      </c>
      <c r="S27" s="11">
        <f t="shared" si="16"/>
        <v>119.71026414404534</v>
      </c>
      <c r="T27" s="13">
        <f t="shared" si="17"/>
        <v>8.0595533498759302</v>
      </c>
      <c r="U27" s="7">
        <v>93770</v>
      </c>
      <c r="V27" s="11">
        <f t="shared" si="18"/>
        <v>214.26286445480306</v>
      </c>
      <c r="W27" s="11">
        <f t="shared" si="19"/>
        <v>1.7898453903416685</v>
      </c>
      <c r="X27" s="11">
        <v>295.19142857140002</v>
      </c>
      <c r="Y27" s="11">
        <f t="shared" si="20"/>
        <v>124.07635467980296</v>
      </c>
      <c r="Z27" s="11">
        <f t="shared" si="21"/>
        <v>36.626276389862753</v>
      </c>
      <c r="AA27" s="7">
        <v>1659</v>
      </c>
      <c r="AB27" s="15">
        <f>IFERROR(AA27/1570,0)</f>
        <v>1.0566878980891721</v>
      </c>
      <c r="AC27" s="11">
        <v>0</v>
      </c>
      <c r="AD27" s="15">
        <f>IFERROR(AC27/60.9,0)</f>
        <v>0</v>
      </c>
      <c r="AE27" s="11">
        <v>21</v>
      </c>
      <c r="AF27" s="11">
        <v>25</v>
      </c>
      <c r="AG27" s="7">
        <f t="shared" si="22"/>
        <v>13046.59999999998</v>
      </c>
      <c r="AH27" s="7">
        <v>75.5</v>
      </c>
      <c r="AI27" s="7">
        <v>10.8609271523</v>
      </c>
      <c r="AJ27" s="11">
        <v>14</v>
      </c>
      <c r="AK27" s="11">
        <v>14</v>
      </c>
      <c r="AL27" s="11">
        <v>0</v>
      </c>
      <c r="AM27" s="11">
        <v>0</v>
      </c>
      <c r="AN27" s="11">
        <v>0</v>
      </c>
      <c r="AO27" s="13">
        <f>IFERROR(1050/F27,0)</f>
        <v>1.6794625719769675E-2</v>
      </c>
      <c r="AP27" s="11">
        <v>1500</v>
      </c>
      <c r="AQ27" s="7"/>
      <c r="AR27" s="7"/>
      <c r="AS27" s="7">
        <v>14</v>
      </c>
      <c r="AT27" s="7"/>
    </row>
    <row r="28" spans="1:46" x14ac:dyDescent="0.3">
      <c r="A28" s="5" t="s">
        <v>70</v>
      </c>
      <c r="B28" s="5">
        <v>111</v>
      </c>
      <c r="C28" s="7">
        <v>39</v>
      </c>
      <c r="D28" s="7">
        <v>7</v>
      </c>
      <c r="E28" s="7">
        <v>47224</v>
      </c>
      <c r="F28" s="7">
        <v>39101</v>
      </c>
      <c r="G28" s="7">
        <v>150</v>
      </c>
      <c r="H28" s="9">
        <f t="shared" si="12"/>
        <v>3.8362190225313931E-3</v>
      </c>
      <c r="I28" s="9">
        <f>IFERROR((47224-F28)/47224,0)</f>
        <v>0.17200999491783839</v>
      </c>
      <c r="J28" s="7">
        <v>155720</v>
      </c>
      <c r="K28" s="11">
        <f t="shared" si="13"/>
        <v>56.892954875103676</v>
      </c>
      <c r="L28" s="11">
        <f>K28-58.4808</f>
        <v>-1.5878451248963259</v>
      </c>
      <c r="M28" s="11">
        <v>68</v>
      </c>
      <c r="N28" s="11">
        <f t="shared" si="14"/>
        <v>-11.107045124896324</v>
      </c>
      <c r="O28" s="11">
        <f>IFERROR(19534070/47224,0)</f>
        <v>413.64708622734202</v>
      </c>
      <c r="P28" s="11">
        <v>0</v>
      </c>
      <c r="Q28" s="11">
        <f t="shared" si="15"/>
        <v>413.64708622734202</v>
      </c>
      <c r="R28" s="7">
        <v>36740</v>
      </c>
      <c r="S28" s="11">
        <f t="shared" si="16"/>
        <v>134.23113036933654</v>
      </c>
      <c r="T28" s="13">
        <f t="shared" si="17"/>
        <v>4.2384322264561787</v>
      </c>
      <c r="U28" s="7">
        <v>58800</v>
      </c>
      <c r="V28" s="11">
        <f t="shared" si="18"/>
        <v>214.82826526175802</v>
      </c>
      <c r="W28" s="11">
        <f t="shared" si="19"/>
        <v>1.6004354926510618</v>
      </c>
      <c r="X28" s="11">
        <v>301.16857142859999</v>
      </c>
      <c r="Y28" s="11">
        <f t="shared" si="20"/>
        <v>235.9362959157462</v>
      </c>
      <c r="Z28" s="11">
        <f t="shared" si="21"/>
        <v>71.0565971891007</v>
      </c>
      <c r="AA28" s="7">
        <v>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13</v>
      </c>
      <c r="AF28" s="11">
        <v>31</v>
      </c>
      <c r="AG28" s="7">
        <f t="shared" si="22"/>
        <v>-30400.759999999984</v>
      </c>
      <c r="AH28" s="7">
        <v>56</v>
      </c>
      <c r="AI28" s="7">
        <v>13.214285714300001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IFERROR(1200/F28,0)</f>
        <v>3.0689752180251145E-2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31</v>
      </c>
      <c r="C29" s="7"/>
      <c r="D29" s="7">
        <v>7</v>
      </c>
      <c r="E29" s="7">
        <v>24546</v>
      </c>
      <c r="F29" s="7">
        <v>23305</v>
      </c>
      <c r="G29" s="7">
        <v>258</v>
      </c>
      <c r="H29" s="9">
        <f t="shared" si="12"/>
        <v>1.1070585711220769E-2</v>
      </c>
      <c r="I29" s="9">
        <f>IFERROR((24546-F29)/24546,0)</f>
        <v>5.0558135745131592E-2</v>
      </c>
      <c r="J29" s="7">
        <v>143120</v>
      </c>
      <c r="K29" s="11">
        <f t="shared" si="13"/>
        <v>87.731020320593373</v>
      </c>
      <c r="L29" s="11">
        <f>K29-90.3899</f>
        <v>-2.6588796794066241</v>
      </c>
      <c r="M29" s="11">
        <v>96</v>
      </c>
      <c r="N29" s="11">
        <f t="shared" si="14"/>
        <v>-8.2689796794066268</v>
      </c>
      <c r="O29" s="11">
        <f>IFERROR(1690330/24546,0)</f>
        <v>68.863765990385403</v>
      </c>
      <c r="P29" s="11">
        <v>74</v>
      </c>
      <c r="Q29" s="11">
        <f t="shared" si="15"/>
        <v>-5.1362340096145971</v>
      </c>
      <c r="R29" s="7">
        <v>18960</v>
      </c>
      <c r="S29" s="11">
        <f t="shared" si="16"/>
        <v>116.22276029055689</v>
      </c>
      <c r="T29" s="13">
        <f t="shared" si="17"/>
        <v>7.5485232067510548</v>
      </c>
      <c r="U29" s="7">
        <v>27530</v>
      </c>
      <c r="V29" s="11">
        <f t="shared" si="18"/>
        <v>168.75593833328222</v>
      </c>
      <c r="W29" s="11">
        <f t="shared" si="19"/>
        <v>1.4520042194092826</v>
      </c>
      <c r="X29" s="11">
        <v>297.7785714286</v>
      </c>
      <c r="Y29" s="11">
        <f t="shared" si="20"/>
        <v>132.4762437115707</v>
      </c>
      <c r="Z29" s="11">
        <f t="shared" si="21"/>
        <v>39.448586600658579</v>
      </c>
      <c r="AA29" s="7">
        <v>1483</v>
      </c>
      <c r="AB29" s="15">
        <f>IFERROR(AA29/1540,0)</f>
        <v>0.96298701298701295</v>
      </c>
      <c r="AC29" s="11">
        <v>0</v>
      </c>
      <c r="AD29" s="15">
        <f>IFERROR(AC29/58.1,0)</f>
        <v>0</v>
      </c>
      <c r="AE29" s="11">
        <v>15</v>
      </c>
      <c r="AF29" s="11">
        <v>31</v>
      </c>
      <c r="AG29" s="7">
        <f t="shared" si="22"/>
        <v>-13489.6</v>
      </c>
      <c r="AH29" s="7">
        <v>47.5</v>
      </c>
      <c r="AI29" s="7">
        <v>10.9473684211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IFERROR(0/F29,0)</f>
        <v>0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31</v>
      </c>
      <c r="C30" s="7"/>
      <c r="D30" s="7">
        <v>7</v>
      </c>
      <c r="E30" s="7">
        <v>12056</v>
      </c>
      <c r="F30" s="7">
        <v>11329</v>
      </c>
      <c r="G30" s="7">
        <v>215</v>
      </c>
      <c r="H30" s="9">
        <f t="shared" si="12"/>
        <v>1.897784446994439E-2</v>
      </c>
      <c r="I30" s="9">
        <f>IFERROR((12056-F30)/12056,0)</f>
        <v>6.0301924353019246E-2</v>
      </c>
      <c r="J30" s="7">
        <v>70780</v>
      </c>
      <c r="K30" s="11">
        <f t="shared" si="13"/>
        <v>89.252613394196928</v>
      </c>
      <c r="L30" s="11">
        <f>K30-87.4171</f>
        <v>1.8355133941969228</v>
      </c>
      <c r="M30" s="11">
        <v>95</v>
      </c>
      <c r="N30" s="11">
        <f t="shared" si="14"/>
        <v>-5.7473866058030723</v>
      </c>
      <c r="O30" s="11">
        <f>IFERROR(924930/12056,0)</f>
        <v>76.719475779694761</v>
      </c>
      <c r="P30" s="11">
        <v>78</v>
      </c>
      <c r="Q30" s="11">
        <f t="shared" si="15"/>
        <v>-1.2805242203052387</v>
      </c>
      <c r="R30" s="7">
        <v>9520</v>
      </c>
      <c r="S30" s="11">
        <f t="shared" si="16"/>
        <v>120.04589990290405</v>
      </c>
      <c r="T30" s="13">
        <f t="shared" si="17"/>
        <v>7.4348739495798322</v>
      </c>
      <c r="U30" s="7">
        <v>13500</v>
      </c>
      <c r="V30" s="11">
        <f t="shared" si="18"/>
        <v>170.23315637491646</v>
      </c>
      <c r="W30" s="11">
        <f t="shared" si="19"/>
        <v>1.4180672268907564</v>
      </c>
      <c r="X30" s="11">
        <v>299.48</v>
      </c>
      <c r="Y30" s="11">
        <f t="shared" si="20"/>
        <v>134.50127154563438</v>
      </c>
      <c r="Z30" s="11">
        <f t="shared" si="21"/>
        <v>40.280440802486581</v>
      </c>
      <c r="AA30" s="7">
        <v>1762</v>
      </c>
      <c r="AB30" s="15">
        <f>IFERROR(AA30/1900,0)</f>
        <v>0.92736842105263162</v>
      </c>
      <c r="AC30" s="11">
        <v>0</v>
      </c>
      <c r="AD30" s="15">
        <f>IFERROR(AC30/61.1,0)</f>
        <v>0</v>
      </c>
      <c r="AE30" s="11">
        <v>15</v>
      </c>
      <c r="AF30" s="11">
        <v>31</v>
      </c>
      <c r="AG30" s="7">
        <f t="shared" si="22"/>
        <v>-4557.8500000000104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IFERROR(0/F30,0)</f>
        <v>0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619549</v>
      </c>
      <c r="F31" s="17">
        <f>SUM(F14:F30)</f>
        <v>585407</v>
      </c>
      <c r="G31" s="17">
        <f>SUM(G14:G30)</f>
        <v>2107</v>
      </c>
      <c r="H31" s="18">
        <f t="shared" si="12"/>
        <v>3.5992053391913658E-3</v>
      </c>
      <c r="I31" s="18"/>
      <c r="J31" s="17">
        <f>SUM(J14:J30)</f>
        <v>2704460</v>
      </c>
      <c r="K31" s="19">
        <f t="shared" si="13"/>
        <v>65.997063337375295</v>
      </c>
      <c r="L31" s="19"/>
      <c r="M31" s="19">
        <f>IFERROR(SUMPRODUCT($F14:$F30,M14:M30)/$F31, 0)</f>
        <v>70.20085009232892</v>
      </c>
      <c r="N31" s="19">
        <f t="shared" si="14"/>
        <v>-4.2037867549536259</v>
      </c>
      <c r="O31" s="19">
        <f>IFERROR(SUMPRODUCT($E14:$E30,O14:O30)/$E31, 0)</f>
        <v>219.80045807514821</v>
      </c>
      <c r="P31" s="19">
        <f>IFERROR(SUMPRODUCT($E14:$E30,P14:P30)/$E31, 0)</f>
        <v>139.66808759274892</v>
      </c>
      <c r="Q31" s="19">
        <f>IFERROR(SUMPRODUCT($E14:$E30,Q14:Q30)/$E31, 0)</f>
        <v>80.132370482399295</v>
      </c>
      <c r="R31" s="17">
        <f>SUM(R14:R30)</f>
        <v>460299</v>
      </c>
      <c r="S31" s="19">
        <f>IFERROR(R31/D31/$F31*1000,0)</f>
        <v>112.3269793494099</v>
      </c>
      <c r="T31" s="20">
        <f t="shared" si="17"/>
        <v>5.8754418323741744</v>
      </c>
      <c r="U31" s="17">
        <f>SUM(U14:U30)</f>
        <v>742100</v>
      </c>
      <c r="V31" s="19">
        <f>IFERROR(U31/D31/$F31*1000,0)</f>
        <v>181.09500862525678</v>
      </c>
      <c r="W31" s="19">
        <f t="shared" si="19"/>
        <v>1.6122129311599631</v>
      </c>
      <c r="X31" s="19">
        <f>IFERROR(SUMPRODUCT(R14:R30,X14:X30)/R31,0)</f>
        <v>297.92952692861218</v>
      </c>
      <c r="Y31" s="19">
        <f>IFERROR(($F31*S31)/($F31*K31)*100,0)</f>
        <v>170.19996598211841</v>
      </c>
      <c r="Z31" s="19">
        <f t="shared" si="21"/>
        <v>50.707595348318428</v>
      </c>
      <c r="AA31" s="17"/>
      <c r="AB31" s="21">
        <f>IFERROR(SUMPRODUCT($F14:$F30,AB14:AB30)/$F31,0)</f>
        <v>0.71122996595135068</v>
      </c>
      <c r="AC31" s="19"/>
      <c r="AD31" s="21">
        <f>AVERAGE(AD14:AD30)</f>
        <v>0.28391961605288185</v>
      </c>
      <c r="AE31" s="19"/>
      <c r="AF31" s="19"/>
      <c r="AG31" s="17">
        <f>SUM(AG14:AG30)</f>
        <v>-473454.83350000001</v>
      </c>
      <c r="AH31" s="17">
        <f>SUM(AH14:AH30)</f>
        <v>502</v>
      </c>
      <c r="AI31" s="17">
        <f>IFERROR(SUMPRODUCT(AH14:AH30,AI14:AI30)/AH31, 0)</f>
        <v>11.115537848600001</v>
      </c>
      <c r="AJ31" s="19">
        <f>AVERAGE(AJ14:AJ30)</f>
        <v>5.4117647058823533</v>
      </c>
      <c r="AK31" s="19">
        <f>AVERAGE(AK14:AK30)</f>
        <v>5.5294117647058822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669147</v>
      </c>
      <c r="F33" s="23">
        <f>F12+F31</f>
        <v>625951</v>
      </c>
      <c r="G33" s="23">
        <f>G12+G31</f>
        <v>2306</v>
      </c>
      <c r="H33" s="24">
        <f>IFERROR(G33/F33,0)</f>
        <v>3.6839944340691204E-3</v>
      </c>
      <c r="I33" s="23"/>
      <c r="J33" s="23">
        <f>J12+J31</f>
        <v>2883320</v>
      </c>
      <c r="K33" s="25">
        <f>IFERROR(J33/D33/F33*100,0)</f>
        <v>65.804329275431655</v>
      </c>
      <c r="L33" s="23"/>
      <c r="M33" s="25">
        <f>IFERROR($F$12/$F33*M$12,0)+IFERROR($F$31/$F33*M$31,0)</f>
        <v>69.623397118943799</v>
      </c>
      <c r="N33" s="25">
        <f>K33-M33</f>
        <v>-3.8190678435121441</v>
      </c>
      <c r="O33" s="23">
        <f>IFERROR($E$12/$E33*O$12,0)+IFERROR($E$31/$E33*O$31,0)</f>
        <v>227.73671704423694</v>
      </c>
      <c r="P33" s="23">
        <f>IFERROR($E$12/$E33*P$12,0)+IFERROR($E$31/$E33*P$31,0)</f>
        <v>133.24441266268846</v>
      </c>
      <c r="Q33" s="23">
        <f>IFERROR($E$12/$E33*Q$12,0)+IFERROR($E$31/$E33*Q$31,0)</f>
        <v>94.49230438154845</v>
      </c>
      <c r="R33" s="23">
        <f>R12+R31</f>
        <v>496516</v>
      </c>
      <c r="S33" s="25">
        <f>IFERROR(R33/D33/$F33*1000,0)</f>
        <v>113.31694835994693</v>
      </c>
      <c r="T33" s="26">
        <f>IFERROR(J33/R33,0)</f>
        <v>5.8071038999750257</v>
      </c>
      <c r="U33" s="23">
        <f>U12+U31</f>
        <v>757220</v>
      </c>
      <c r="V33" s="25">
        <f>IFERROR(U33/D33/$F33*1000,0)</f>
        <v>172.81590046870397</v>
      </c>
      <c r="W33" s="25">
        <f>IFERROR(V33/S33,0)</f>
        <v>1.5250666645183639</v>
      </c>
      <c r="X33" s="25">
        <f>IFERROR($F$12/$F33*X$12,0)+IFERROR($F$31/$F33*X$31,0)</f>
        <v>295.95037559827517</v>
      </c>
      <c r="Y33" s="25">
        <f>IFERROR(($F33*S33)/($F33*K33)*100,0)</f>
        <v>172.20287723873869</v>
      </c>
      <c r="Z33" s="25">
        <f>IFERROR(Y33*X33/1000,0)</f>
        <v>50.963506197908387</v>
      </c>
      <c r="AA33" s="23"/>
      <c r="AB33" s="27"/>
      <c r="AC33" s="23"/>
      <c r="AD33" s="27"/>
      <c r="AE33" s="23"/>
      <c r="AF33" s="23"/>
      <c r="AG33" s="23">
        <f>AG12+AG31</f>
        <v>-490308.4535</v>
      </c>
      <c r="AH33" s="23">
        <f>AH12+AH31</f>
        <v>502</v>
      </c>
      <c r="AI33" s="23">
        <f>IFERROR(AH$12/AH33*AI$12,0)+IFERROR(AH$31/AH33*AI$31,0)</f>
        <v>11.115537848600001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57</v>
      </c>
      <c r="P36" s="32" t="s">
        <v>58</v>
      </c>
      <c r="Q36" s="32" t="s">
        <v>59</v>
      </c>
      <c r="R36" s="32" t="s">
        <v>80</v>
      </c>
      <c r="S36" s="32" t="s">
        <v>60</v>
      </c>
      <c r="T36" s="32" t="s">
        <v>69</v>
      </c>
      <c r="U36" s="32" t="s">
        <v>61</v>
      </c>
      <c r="V36" s="32" t="s">
        <v>70</v>
      </c>
      <c r="W36" s="32" t="s">
        <v>71</v>
      </c>
      <c r="X36" s="32" t="s">
        <v>72</v>
      </c>
      <c r="Y36" s="32" t="s">
        <v>62</v>
      </c>
      <c r="Z36" s="32" t="s">
        <v>66</v>
      </c>
      <c r="AA36" s="32" t="s">
        <v>67</v>
      </c>
      <c r="AB36" s="32" t="s">
        <v>81</v>
      </c>
      <c r="AC36" s="32" t="s">
        <v>63</v>
      </c>
      <c r="AD36" s="32" t="s">
        <v>68</v>
      </c>
      <c r="AE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/>
      <c r="P37" s="8">
        <v>5.7999999999999996E-3</v>
      </c>
      <c r="Q37" s="8">
        <v>2.3999999999999998E-3</v>
      </c>
      <c r="R37" s="8">
        <v>3.3999999999999998E-3</v>
      </c>
      <c r="S37" s="8">
        <v>1.6999999999999999E-3</v>
      </c>
      <c r="T37" s="8"/>
      <c r="U37" s="8">
        <v>2.5000000000000001E-3</v>
      </c>
      <c r="V37" s="8">
        <v>5.3E-3</v>
      </c>
      <c r="W37" s="8">
        <v>6.3E-3</v>
      </c>
      <c r="X37" s="8">
        <v>2.7000000000000001E-3</v>
      </c>
      <c r="Y37" s="8">
        <v>1.5E-3</v>
      </c>
      <c r="Z37" s="8">
        <v>1.4E-3</v>
      </c>
      <c r="AA37" s="8">
        <v>2.8E-3</v>
      </c>
      <c r="AB37" s="8">
        <v>1.6999999999999999E-3</v>
      </c>
      <c r="AC37" s="8"/>
      <c r="AD37" s="8"/>
      <c r="AE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/>
      <c r="P38" s="9">
        <v>1.32E-2</v>
      </c>
      <c r="Q38" s="9">
        <v>2.3999999999999998E-3</v>
      </c>
      <c r="R38" s="9">
        <v>4.1999999999999997E-3</v>
      </c>
      <c r="S38" s="9">
        <v>1.6999999999999999E-3</v>
      </c>
      <c r="T38" s="9"/>
      <c r="U38" s="9">
        <v>2.5000000000000001E-3</v>
      </c>
      <c r="V38" s="9">
        <v>5.7999999999999996E-3</v>
      </c>
      <c r="W38" s="9">
        <v>3.5999999999999999E-3</v>
      </c>
      <c r="X38" s="9">
        <v>2.3E-3</v>
      </c>
      <c r="Y38" s="9">
        <v>1.5E-3</v>
      </c>
      <c r="Z38" s="9">
        <v>1E-3</v>
      </c>
      <c r="AA38" s="9">
        <v>3.0000000000000001E-3</v>
      </c>
      <c r="AB38" s="9">
        <v>1.8E-3</v>
      </c>
      <c r="AC38" s="9"/>
      <c r="AD38" s="9"/>
      <c r="AE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/>
      <c r="P39" s="9">
        <v>9.7999999999999997E-3</v>
      </c>
      <c r="Q39" s="9">
        <v>2.5000000000000001E-3</v>
      </c>
      <c r="R39" s="9">
        <v>3.3E-3</v>
      </c>
      <c r="S39" s="9">
        <v>1.8E-3</v>
      </c>
      <c r="T39" s="9"/>
      <c r="U39" s="9">
        <v>2.5000000000000001E-3</v>
      </c>
      <c r="V39" s="9">
        <v>5.4999999999999997E-3</v>
      </c>
      <c r="W39" s="9">
        <v>3.5000000000000001E-3</v>
      </c>
      <c r="X39" s="9">
        <v>2.5000000000000001E-3</v>
      </c>
      <c r="Y39" s="9">
        <v>1.6999999999999999E-3</v>
      </c>
      <c r="Z39" s="9">
        <v>6.9999999999999999E-4</v>
      </c>
      <c r="AA39" s="9">
        <v>2.8E-3</v>
      </c>
      <c r="AB39" s="9">
        <v>1.4E-3</v>
      </c>
      <c r="AC39" s="9"/>
      <c r="AD39" s="9"/>
      <c r="AE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/>
      <c r="P40" s="9">
        <v>7.3000000000000001E-3</v>
      </c>
      <c r="Q40" s="9">
        <v>2.5000000000000001E-3</v>
      </c>
      <c r="R40" s="9">
        <v>4.1000000000000003E-3</v>
      </c>
      <c r="S40" s="9">
        <v>1.6999999999999999E-3</v>
      </c>
      <c r="T40" s="9"/>
      <c r="U40" s="9">
        <v>2.5999999999999999E-3</v>
      </c>
      <c r="V40" s="9">
        <v>3.2000000000000002E-3</v>
      </c>
      <c r="W40" s="9">
        <v>3.7000000000000002E-3</v>
      </c>
      <c r="X40" s="9">
        <v>2.5000000000000001E-3</v>
      </c>
      <c r="Y40" s="9">
        <v>1.6000000000000001E-3</v>
      </c>
      <c r="Z40" s="9">
        <v>8.9999999999999998E-4</v>
      </c>
      <c r="AA40" s="9">
        <v>3.5000000000000001E-3</v>
      </c>
      <c r="AB40" s="9">
        <v>1.6000000000000001E-3</v>
      </c>
      <c r="AC40" s="9"/>
      <c r="AD40" s="9"/>
      <c r="AE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/>
      <c r="P41" s="9">
        <v>4.5999999999999999E-3</v>
      </c>
      <c r="Q41" s="9">
        <v>4.1000000000000003E-3</v>
      </c>
      <c r="R41" s="9">
        <v>4.1000000000000003E-3</v>
      </c>
      <c r="S41" s="9">
        <v>1.6999999999999999E-3</v>
      </c>
      <c r="T41" s="9"/>
      <c r="U41" s="9">
        <v>2.3E-3</v>
      </c>
      <c r="V41" s="9">
        <v>2.2000000000000001E-3</v>
      </c>
      <c r="W41" s="9">
        <v>4.4000000000000003E-3</v>
      </c>
      <c r="X41" s="9">
        <v>2.3E-3</v>
      </c>
      <c r="Y41" s="9">
        <v>1.6000000000000001E-3</v>
      </c>
      <c r="Z41" s="9">
        <v>8.9999999999999998E-4</v>
      </c>
      <c r="AA41" s="9">
        <v>3.0999999999999999E-3</v>
      </c>
      <c r="AB41" s="9">
        <v>1.5E-3</v>
      </c>
      <c r="AC41" s="9"/>
      <c r="AD41" s="9"/>
      <c r="AE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/>
      <c r="P42" s="9">
        <v>4.0000000000000001E-3</v>
      </c>
      <c r="Q42" s="9">
        <v>2.7000000000000001E-3</v>
      </c>
      <c r="R42" s="9">
        <v>3.8E-3</v>
      </c>
      <c r="S42" s="9">
        <v>1.5E-3</v>
      </c>
      <c r="T42" s="9"/>
      <c r="U42" s="9">
        <v>1.6999999999999999E-3</v>
      </c>
      <c r="V42" s="9">
        <v>3.0000000000000001E-3</v>
      </c>
      <c r="W42" s="9">
        <v>3.5999999999999999E-3</v>
      </c>
      <c r="X42" s="9">
        <v>1.8E-3</v>
      </c>
      <c r="Y42" s="9">
        <v>8.9999999999999998E-4</v>
      </c>
      <c r="Z42" s="9">
        <v>5.9999999999999995E-4</v>
      </c>
      <c r="AA42" s="9">
        <v>1.6999999999999999E-3</v>
      </c>
      <c r="AB42" s="9">
        <v>1E-3</v>
      </c>
      <c r="AC42" s="9">
        <v>0</v>
      </c>
      <c r="AD42" s="9">
        <v>0</v>
      </c>
      <c r="AE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/>
      <c r="P43" s="9">
        <v>4.4999999999999997E-3</v>
      </c>
      <c r="Q43" s="9">
        <v>2E-3</v>
      </c>
      <c r="R43" s="9">
        <v>4.8999999999999998E-3</v>
      </c>
      <c r="S43" s="9">
        <v>1.4E-3</v>
      </c>
      <c r="T43" s="9"/>
      <c r="U43" s="9">
        <v>1.9E-3</v>
      </c>
      <c r="V43" s="9">
        <v>4.3E-3</v>
      </c>
      <c r="W43" s="9">
        <v>4.1999999999999997E-3</v>
      </c>
      <c r="X43" s="9">
        <v>4.4000000000000003E-3</v>
      </c>
      <c r="Y43" s="9">
        <v>1.1000000000000001E-3</v>
      </c>
      <c r="Z43" s="9">
        <v>5.0000000000000001E-4</v>
      </c>
      <c r="AA43" s="9">
        <v>2.0999999999999999E-3</v>
      </c>
      <c r="AB43" s="9">
        <v>1.1999999999999999E-3</v>
      </c>
      <c r="AC43" s="9">
        <v>8.9999999999999998E-4</v>
      </c>
      <c r="AD43" s="9">
        <v>8.0000000000000004E-4</v>
      </c>
      <c r="AE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/>
      <c r="P44" s="9">
        <v>5.1999999999999998E-3</v>
      </c>
      <c r="Q44" s="9">
        <v>1.9E-3</v>
      </c>
      <c r="R44" s="9">
        <v>2.3999999999999998E-3</v>
      </c>
      <c r="S44" s="9">
        <v>1.2999999999999999E-3</v>
      </c>
      <c r="T44" s="9"/>
      <c r="U44" s="9">
        <v>1.9E-3</v>
      </c>
      <c r="V44" s="9">
        <v>3.0999999999999999E-3</v>
      </c>
      <c r="W44" s="9">
        <v>3.2000000000000002E-3</v>
      </c>
      <c r="X44" s="9">
        <v>2.3E-3</v>
      </c>
      <c r="Y44" s="9">
        <v>1.1000000000000001E-3</v>
      </c>
      <c r="Z44" s="9">
        <v>5.0000000000000001E-4</v>
      </c>
      <c r="AA44" s="9">
        <v>2.8E-3</v>
      </c>
      <c r="AB44" s="9">
        <v>1.2999999999999999E-3</v>
      </c>
      <c r="AC44" s="9">
        <v>1.1999999999999999E-3</v>
      </c>
      <c r="AD44" s="9">
        <v>6.9999999999999999E-4</v>
      </c>
      <c r="AE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/>
      <c r="P45" s="9">
        <v>5.0000000000000001E-3</v>
      </c>
      <c r="Q45" s="9">
        <v>2.7000000000000001E-3</v>
      </c>
      <c r="R45" s="9">
        <v>4.8999999999999998E-3</v>
      </c>
      <c r="S45" s="9">
        <v>2E-3</v>
      </c>
      <c r="T45" s="9"/>
      <c r="U45" s="9">
        <v>2.5000000000000001E-3</v>
      </c>
      <c r="V45" s="9">
        <v>3.0999999999999999E-3</v>
      </c>
      <c r="W45" s="9">
        <v>4.5999999999999999E-3</v>
      </c>
      <c r="X45" s="9">
        <v>2.8E-3</v>
      </c>
      <c r="Y45" s="9">
        <v>1.6999999999999999E-3</v>
      </c>
      <c r="Z45" s="9">
        <v>1E-3</v>
      </c>
      <c r="AA45" s="9">
        <v>3.5999999999999999E-3</v>
      </c>
      <c r="AB45" s="9">
        <v>1.6000000000000001E-3</v>
      </c>
      <c r="AC45" s="9">
        <v>2.3E-3</v>
      </c>
      <c r="AD45" s="9">
        <v>1.1999999999999999E-3</v>
      </c>
      <c r="AE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/>
      <c r="P46" s="9">
        <v>5.5999999999999999E-3</v>
      </c>
      <c r="Q46" s="9">
        <v>2.8999999999999998E-3</v>
      </c>
      <c r="R46" s="9">
        <v>4.1999999999999997E-3</v>
      </c>
      <c r="S46" s="9">
        <v>2.3E-3</v>
      </c>
      <c r="T46" s="9"/>
      <c r="U46" s="9">
        <v>2.5000000000000001E-3</v>
      </c>
      <c r="V46" s="9">
        <v>2.5999999999999999E-3</v>
      </c>
      <c r="W46" s="9">
        <v>3.3999999999999998E-3</v>
      </c>
      <c r="X46" s="9">
        <v>2.5000000000000001E-3</v>
      </c>
      <c r="Y46" s="9">
        <v>2E-3</v>
      </c>
      <c r="Z46" s="9">
        <v>1E-3</v>
      </c>
      <c r="AA46" s="9">
        <v>3.5000000000000001E-3</v>
      </c>
      <c r="AB46" s="9">
        <v>1.6999999999999999E-3</v>
      </c>
      <c r="AC46" s="9">
        <v>1.6999999999999999E-3</v>
      </c>
      <c r="AD46" s="9">
        <v>1.6000000000000001E-3</v>
      </c>
      <c r="AE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/>
      <c r="P47" s="9">
        <v>3.5000000000000001E-3</v>
      </c>
      <c r="Q47" s="9">
        <v>2.5000000000000001E-3</v>
      </c>
      <c r="R47" s="9">
        <v>3.5000000000000001E-3</v>
      </c>
      <c r="S47" s="9">
        <v>2.3E-3</v>
      </c>
      <c r="T47" s="9"/>
      <c r="U47" s="9">
        <v>3.0000000000000001E-3</v>
      </c>
      <c r="V47" s="9">
        <v>2.3E-3</v>
      </c>
      <c r="W47" s="9">
        <v>3.0999999999999999E-3</v>
      </c>
      <c r="X47" s="9">
        <v>2.8E-3</v>
      </c>
      <c r="Y47" s="9">
        <v>1.9E-3</v>
      </c>
      <c r="Z47" s="9">
        <v>8.9999999999999998E-4</v>
      </c>
      <c r="AA47" s="9">
        <v>3.5000000000000001E-3</v>
      </c>
      <c r="AB47" s="9">
        <v>1.5E-3</v>
      </c>
      <c r="AC47" s="9">
        <v>1.1000000000000001E-3</v>
      </c>
      <c r="AD47" s="9">
        <v>1.1999999999999999E-3</v>
      </c>
      <c r="AE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/>
      <c r="P48" s="9">
        <v>4.4000000000000003E-3</v>
      </c>
      <c r="Q48" s="9">
        <v>3.7000000000000002E-3</v>
      </c>
      <c r="R48" s="9">
        <v>3.2000000000000002E-3</v>
      </c>
      <c r="S48" s="9">
        <v>2.5999999999999999E-3</v>
      </c>
      <c r="T48" s="9"/>
      <c r="U48" s="9">
        <v>3.3999999999999998E-3</v>
      </c>
      <c r="V48" s="9">
        <v>2.5000000000000001E-3</v>
      </c>
      <c r="W48" s="9">
        <v>3.0999999999999999E-3</v>
      </c>
      <c r="X48" s="9">
        <v>3.2000000000000002E-3</v>
      </c>
      <c r="Y48" s="9">
        <v>1.5E-3</v>
      </c>
      <c r="Z48" s="9">
        <v>8.0000000000000004E-4</v>
      </c>
      <c r="AA48" s="9">
        <v>3.8999999999999998E-3</v>
      </c>
      <c r="AB48" s="9">
        <v>3.5999999999999999E-3</v>
      </c>
      <c r="AC48" s="9">
        <v>1.1000000000000001E-3</v>
      </c>
      <c r="AD48" s="9">
        <v>1E-3</v>
      </c>
      <c r="AE48" s="9">
        <v>8.9999999999999998E-4</v>
      </c>
    </row>
    <row r="49" spans="2:31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/>
      <c r="P49" s="9">
        <v>5.3E-3</v>
      </c>
      <c r="Q49" s="9">
        <v>2.5000000000000001E-3</v>
      </c>
      <c r="R49" s="9">
        <v>3.8E-3</v>
      </c>
      <c r="S49" s="9">
        <v>3.0000000000000001E-3</v>
      </c>
      <c r="T49" s="9"/>
      <c r="U49" s="9">
        <v>3.5999999999999999E-3</v>
      </c>
      <c r="V49" s="9">
        <v>2.5000000000000001E-3</v>
      </c>
      <c r="W49" s="9">
        <v>3.5000000000000001E-3</v>
      </c>
      <c r="X49" s="9">
        <v>3.0999999999999999E-3</v>
      </c>
      <c r="Y49" s="9">
        <v>2E-3</v>
      </c>
      <c r="Z49" s="9">
        <v>1.1000000000000001E-3</v>
      </c>
      <c r="AA49" s="9">
        <v>3.7000000000000002E-3</v>
      </c>
      <c r="AB49" s="9">
        <v>1.8E-3</v>
      </c>
      <c r="AC49" s="9">
        <v>1.6999999999999999E-3</v>
      </c>
      <c r="AD49" s="9">
        <v>8.9999999999999998E-4</v>
      </c>
      <c r="AE49" s="9">
        <v>1E-3</v>
      </c>
    </row>
    <row r="50" spans="2:31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/>
      <c r="P50" s="9">
        <v>3.8999999999999998E-3</v>
      </c>
      <c r="Q50" s="9">
        <v>2.5000000000000001E-3</v>
      </c>
      <c r="R50" s="9">
        <v>-1</v>
      </c>
      <c r="S50" s="9">
        <v>2.8E-3</v>
      </c>
      <c r="T50" s="9"/>
      <c r="U50" s="9">
        <v>3.5999999999999999E-3</v>
      </c>
      <c r="V50" s="9">
        <v>2.0999999999999999E-3</v>
      </c>
      <c r="W50" s="9">
        <v>3.2000000000000002E-3</v>
      </c>
      <c r="X50" s="9">
        <v>3.2000000000000002E-3</v>
      </c>
      <c r="Y50" s="9">
        <v>2.3999999999999998E-3</v>
      </c>
      <c r="Z50" s="9">
        <v>1.1999999999999999E-3</v>
      </c>
      <c r="AA50" s="9">
        <v>4.7999999999999996E-3</v>
      </c>
      <c r="AB50" s="9">
        <v>1.6999999999999999E-3</v>
      </c>
      <c r="AC50" s="9">
        <v>1.6999999999999999E-3</v>
      </c>
      <c r="AD50" s="9">
        <v>1.1000000000000001E-3</v>
      </c>
      <c r="AE50" s="9">
        <v>1.1000000000000001E-3</v>
      </c>
    </row>
    <row r="51" spans="2:31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/>
      <c r="P51" s="9">
        <v>5.3E-3</v>
      </c>
      <c r="Q51" s="9">
        <v>2.5000000000000001E-3</v>
      </c>
      <c r="R51" s="9"/>
      <c r="S51" s="9">
        <v>2.5000000000000001E-3</v>
      </c>
      <c r="T51" s="9"/>
      <c r="U51" s="9">
        <v>3.7000000000000002E-3</v>
      </c>
      <c r="V51" s="9">
        <v>2.5999999999999999E-3</v>
      </c>
      <c r="W51" s="9">
        <v>2.8999999999999998E-3</v>
      </c>
      <c r="X51" s="9">
        <v>3.5999999999999999E-3</v>
      </c>
      <c r="Y51" s="9">
        <v>2.5999999999999999E-3</v>
      </c>
      <c r="Z51" s="9">
        <v>8.0000000000000004E-4</v>
      </c>
      <c r="AA51" s="9">
        <v>3.7000000000000002E-3</v>
      </c>
      <c r="AB51" s="9">
        <v>1.9E-3</v>
      </c>
      <c r="AC51" s="9">
        <v>1.4E-3</v>
      </c>
      <c r="AD51" s="9">
        <v>8.9999999999999998E-4</v>
      </c>
      <c r="AE51" s="9">
        <v>1.4E-3</v>
      </c>
    </row>
    <row r="52" spans="2:31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/>
      <c r="P52" s="9">
        <v>5.0000000000000001E-3</v>
      </c>
      <c r="Q52" s="9">
        <v>2.5000000000000001E-3</v>
      </c>
      <c r="R52" s="9"/>
      <c r="S52" s="9">
        <v>2.8E-3</v>
      </c>
      <c r="T52" s="9"/>
      <c r="U52" s="9">
        <v>4.0000000000000001E-3</v>
      </c>
      <c r="V52" s="9">
        <v>2.3E-3</v>
      </c>
      <c r="W52" s="9">
        <v>3.0999999999999999E-3</v>
      </c>
      <c r="X52" s="9">
        <v>3.5999999999999999E-3</v>
      </c>
      <c r="Y52" s="9">
        <v>3.3999999999999998E-3</v>
      </c>
      <c r="Z52" s="9">
        <v>1.1999999999999999E-3</v>
      </c>
      <c r="AA52" s="9">
        <v>4.3E-3</v>
      </c>
      <c r="AB52" s="9">
        <v>2.2000000000000001E-3</v>
      </c>
      <c r="AC52" s="9">
        <v>1.6000000000000001E-3</v>
      </c>
      <c r="AD52" s="9">
        <v>1.2999999999999999E-3</v>
      </c>
      <c r="AE52" s="9">
        <v>1.2999999999999999E-3</v>
      </c>
    </row>
    <row r="53" spans="2:31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/>
      <c r="P53" s="9">
        <v>8.2000000000000007E-3</v>
      </c>
      <c r="Q53" s="9">
        <v>3.0999999999999999E-3</v>
      </c>
      <c r="R53" s="9"/>
      <c r="S53" s="9">
        <v>2.8E-3</v>
      </c>
      <c r="T53" s="9"/>
      <c r="U53" s="9">
        <v>3.8999999999999998E-3</v>
      </c>
      <c r="V53" s="9">
        <v>2.8999999999999998E-3</v>
      </c>
      <c r="W53" s="9">
        <v>3.5999999999999999E-3</v>
      </c>
      <c r="X53" s="9">
        <v>2.7000000000000001E-3</v>
      </c>
      <c r="Y53" s="9">
        <v>3.3E-3</v>
      </c>
      <c r="Z53" s="9">
        <v>8.9999999999999998E-4</v>
      </c>
      <c r="AA53" s="9">
        <v>4.1999999999999997E-3</v>
      </c>
      <c r="AB53" s="9">
        <v>2E-3</v>
      </c>
      <c r="AC53" s="9">
        <v>2.2000000000000001E-3</v>
      </c>
      <c r="AD53" s="9">
        <v>8.9999999999999998E-4</v>
      </c>
      <c r="AE53" s="9">
        <v>1.2999999999999999E-3</v>
      </c>
    </row>
    <row r="54" spans="2:31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/>
      <c r="P54" s="9">
        <v>4.8999999999999998E-3</v>
      </c>
      <c r="Q54" s="9">
        <v>4.1999999999999997E-3</v>
      </c>
      <c r="R54" s="9"/>
      <c r="S54" s="9">
        <v>3.0000000000000001E-3</v>
      </c>
      <c r="T54" s="9"/>
      <c r="U54" s="9">
        <v>4.1999999999999997E-3</v>
      </c>
      <c r="V54" s="9">
        <v>2.0999999999999999E-3</v>
      </c>
      <c r="W54" s="9">
        <v>3.3E-3</v>
      </c>
      <c r="X54" s="9">
        <v>3.7000000000000002E-3</v>
      </c>
      <c r="Y54" s="9">
        <v>4.1999999999999997E-3</v>
      </c>
      <c r="Z54" s="9">
        <v>9.1999999999999998E-3</v>
      </c>
      <c r="AA54" s="9">
        <v>9.4000000000000004E-3</v>
      </c>
      <c r="AB54" s="9">
        <v>1.9E-3</v>
      </c>
      <c r="AC54" s="9">
        <v>1.8E-3</v>
      </c>
      <c r="AD54" s="9">
        <v>1.6000000000000001E-3</v>
      </c>
      <c r="AE54" s="9">
        <v>1.8E-3</v>
      </c>
    </row>
    <row r="55" spans="2:31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/>
      <c r="P55" s="9">
        <v>5.1999999999999998E-3</v>
      </c>
      <c r="Q55" s="9">
        <v>3.2000000000000002E-3</v>
      </c>
      <c r="R55" s="9"/>
      <c r="S55" s="9">
        <v>2.5999999999999999E-3</v>
      </c>
      <c r="T55" s="9">
        <v>1.1999999999999999E-3</v>
      </c>
      <c r="U55" s="9">
        <v>3.8999999999999998E-3</v>
      </c>
      <c r="V55" s="9">
        <v>3.3999999999999998E-3</v>
      </c>
      <c r="W55" s="9">
        <v>4.1000000000000003E-3</v>
      </c>
      <c r="X55" s="9">
        <v>3.5000000000000001E-3</v>
      </c>
      <c r="Y55" s="9">
        <v>4.4999999999999997E-3</v>
      </c>
      <c r="Z55" s="9">
        <v>2E-3</v>
      </c>
      <c r="AA55" s="9">
        <v>4.8999999999999998E-3</v>
      </c>
      <c r="AB55" s="9">
        <v>3.0000000000000001E-3</v>
      </c>
      <c r="AC55" s="9">
        <v>1.9E-3</v>
      </c>
      <c r="AD55" s="9">
        <v>1E-3</v>
      </c>
      <c r="AE55" s="9">
        <v>2E-3</v>
      </c>
    </row>
    <row r="56" spans="2:31" x14ac:dyDescent="0.3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/>
      <c r="P56" s="9">
        <v>4.4000000000000003E-3</v>
      </c>
      <c r="Q56" s="9">
        <v>3.5999999999999999E-3</v>
      </c>
      <c r="R56" s="9"/>
      <c r="S56" s="9">
        <v>2.7000000000000001E-3</v>
      </c>
      <c r="T56" s="9">
        <v>1.1999999999999999E-3</v>
      </c>
      <c r="U56" s="9">
        <v>3.8E-3</v>
      </c>
      <c r="V56" s="9">
        <v>2.8E-3</v>
      </c>
      <c r="W56" s="9">
        <v>4.0000000000000001E-3</v>
      </c>
      <c r="X56" s="9">
        <v>2.3E-3</v>
      </c>
      <c r="Y56" s="9">
        <v>4.3E-3</v>
      </c>
      <c r="Z56" s="9">
        <v>1.1999999999999999E-3</v>
      </c>
      <c r="AA56" s="9">
        <v>4.0000000000000001E-3</v>
      </c>
      <c r="AB56" s="9">
        <v>2.5000000000000001E-3</v>
      </c>
      <c r="AC56" s="9">
        <v>1.9E-3</v>
      </c>
      <c r="AD56" s="9">
        <v>1.4E-3</v>
      </c>
      <c r="AE56" s="9">
        <v>1.8E-3</v>
      </c>
    </row>
    <row r="57" spans="2:31" x14ac:dyDescent="0.3">
      <c r="B57" s="5">
        <v>202521</v>
      </c>
      <c r="C57" s="5"/>
      <c r="D57" s="9">
        <v>3.8E-3</v>
      </c>
      <c r="E57" s="9">
        <v>2.0999999999999999E-3</v>
      </c>
      <c r="F57" s="9">
        <v>3.8999999999999998E-3</v>
      </c>
      <c r="G57" s="9">
        <v>2.8999999999999998E-3</v>
      </c>
      <c r="H57" s="9">
        <v>1.9E-3</v>
      </c>
      <c r="I57" s="9">
        <v>2.8999999999999998E-3</v>
      </c>
      <c r="J57" s="9">
        <v>2.0000000000000001E-4</v>
      </c>
      <c r="K57" s="9">
        <v>2.7000000000000001E-3</v>
      </c>
      <c r="L57" s="9">
        <v>1.5E-3</v>
      </c>
      <c r="M57" s="9">
        <v>2E-3</v>
      </c>
      <c r="N57" s="9">
        <v>8.9999999999999998E-4</v>
      </c>
      <c r="O57" s="9"/>
      <c r="P57" s="9">
        <v>5.7000000000000002E-3</v>
      </c>
      <c r="Q57" s="9">
        <v>3.7000000000000002E-3</v>
      </c>
      <c r="R57" s="9"/>
      <c r="S57" s="9">
        <v>3.0999999999999999E-3</v>
      </c>
      <c r="T57" s="9">
        <v>1.5E-3</v>
      </c>
      <c r="U57" s="9">
        <v>4.1000000000000003E-3</v>
      </c>
      <c r="V57" s="9">
        <v>2.3999999999999998E-3</v>
      </c>
      <c r="W57" s="9">
        <v>0</v>
      </c>
      <c r="X57" s="9">
        <v>0</v>
      </c>
      <c r="Y57" s="9">
        <v>1.4200000000000001E-2</v>
      </c>
      <c r="Z57" s="9">
        <v>1.4E-3</v>
      </c>
      <c r="AA57" s="9">
        <v>3.8E-3</v>
      </c>
      <c r="AB57" s="9">
        <v>1.6999999999999999E-3</v>
      </c>
      <c r="AC57" s="9">
        <v>2.0999999999999999E-3</v>
      </c>
      <c r="AD57" s="9">
        <v>1.1000000000000001E-3</v>
      </c>
      <c r="AE57" s="9">
        <v>4.4000000000000003E-3</v>
      </c>
    </row>
    <row r="58" spans="2:31" x14ac:dyDescent="0.3">
      <c r="B58" s="5">
        <v>202522</v>
      </c>
      <c r="C58" s="5"/>
      <c r="D58" s="9">
        <v>2.7000000000000001E-3</v>
      </c>
      <c r="E58" s="9">
        <v>2.2000000000000001E-3</v>
      </c>
      <c r="F58" s="9">
        <v>2.8E-3</v>
      </c>
      <c r="G58" s="9">
        <v>2.3999999999999998E-3</v>
      </c>
      <c r="H58" s="9">
        <v>2E-3</v>
      </c>
      <c r="I58" s="9">
        <v>3.8999999999999998E-3</v>
      </c>
      <c r="J58" s="9">
        <v>6.9999999999999999E-4</v>
      </c>
      <c r="K58" s="9">
        <v>3.7000000000000002E-3</v>
      </c>
      <c r="L58" s="9">
        <v>2.2000000000000001E-3</v>
      </c>
      <c r="M58" s="9">
        <v>2.5000000000000001E-3</v>
      </c>
      <c r="N58" s="9">
        <v>2.2000000000000001E-3</v>
      </c>
      <c r="O58" s="9"/>
      <c r="P58" s="9">
        <v>8.3999999999999995E-3</v>
      </c>
      <c r="Q58" s="9">
        <v>3.3999999999999998E-3</v>
      </c>
      <c r="R58" s="9"/>
      <c r="S58" s="9">
        <v>3.0000000000000001E-3</v>
      </c>
      <c r="T58" s="9">
        <v>1.6999999999999999E-3</v>
      </c>
      <c r="U58" s="9">
        <v>2.9999999999999997E-4</v>
      </c>
      <c r="V58" s="9">
        <v>3.2000000000000002E-3</v>
      </c>
      <c r="W58" s="9"/>
      <c r="X58" s="9"/>
      <c r="Y58" s="9">
        <v>5.7999999999999996E-3</v>
      </c>
      <c r="Z58" s="9">
        <v>1.2999999999999999E-3</v>
      </c>
      <c r="AA58" s="9">
        <v>4.1000000000000003E-3</v>
      </c>
      <c r="AB58" s="9">
        <v>2.5000000000000001E-3</v>
      </c>
      <c r="AC58" s="9">
        <v>1.9E-3</v>
      </c>
      <c r="AD58" s="9">
        <v>1.1999999999999999E-3</v>
      </c>
      <c r="AE58" s="9">
        <v>2.3E-3</v>
      </c>
    </row>
    <row r="59" spans="2:31" x14ac:dyDescent="0.3">
      <c r="B59" s="5">
        <v>202523</v>
      </c>
      <c r="C59" s="5"/>
      <c r="D59" s="9">
        <v>3.0000000000000001E-3</v>
      </c>
      <c r="E59" s="9">
        <v>1.9E-3</v>
      </c>
      <c r="F59" s="9">
        <v>3.0999999999999999E-3</v>
      </c>
      <c r="G59" s="9">
        <v>1.6999999999999999E-3</v>
      </c>
      <c r="H59" s="9">
        <v>1.1000000000000001E-3</v>
      </c>
      <c r="I59" s="9">
        <v>1E-3</v>
      </c>
      <c r="J59" s="9">
        <v>2.2000000000000001E-3</v>
      </c>
      <c r="K59" s="9">
        <v>1.6999999999999999E-3</v>
      </c>
      <c r="L59" s="9">
        <v>4.7999999999999996E-3</v>
      </c>
      <c r="M59" s="9">
        <v>2.5000000000000001E-3</v>
      </c>
      <c r="N59" s="9">
        <v>5.1999999999999998E-3</v>
      </c>
      <c r="O59" s="9"/>
      <c r="P59" s="9">
        <v>9.4999999999999998E-3</v>
      </c>
      <c r="Q59" s="9">
        <v>3.5000000000000001E-3</v>
      </c>
      <c r="R59" s="9"/>
      <c r="S59" s="9">
        <v>3.0000000000000001E-3</v>
      </c>
      <c r="T59" s="9">
        <v>1.9E-3</v>
      </c>
      <c r="U59" s="9"/>
      <c r="V59" s="9">
        <v>2.5999999999999999E-3</v>
      </c>
      <c r="W59" s="9"/>
      <c r="X59" s="9"/>
      <c r="Y59" s="9">
        <v>3.8E-3</v>
      </c>
      <c r="Z59" s="9">
        <v>1.6000000000000001E-3</v>
      </c>
      <c r="AA59" s="9">
        <v>6.1999999999999998E-3</v>
      </c>
      <c r="AB59" s="9">
        <v>3.5000000000000001E-3</v>
      </c>
      <c r="AC59" s="9">
        <v>1.9E-3</v>
      </c>
      <c r="AD59" s="9">
        <v>1.4E-3</v>
      </c>
      <c r="AE59" s="9">
        <v>2.3999999999999998E-3</v>
      </c>
    </row>
    <row r="60" spans="2:31" x14ac:dyDescent="0.3">
      <c r="B60" s="5">
        <v>202524</v>
      </c>
      <c r="C60" s="5"/>
      <c r="D60" s="9">
        <v>3.3E-3</v>
      </c>
      <c r="E60" s="9">
        <v>2.5999999999999999E-3</v>
      </c>
      <c r="F60" s="9">
        <v>3.3E-3</v>
      </c>
      <c r="G60" s="9">
        <v>2.3999999999999998E-3</v>
      </c>
      <c r="H60" s="9">
        <v>2.0999999999999999E-3</v>
      </c>
      <c r="I60" s="9">
        <v>5.8999999999999999E-3</v>
      </c>
      <c r="J60" s="9">
        <v>3.0999999999999999E-3</v>
      </c>
      <c r="K60" s="9">
        <v>2.3999999999999998E-3</v>
      </c>
      <c r="L60" s="9">
        <v>3.3E-3</v>
      </c>
      <c r="M60" s="9">
        <v>5.1999999999999998E-3</v>
      </c>
      <c r="N60" s="9">
        <v>5.1000000000000004E-3</v>
      </c>
      <c r="O60" s="9"/>
      <c r="P60" s="9">
        <v>8.9999999999999993E-3</v>
      </c>
      <c r="Q60" s="9">
        <v>4.1999999999999997E-3</v>
      </c>
      <c r="R60" s="9"/>
      <c r="S60" s="9">
        <v>2.8999999999999998E-3</v>
      </c>
      <c r="T60" s="9">
        <v>1.9E-3</v>
      </c>
      <c r="U60" s="9"/>
      <c r="V60" s="9">
        <v>2.5000000000000001E-3</v>
      </c>
      <c r="W60" s="9"/>
      <c r="X60" s="9"/>
      <c r="Y60" s="9">
        <v>4.1999999999999997E-3</v>
      </c>
      <c r="Z60" s="9">
        <v>1.6000000000000001E-3</v>
      </c>
      <c r="AA60" s="9">
        <v>6.3E-3</v>
      </c>
      <c r="AB60" s="9">
        <v>3.0000000000000001E-3</v>
      </c>
      <c r="AC60" s="9">
        <v>2.3E-3</v>
      </c>
      <c r="AD60" s="9">
        <v>1.8E-3</v>
      </c>
      <c r="AE60" s="9">
        <v>2.0999999999999999E-3</v>
      </c>
    </row>
    <row r="61" spans="2:31" x14ac:dyDescent="0.3">
      <c r="B61" s="5">
        <v>202525</v>
      </c>
      <c r="C61" s="5"/>
      <c r="D61" s="9">
        <v>3.2000000000000002E-3</v>
      </c>
      <c r="E61" s="9">
        <v>2.8999999999999998E-3</v>
      </c>
      <c r="F61" s="9">
        <v>3.2000000000000002E-3</v>
      </c>
      <c r="G61" s="9">
        <v>2.0999999999999999E-3</v>
      </c>
      <c r="H61" s="9">
        <v>2.0999999999999999E-3</v>
      </c>
      <c r="I61" s="9">
        <v>6.8999999999999999E-3</v>
      </c>
      <c r="J61" s="9">
        <v>4.3E-3</v>
      </c>
      <c r="K61" s="9">
        <v>3.8999999999999998E-3</v>
      </c>
      <c r="L61" s="9">
        <v>4.4000000000000003E-3</v>
      </c>
      <c r="M61" s="9">
        <v>6.4000000000000003E-3</v>
      </c>
      <c r="N61" s="9">
        <v>4.4999999999999997E-3</v>
      </c>
      <c r="O61" s="9"/>
      <c r="P61" s="9">
        <v>9.7000000000000003E-3</v>
      </c>
      <c r="Q61" s="9">
        <v>3.3999999999999998E-3</v>
      </c>
      <c r="R61" s="9"/>
      <c r="S61" s="9">
        <v>3.0000000000000001E-3</v>
      </c>
      <c r="T61" s="9">
        <v>1.9E-3</v>
      </c>
      <c r="U61" s="9"/>
      <c r="V61" s="9">
        <v>3.3999999999999998E-3</v>
      </c>
      <c r="W61" s="9"/>
      <c r="X61" s="9"/>
      <c r="Y61" s="9">
        <v>5.0000000000000001E-3</v>
      </c>
      <c r="Z61" s="9">
        <v>1.1999999999999999E-3</v>
      </c>
      <c r="AA61" s="9">
        <v>3.5999999999999999E-3</v>
      </c>
      <c r="AB61" s="9">
        <v>3.0999999999999999E-3</v>
      </c>
      <c r="AC61" s="9">
        <v>2.8E-3</v>
      </c>
      <c r="AD61" s="9">
        <v>1.6999999999999999E-3</v>
      </c>
      <c r="AE61" s="9">
        <v>1.8E-3</v>
      </c>
    </row>
    <row r="62" spans="2:31" x14ac:dyDescent="0.3">
      <c r="B62" s="5">
        <v>202526</v>
      </c>
      <c r="C62" s="5"/>
      <c r="D62" s="9">
        <v>3.5000000000000001E-3</v>
      </c>
      <c r="E62" s="9">
        <v>2.3E-3</v>
      </c>
      <c r="F62" s="9">
        <v>3.5999999999999999E-3</v>
      </c>
      <c r="G62" s="9">
        <v>2E-3</v>
      </c>
      <c r="H62" s="9">
        <v>1.6000000000000001E-3</v>
      </c>
      <c r="I62" s="9">
        <v>7.0000000000000001E-3</v>
      </c>
      <c r="J62" s="9">
        <v>3.3999999999999998E-3</v>
      </c>
      <c r="K62" s="9">
        <v>2.5000000000000001E-3</v>
      </c>
      <c r="L62" s="9">
        <v>3.3E-3</v>
      </c>
      <c r="M62" s="9">
        <v>6.0000000000000001E-3</v>
      </c>
      <c r="N62" s="9">
        <v>2.7000000000000001E-3</v>
      </c>
      <c r="O62" s="9"/>
      <c r="P62" s="9">
        <v>1.9300000000000001E-2</v>
      </c>
      <c r="Q62" s="9">
        <v>3.2000000000000002E-3</v>
      </c>
      <c r="R62" s="9"/>
      <c r="S62" s="9">
        <v>3.3E-3</v>
      </c>
      <c r="T62" s="9">
        <v>1.9E-3</v>
      </c>
      <c r="U62" s="9"/>
      <c r="V62" s="9">
        <v>3.5999999999999999E-3</v>
      </c>
      <c r="W62" s="9"/>
      <c r="X62" s="9"/>
      <c r="Y62" s="9">
        <v>5.4999999999999997E-3</v>
      </c>
      <c r="Z62" s="9">
        <v>1.1999999999999999E-3</v>
      </c>
      <c r="AA62" s="9">
        <v>5.4999999999999997E-3</v>
      </c>
      <c r="AB62" s="9">
        <v>3.3E-3</v>
      </c>
      <c r="AC62" s="9">
        <v>3.0999999999999999E-3</v>
      </c>
      <c r="AD62" s="9">
        <v>1.6999999999999999E-3</v>
      </c>
      <c r="AE62" s="9">
        <v>2.2000000000000001E-3</v>
      </c>
    </row>
    <row r="63" spans="2:31" x14ac:dyDescent="0.3">
      <c r="B63" s="5">
        <v>202527</v>
      </c>
      <c r="C63" s="5"/>
      <c r="D63" s="9">
        <v>3.5000000000000001E-3</v>
      </c>
      <c r="E63" s="9">
        <v>2.7000000000000001E-3</v>
      </c>
      <c r="F63" s="9">
        <v>3.5999999999999999E-3</v>
      </c>
      <c r="G63" s="9">
        <v>1.5E-3</v>
      </c>
      <c r="H63" s="9">
        <v>2.2000000000000001E-3</v>
      </c>
      <c r="I63" s="9">
        <v>5.0000000000000001E-3</v>
      </c>
      <c r="J63" s="9">
        <v>4.4000000000000003E-3</v>
      </c>
      <c r="K63" s="9">
        <v>4.4999999999999997E-3</v>
      </c>
      <c r="L63" s="9">
        <v>3.5999999999999999E-3</v>
      </c>
      <c r="M63" s="9">
        <v>4.4000000000000003E-3</v>
      </c>
      <c r="N63" s="9">
        <v>1.4E-3</v>
      </c>
      <c r="O63" s="9"/>
      <c r="P63" s="9">
        <v>2.12E-2</v>
      </c>
      <c r="Q63" s="9">
        <v>4.1999999999999997E-3</v>
      </c>
      <c r="R63" s="9"/>
      <c r="S63" s="9">
        <v>3.2000000000000002E-3</v>
      </c>
      <c r="T63" s="9">
        <v>1.9E-3</v>
      </c>
      <c r="U63" s="9"/>
      <c r="V63" s="9">
        <v>3.3999999999999998E-3</v>
      </c>
      <c r="W63" s="9"/>
      <c r="X63" s="9"/>
      <c r="Y63" s="9">
        <v>5.7999999999999996E-3</v>
      </c>
      <c r="Z63" s="9">
        <v>1.1999999999999999E-3</v>
      </c>
      <c r="AA63" s="9">
        <v>6.3E-3</v>
      </c>
      <c r="AB63" s="9">
        <v>3.8999999999999998E-3</v>
      </c>
      <c r="AC63" s="9">
        <v>2.7000000000000001E-3</v>
      </c>
      <c r="AD63" s="9">
        <v>1.1999999999999999E-3</v>
      </c>
      <c r="AE63" s="9">
        <v>1.9E-3</v>
      </c>
    </row>
    <row r="64" spans="2:31" x14ac:dyDescent="0.3">
      <c r="B64" s="5">
        <v>202528</v>
      </c>
      <c r="C64" s="5"/>
      <c r="D64" s="9">
        <v>3.8E-3</v>
      </c>
      <c r="E64" s="9">
        <v>2.0999999999999999E-3</v>
      </c>
      <c r="F64" s="9">
        <v>3.8999999999999998E-3</v>
      </c>
      <c r="G64" s="9">
        <v>1.8E-3</v>
      </c>
      <c r="H64" s="9">
        <v>1.8E-3</v>
      </c>
      <c r="I64" s="9">
        <v>3.0000000000000001E-3</v>
      </c>
      <c r="J64" s="9">
        <v>1.9E-3</v>
      </c>
      <c r="K64" s="9">
        <v>2.5000000000000001E-3</v>
      </c>
      <c r="L64" s="9">
        <v>3.0999999999999999E-3</v>
      </c>
      <c r="M64" s="9">
        <v>5.7999999999999996E-3</v>
      </c>
      <c r="N64" s="9">
        <v>1.5E-3</v>
      </c>
      <c r="O64" s="9"/>
      <c r="P64" s="9">
        <v>1.24E-2</v>
      </c>
      <c r="Q64" s="9">
        <v>4.7000000000000002E-3</v>
      </c>
      <c r="R64" s="9"/>
      <c r="S64" s="9">
        <v>8.6999999999999994E-3</v>
      </c>
      <c r="T64" s="9">
        <v>2.0999999999999999E-3</v>
      </c>
      <c r="U64" s="9">
        <v>1.5E-3</v>
      </c>
      <c r="V64" s="9">
        <v>4.5999999999999999E-3</v>
      </c>
      <c r="W64" s="9">
        <v>8.0000000000000004E-4</v>
      </c>
      <c r="X64" s="9">
        <v>2.2000000000000001E-3</v>
      </c>
      <c r="Y64" s="9">
        <v>6.4000000000000003E-3</v>
      </c>
      <c r="Z64" s="9">
        <v>1.8E-3</v>
      </c>
      <c r="AA64" s="9">
        <v>6.4000000000000003E-3</v>
      </c>
      <c r="AB64" s="9">
        <v>3.7000000000000002E-3</v>
      </c>
      <c r="AC64" s="9">
        <v>3.0999999999999999E-3</v>
      </c>
      <c r="AD64" s="9">
        <v>2.0999999999999999E-3</v>
      </c>
      <c r="AE64" s="9">
        <v>2.3999999999999998E-3</v>
      </c>
    </row>
    <row r="65" spans="2:31" x14ac:dyDescent="0.3">
      <c r="B65" s="5">
        <v>202529</v>
      </c>
      <c r="C65" s="5"/>
      <c r="D65" s="9">
        <v>3.3E-3</v>
      </c>
      <c r="E65" s="9">
        <v>2.8E-3</v>
      </c>
      <c r="F65" s="9">
        <v>3.3E-3</v>
      </c>
      <c r="G65" s="9">
        <v>2.8999999999999998E-3</v>
      </c>
      <c r="H65" s="9">
        <v>1.6000000000000001E-3</v>
      </c>
      <c r="I65" s="9">
        <v>6.1000000000000004E-3</v>
      </c>
      <c r="J65" s="9">
        <v>3.3999999999999998E-3</v>
      </c>
      <c r="K65" s="9">
        <v>3.2000000000000002E-3</v>
      </c>
      <c r="L65" s="9">
        <v>4.3E-3</v>
      </c>
      <c r="M65" s="9">
        <v>3.8E-3</v>
      </c>
      <c r="N65" s="9">
        <v>1.4E-3</v>
      </c>
      <c r="O65" s="9"/>
      <c r="P65" s="9">
        <v>1.5800000000000002E-2</v>
      </c>
      <c r="Q65" s="9">
        <v>3.3999999999999998E-3</v>
      </c>
      <c r="R65" s="9"/>
      <c r="S65" s="9">
        <v>3.5000000000000001E-3</v>
      </c>
      <c r="T65" s="9">
        <v>2.0999999999999999E-3</v>
      </c>
      <c r="U65" s="9">
        <v>1.6000000000000001E-3</v>
      </c>
      <c r="V65" s="9">
        <v>4.1999999999999997E-3</v>
      </c>
      <c r="W65" s="9">
        <v>1.1000000000000001E-3</v>
      </c>
      <c r="X65" s="9">
        <v>1.6999999999999999E-3</v>
      </c>
      <c r="Y65" s="9">
        <v>5.8999999999999999E-3</v>
      </c>
      <c r="Z65" s="9">
        <v>1.6999999999999999E-3</v>
      </c>
      <c r="AA65" s="9">
        <v>7.3000000000000001E-3</v>
      </c>
      <c r="AB65" s="9">
        <v>3.3999999999999998E-3</v>
      </c>
      <c r="AC65" s="9">
        <v>3.3E-3</v>
      </c>
      <c r="AD65" s="9">
        <v>1.6000000000000001E-3</v>
      </c>
      <c r="AE65" s="9">
        <v>2E-3</v>
      </c>
    </row>
    <row r="66" spans="2:31" x14ac:dyDescent="0.3">
      <c r="B66" s="5">
        <v>202530</v>
      </c>
      <c r="C66" s="5"/>
      <c r="D66" s="9">
        <v>4.0000000000000001E-3</v>
      </c>
      <c r="E66" s="9">
        <v>2.5000000000000001E-3</v>
      </c>
      <c r="F66" s="9">
        <v>4.1000000000000003E-3</v>
      </c>
      <c r="G66" s="9">
        <v>2.0999999999999999E-3</v>
      </c>
      <c r="H66" s="9">
        <v>2E-3</v>
      </c>
      <c r="I66" s="9">
        <v>4.1000000000000003E-3</v>
      </c>
      <c r="J66" s="9">
        <v>2.7000000000000001E-3</v>
      </c>
      <c r="K66" s="9">
        <v>3.0000000000000001E-3</v>
      </c>
      <c r="L66" s="9">
        <v>3.8E-3</v>
      </c>
      <c r="M66" s="9">
        <v>5.7000000000000002E-3</v>
      </c>
      <c r="N66" s="9">
        <v>1.5E-3</v>
      </c>
      <c r="O66" s="9"/>
      <c r="P66" s="9">
        <v>1.2500000000000001E-2</v>
      </c>
      <c r="Q66" s="9">
        <v>3.7000000000000002E-3</v>
      </c>
      <c r="R66" s="9"/>
      <c r="S66" s="9">
        <v>1.0800000000000001E-2</v>
      </c>
      <c r="T66" s="9">
        <v>2E-3</v>
      </c>
      <c r="U66" s="9">
        <v>1.6999999999999999E-3</v>
      </c>
      <c r="V66" s="9">
        <v>4.7000000000000002E-3</v>
      </c>
      <c r="W66" s="9">
        <v>1.1000000000000001E-3</v>
      </c>
      <c r="X66" s="9">
        <v>1.5E-3</v>
      </c>
      <c r="Y66" s="9">
        <v>7.7999999999999996E-3</v>
      </c>
      <c r="Z66" s="9">
        <v>2.3999999999999998E-3</v>
      </c>
      <c r="AA66" s="9">
        <v>5.7000000000000002E-3</v>
      </c>
      <c r="AB66" s="9">
        <v>3.0999999999999999E-3</v>
      </c>
      <c r="AC66" s="9">
        <v>3.3E-3</v>
      </c>
      <c r="AD66" s="9">
        <v>1.6000000000000001E-3</v>
      </c>
      <c r="AE66" s="9">
        <v>2.3999999999999998E-3</v>
      </c>
    </row>
    <row r="67" spans="2:31" x14ac:dyDescent="0.3">
      <c r="B67" s="5">
        <v>202531</v>
      </c>
      <c r="C67" s="5"/>
      <c r="D67" s="9">
        <v>4.7999999999999996E-3</v>
      </c>
      <c r="E67" s="9">
        <v>3.5000000000000001E-3</v>
      </c>
      <c r="F67" s="9">
        <v>4.7999999999999996E-3</v>
      </c>
      <c r="G67" s="9">
        <v>3.3E-3</v>
      </c>
      <c r="H67" s="9">
        <v>3.5999999999999999E-3</v>
      </c>
      <c r="I67" s="9">
        <v>7.1000000000000004E-3</v>
      </c>
      <c r="J67" s="9">
        <v>4.8999999999999998E-3</v>
      </c>
      <c r="K67" s="9">
        <v>1.5E-3</v>
      </c>
      <c r="L67" s="9">
        <v>3.3999999999999998E-3</v>
      </c>
      <c r="M67" s="9">
        <v>7.4999999999999997E-3</v>
      </c>
      <c r="N67" s="9">
        <v>5.7999999999999996E-3</v>
      </c>
      <c r="O67" s="9"/>
      <c r="P67" s="9">
        <v>1.3299999999999999E-2</v>
      </c>
      <c r="Q67" s="9">
        <v>4.1999999999999997E-3</v>
      </c>
      <c r="R67" s="9"/>
      <c r="S67" s="9">
        <v>1.0800000000000001E-2</v>
      </c>
      <c r="T67" s="9">
        <v>2.3999999999999998E-3</v>
      </c>
      <c r="U67" s="9">
        <v>1.8E-3</v>
      </c>
      <c r="V67" s="9">
        <v>7.7999999999999996E-3</v>
      </c>
      <c r="W67" s="9">
        <v>1.6000000000000001E-3</v>
      </c>
      <c r="X67" s="9">
        <v>2.3E-3</v>
      </c>
      <c r="Y67" s="9">
        <v>7.9000000000000008E-3</v>
      </c>
      <c r="Z67" s="9">
        <v>1.9E-3</v>
      </c>
      <c r="AA67" s="9">
        <v>6.4000000000000003E-3</v>
      </c>
      <c r="AB67" s="9">
        <v>3.5999999999999999E-3</v>
      </c>
      <c r="AC67" s="9">
        <v>4.4000000000000003E-3</v>
      </c>
      <c r="AD67" s="9">
        <v>2.5000000000000001E-3</v>
      </c>
      <c r="AE67" s="9">
        <v>2E-3</v>
      </c>
    </row>
    <row r="68" spans="2:31" x14ac:dyDescent="0.3">
      <c r="B68" s="5">
        <v>202532</v>
      </c>
      <c r="C68" s="5"/>
      <c r="D68" s="9">
        <v>4.4000000000000003E-3</v>
      </c>
      <c r="E68" s="9">
        <v>3.8E-3</v>
      </c>
      <c r="F68" s="9">
        <v>4.4999999999999997E-3</v>
      </c>
      <c r="G68" s="9">
        <v>4.7999999999999996E-3</v>
      </c>
      <c r="H68" s="9">
        <v>2.5999999999999999E-3</v>
      </c>
      <c r="I68" s="9">
        <v>8.2000000000000007E-3</v>
      </c>
      <c r="J68" s="9">
        <v>4.7000000000000002E-3</v>
      </c>
      <c r="K68" s="9">
        <v>3.8E-3</v>
      </c>
      <c r="L68" s="9">
        <v>3.2000000000000002E-3</v>
      </c>
      <c r="M68" s="9">
        <v>6.4000000000000003E-3</v>
      </c>
      <c r="N68" s="9">
        <v>4.4000000000000003E-3</v>
      </c>
      <c r="O68" s="9"/>
      <c r="P68" s="9">
        <v>1.2699999999999999E-2</v>
      </c>
      <c r="Q68" s="9">
        <v>4.8999999999999998E-3</v>
      </c>
      <c r="R68" s="9"/>
      <c r="S68" s="9">
        <v>5.0000000000000001E-3</v>
      </c>
      <c r="T68" s="9">
        <v>1.6000000000000001E-3</v>
      </c>
      <c r="U68" s="9">
        <v>1.6999999999999999E-3</v>
      </c>
      <c r="V68" s="9">
        <v>5.4000000000000003E-3</v>
      </c>
      <c r="W68" s="9">
        <v>3.2000000000000002E-3</v>
      </c>
      <c r="X68" s="9">
        <v>2.3E-3</v>
      </c>
      <c r="Y68" s="9">
        <v>9.2999999999999992E-3</v>
      </c>
      <c r="Z68" s="9">
        <v>2E-3</v>
      </c>
      <c r="AA68" s="9">
        <v>5.4999999999999997E-3</v>
      </c>
      <c r="AB68" s="9">
        <v>4.1999999999999997E-3</v>
      </c>
      <c r="AC68" s="9">
        <v>7.4000000000000003E-3</v>
      </c>
      <c r="AD68" s="9">
        <v>2.0999999999999999E-3</v>
      </c>
      <c r="AE68" s="9">
        <v>2.7000000000000001E-3</v>
      </c>
    </row>
    <row r="69" spans="2:31" x14ac:dyDescent="0.3">
      <c r="B69" s="5">
        <v>202533</v>
      </c>
      <c r="C69" s="5"/>
      <c r="D69" s="9">
        <v>5.0000000000000001E-3</v>
      </c>
      <c r="E69" s="9">
        <v>3.5999999999999999E-3</v>
      </c>
      <c r="F69" s="9">
        <v>5.1000000000000004E-3</v>
      </c>
      <c r="G69" s="9">
        <v>4.7999999999999996E-3</v>
      </c>
      <c r="H69" s="9">
        <v>3.0000000000000001E-3</v>
      </c>
      <c r="I69" s="9">
        <v>6.1999999999999998E-3</v>
      </c>
      <c r="J69" s="9">
        <v>4.1999999999999997E-3</v>
      </c>
      <c r="K69" s="9">
        <v>2E-3</v>
      </c>
      <c r="L69" s="9">
        <v>2.5000000000000001E-3</v>
      </c>
      <c r="M69" s="9">
        <v>5.3E-3</v>
      </c>
      <c r="N69" s="9">
        <v>4.7000000000000002E-3</v>
      </c>
      <c r="O69" s="9"/>
      <c r="P69" s="9">
        <v>1.66E-2</v>
      </c>
      <c r="Q69" s="9">
        <v>8.5000000000000006E-3</v>
      </c>
      <c r="R69" s="9"/>
      <c r="S69" s="9">
        <v>2.3999999999999998E-3</v>
      </c>
      <c r="T69" s="9">
        <v>1.5E-3</v>
      </c>
      <c r="U69" s="9">
        <v>1.8E-3</v>
      </c>
      <c r="V69" s="9">
        <v>6.6E-3</v>
      </c>
      <c r="W69" s="9">
        <v>2.5999999999999999E-3</v>
      </c>
      <c r="X69" s="9">
        <v>1.6999999999999999E-3</v>
      </c>
      <c r="Y69" s="9">
        <v>1.04E-2</v>
      </c>
      <c r="Z69" s="9">
        <v>3.2000000000000002E-3</v>
      </c>
      <c r="AA69" s="9">
        <v>0</v>
      </c>
      <c r="AB69" s="9">
        <v>2.5000000000000001E-3</v>
      </c>
      <c r="AC69" s="9">
        <v>8.8000000000000005E-3</v>
      </c>
      <c r="AD69" s="9">
        <v>3.3999999999999998E-3</v>
      </c>
      <c r="AE69" s="9">
        <v>3.0000000000000001E-3</v>
      </c>
    </row>
    <row r="70" spans="2:31" x14ac:dyDescent="0.3">
      <c r="B70" s="5">
        <v>202534</v>
      </c>
      <c r="C70" s="5"/>
      <c r="D70" s="9">
        <v>4.4999999999999997E-3</v>
      </c>
      <c r="E70" s="9">
        <v>3.8999999999999998E-3</v>
      </c>
      <c r="F70" s="9">
        <v>4.5999999999999999E-3</v>
      </c>
      <c r="G70" s="9">
        <v>5.0000000000000001E-3</v>
      </c>
      <c r="H70" s="9">
        <v>3.3E-3</v>
      </c>
      <c r="I70" s="9">
        <v>5.5999999999999999E-3</v>
      </c>
      <c r="J70" s="9">
        <v>4.0000000000000001E-3</v>
      </c>
      <c r="K70" s="9">
        <v>1E-3</v>
      </c>
      <c r="L70" s="9">
        <v>3.3999999999999998E-3</v>
      </c>
      <c r="M70" s="9">
        <v>5.0000000000000001E-3</v>
      </c>
      <c r="N70" s="9">
        <v>3.8999999999999998E-3</v>
      </c>
      <c r="O70" s="9"/>
      <c r="P70" s="9">
        <v>1.9199999999999998E-2</v>
      </c>
      <c r="Q70" s="9">
        <v>6.1999999999999998E-3</v>
      </c>
      <c r="R70" s="9"/>
      <c r="S70" s="9">
        <v>2.3999999999999998E-3</v>
      </c>
      <c r="T70" s="9">
        <v>1.5E-3</v>
      </c>
      <c r="U70" s="9">
        <v>2.7000000000000001E-3</v>
      </c>
      <c r="V70" s="9">
        <v>4.4000000000000003E-3</v>
      </c>
      <c r="W70" s="9">
        <v>5.1000000000000004E-3</v>
      </c>
      <c r="X70" s="9">
        <v>2.5000000000000001E-3</v>
      </c>
      <c r="Y70" s="9">
        <v>1.09E-2</v>
      </c>
      <c r="Z70" s="9">
        <v>3.3E-3</v>
      </c>
      <c r="AA70" s="9"/>
      <c r="AB70" s="9"/>
      <c r="AC70" s="9">
        <v>6.4999999999999997E-3</v>
      </c>
      <c r="AD70" s="9">
        <v>2.8E-3</v>
      </c>
      <c r="AE70" s="9">
        <v>2.8E-3</v>
      </c>
    </row>
    <row r="71" spans="2:31" x14ac:dyDescent="0.3">
      <c r="B71" s="5">
        <v>202535</v>
      </c>
      <c r="C71" s="5"/>
      <c r="D71" s="9">
        <v>4.4999999999999997E-3</v>
      </c>
      <c r="E71" s="9">
        <v>4.1000000000000003E-3</v>
      </c>
      <c r="F71" s="9">
        <v>4.5999999999999999E-3</v>
      </c>
      <c r="G71" s="9">
        <v>3.3E-3</v>
      </c>
      <c r="H71" s="9">
        <v>4.0000000000000001E-3</v>
      </c>
      <c r="I71" s="9">
        <v>6.6E-3</v>
      </c>
      <c r="J71" s="9">
        <v>4.3E-3</v>
      </c>
      <c r="K71" s="9"/>
      <c r="L71" s="9">
        <v>3.3999999999999998E-3</v>
      </c>
      <c r="M71" s="9">
        <v>5.1999999999999998E-3</v>
      </c>
      <c r="N71" s="9">
        <v>3.7000000000000002E-3</v>
      </c>
      <c r="O71" s="9"/>
      <c r="P71" s="9">
        <v>1.89E-2</v>
      </c>
      <c r="Q71" s="9">
        <v>7.1999999999999998E-3</v>
      </c>
      <c r="R71" s="9"/>
      <c r="S71" s="9">
        <v>1.8E-3</v>
      </c>
      <c r="T71" s="9">
        <v>1.9E-3</v>
      </c>
      <c r="U71" s="9">
        <v>3.0999999999999999E-3</v>
      </c>
      <c r="V71" s="9">
        <v>4.4000000000000003E-3</v>
      </c>
      <c r="W71" s="9">
        <v>2.8999999999999998E-3</v>
      </c>
      <c r="X71" s="9">
        <v>2.5000000000000001E-3</v>
      </c>
      <c r="Y71" s="9">
        <v>1.23E-2</v>
      </c>
      <c r="Z71" s="9">
        <v>3.5999999999999999E-3</v>
      </c>
      <c r="AA71" s="9"/>
      <c r="AB71" s="9"/>
      <c r="AC71" s="9">
        <v>4.5999999999999999E-3</v>
      </c>
      <c r="AD71" s="9">
        <v>1.6999999999999999E-3</v>
      </c>
      <c r="AE71" s="9">
        <v>3.3E-3</v>
      </c>
    </row>
    <row r="72" spans="2:31" x14ac:dyDescent="0.3">
      <c r="B72" s="5">
        <v>202536</v>
      </c>
      <c r="C72" s="5"/>
      <c r="D72" s="9">
        <v>4.1999999999999997E-3</v>
      </c>
      <c r="E72" s="9">
        <v>3.8E-3</v>
      </c>
      <c r="F72" s="9">
        <v>4.1999999999999997E-3</v>
      </c>
      <c r="G72" s="9">
        <v>3.2000000000000002E-3</v>
      </c>
      <c r="H72" s="9">
        <v>3.2000000000000002E-3</v>
      </c>
      <c r="I72" s="9">
        <v>6.4000000000000003E-3</v>
      </c>
      <c r="J72" s="9">
        <v>3.0000000000000001E-3</v>
      </c>
      <c r="K72" s="9"/>
      <c r="L72" s="9">
        <v>4.5999999999999999E-3</v>
      </c>
      <c r="M72" s="9">
        <v>2.2000000000000001E-3</v>
      </c>
      <c r="N72" s="9">
        <v>3.3999999999999998E-3</v>
      </c>
      <c r="O72" s="9">
        <v>5.9999999999999995E-4</v>
      </c>
      <c r="P72" s="9">
        <v>1.3899999999999999E-2</v>
      </c>
      <c r="Q72" s="9">
        <v>5.4999999999999997E-3</v>
      </c>
      <c r="R72" s="9"/>
      <c r="S72" s="9">
        <v>1.5E-3</v>
      </c>
      <c r="T72" s="9">
        <v>1.6000000000000001E-3</v>
      </c>
      <c r="U72" s="9">
        <v>4.0000000000000001E-3</v>
      </c>
      <c r="V72" s="9">
        <v>3.5999999999999999E-3</v>
      </c>
      <c r="W72" s="9">
        <v>3.7000000000000002E-3</v>
      </c>
      <c r="X72" s="9">
        <v>3.0000000000000001E-3</v>
      </c>
      <c r="Y72" s="9">
        <v>1.23E-2</v>
      </c>
      <c r="Z72" s="9">
        <v>5.1999999999999998E-3</v>
      </c>
      <c r="AA72" s="9"/>
      <c r="AB72" s="9"/>
      <c r="AC72" s="9">
        <v>4.0000000000000001E-3</v>
      </c>
      <c r="AD72" s="9">
        <v>2.0999999999999999E-3</v>
      </c>
      <c r="AE72" s="9">
        <v>3.0999999999999999E-3</v>
      </c>
    </row>
    <row r="73" spans="2:31" x14ac:dyDescent="0.3">
      <c r="B73" s="5">
        <v>202537</v>
      </c>
      <c r="C73" s="5"/>
      <c r="D73" s="9">
        <v>4.8999999999999998E-3</v>
      </c>
      <c r="E73" s="9">
        <v>4.7000000000000002E-3</v>
      </c>
      <c r="F73" s="9">
        <v>4.8999999999999998E-3</v>
      </c>
      <c r="G73" s="9">
        <v>4.0000000000000001E-3</v>
      </c>
      <c r="H73" s="9">
        <v>3.2000000000000002E-3</v>
      </c>
      <c r="I73" s="9">
        <v>9.2999999999999992E-3</v>
      </c>
      <c r="J73" s="9">
        <v>6.3E-3</v>
      </c>
      <c r="K73" s="9"/>
      <c r="L73" s="9">
        <v>4.1999999999999997E-3</v>
      </c>
      <c r="M73" s="9"/>
      <c r="N73" s="9">
        <v>3.3999999999999998E-3</v>
      </c>
      <c r="O73" s="9">
        <v>1.11E-2</v>
      </c>
      <c r="P73" s="9">
        <v>1.14E-2</v>
      </c>
      <c r="Q73" s="9">
        <v>1.0500000000000001E-2</v>
      </c>
      <c r="R73" s="9"/>
      <c r="S73" s="9">
        <v>1.6000000000000001E-3</v>
      </c>
      <c r="T73" s="9">
        <v>1.6999999999999999E-3</v>
      </c>
      <c r="U73" s="9">
        <v>3.5999999999999999E-3</v>
      </c>
      <c r="V73" s="9">
        <v>4.4999999999999997E-3</v>
      </c>
      <c r="W73" s="9">
        <v>3.8999999999999998E-3</v>
      </c>
      <c r="X73" s="9">
        <v>4.1999999999999997E-3</v>
      </c>
      <c r="Y73" s="9">
        <v>1.1599999999999999E-2</v>
      </c>
      <c r="Z73" s="9">
        <v>3.7000000000000002E-3</v>
      </c>
      <c r="AA73" s="9"/>
      <c r="AB73" s="9"/>
      <c r="AC73" s="9">
        <v>4.4000000000000003E-3</v>
      </c>
      <c r="AD73" s="9">
        <v>3.3999999999999998E-3</v>
      </c>
      <c r="AE73" s="9">
        <v>3.3E-3</v>
      </c>
    </row>
    <row r="74" spans="2:31" x14ac:dyDescent="0.3">
      <c r="B74" s="5">
        <v>202538</v>
      </c>
      <c r="C74" s="5"/>
      <c r="D74" s="9">
        <v>4.5999999999999999E-3</v>
      </c>
      <c r="E74" s="9">
        <v>4.7000000000000002E-3</v>
      </c>
      <c r="F74" s="9">
        <v>4.5999999999999999E-3</v>
      </c>
      <c r="G74" s="9">
        <v>4.0000000000000001E-3</v>
      </c>
      <c r="H74" s="9">
        <v>3.7000000000000002E-3</v>
      </c>
      <c r="I74" s="9">
        <v>8.2000000000000007E-3</v>
      </c>
      <c r="J74" s="9">
        <v>6.1000000000000004E-3</v>
      </c>
      <c r="K74" s="9"/>
      <c r="L74" s="9">
        <v>3.5000000000000001E-3</v>
      </c>
      <c r="M74" s="9"/>
      <c r="N74" s="9">
        <v>3.8999999999999998E-3</v>
      </c>
      <c r="O74" s="9">
        <v>6.0000000000000001E-3</v>
      </c>
      <c r="P74" s="9">
        <v>1.0200000000000001E-2</v>
      </c>
      <c r="Q74" s="9">
        <v>8.5000000000000006E-3</v>
      </c>
      <c r="R74" s="9"/>
      <c r="S74" s="9">
        <v>1.8E-3</v>
      </c>
      <c r="T74" s="9">
        <v>1.2999999999999999E-3</v>
      </c>
      <c r="U74" s="9">
        <v>3.8E-3</v>
      </c>
      <c r="V74" s="9">
        <v>3.3999999999999998E-3</v>
      </c>
      <c r="W74" s="9">
        <v>6.4000000000000003E-3</v>
      </c>
      <c r="X74" s="9">
        <v>7.9000000000000008E-3</v>
      </c>
      <c r="Y74" s="9">
        <v>9.7999999999999997E-3</v>
      </c>
      <c r="Z74" s="9">
        <v>3.0000000000000001E-3</v>
      </c>
      <c r="AA74" s="9"/>
      <c r="AB74" s="9"/>
      <c r="AC74" s="9">
        <v>4.3E-3</v>
      </c>
      <c r="AD74" s="9">
        <v>3.0999999999999999E-3</v>
      </c>
      <c r="AE74" s="9">
        <v>3.2000000000000002E-3</v>
      </c>
    </row>
    <row r="75" spans="2:31" x14ac:dyDescent="0.3">
      <c r="B75" s="5">
        <v>202539</v>
      </c>
      <c r="C75" s="5"/>
      <c r="D75" s="9">
        <v>4.1999999999999997E-3</v>
      </c>
      <c r="E75" s="9">
        <v>5.1000000000000004E-3</v>
      </c>
      <c r="F75" s="9">
        <v>4.1999999999999997E-3</v>
      </c>
      <c r="G75" s="9">
        <v>3.3E-3</v>
      </c>
      <c r="H75" s="9">
        <v>3.3E-3</v>
      </c>
      <c r="I75" s="9">
        <v>1.1299999999999999E-2</v>
      </c>
      <c r="J75" s="9">
        <v>6.6E-3</v>
      </c>
      <c r="K75" s="9"/>
      <c r="L75" s="9">
        <v>6.1000000000000004E-3</v>
      </c>
      <c r="M75" s="9"/>
      <c r="N75" s="9">
        <v>3.0000000000000001E-3</v>
      </c>
      <c r="O75" s="9">
        <v>6.6E-3</v>
      </c>
      <c r="P75" s="9">
        <v>1.15E-2</v>
      </c>
      <c r="Q75" s="9">
        <v>3.5000000000000001E-3</v>
      </c>
      <c r="R75" s="9"/>
      <c r="S75" s="9">
        <v>1.6000000000000001E-3</v>
      </c>
      <c r="T75" s="9">
        <v>1.6000000000000001E-3</v>
      </c>
      <c r="U75" s="9">
        <v>3.2000000000000002E-3</v>
      </c>
      <c r="V75" s="9">
        <v>4.5999999999999999E-3</v>
      </c>
      <c r="W75" s="9">
        <v>8.6E-3</v>
      </c>
      <c r="X75" s="9">
        <v>1.15E-2</v>
      </c>
      <c r="Y75" s="9">
        <v>8.8000000000000005E-3</v>
      </c>
      <c r="Z75" s="9">
        <v>2.8E-3</v>
      </c>
      <c r="AA75" s="9"/>
      <c r="AB75" s="9"/>
      <c r="AC75" s="9">
        <v>3.8999999999999998E-3</v>
      </c>
      <c r="AD75" s="9">
        <v>3.5000000000000001E-3</v>
      </c>
      <c r="AE75" s="9">
        <v>3.8E-3</v>
      </c>
    </row>
    <row r="76" spans="2:31" ht="15" thickBot="1" x14ac:dyDescent="0.35">
      <c r="B76" s="5">
        <v>202540</v>
      </c>
      <c r="C76" s="5"/>
      <c r="D76" s="9">
        <v>3.7000000000000002E-3</v>
      </c>
      <c r="E76" s="9">
        <v>4.8999999999999998E-3</v>
      </c>
      <c r="F76" s="9">
        <v>3.5999999999999999E-3</v>
      </c>
      <c r="G76" s="9">
        <v>3.8999999999999998E-3</v>
      </c>
      <c r="H76" s="9">
        <v>4.1000000000000003E-3</v>
      </c>
      <c r="I76" s="9">
        <v>9.9000000000000008E-3</v>
      </c>
      <c r="J76" s="9">
        <v>7.0000000000000001E-3</v>
      </c>
      <c r="K76" s="9">
        <v>0</v>
      </c>
      <c r="L76" s="9">
        <v>6.6E-3</v>
      </c>
      <c r="M76" s="9">
        <v>1.6999999999999999E-3</v>
      </c>
      <c r="N76" s="9">
        <v>2.2000000000000001E-3</v>
      </c>
      <c r="O76" s="9">
        <v>4.8999999999999998E-3</v>
      </c>
      <c r="P76" s="9">
        <v>1.09E-2</v>
      </c>
      <c r="Q76" s="9">
        <v>2.3999999999999998E-3</v>
      </c>
      <c r="R76" s="9"/>
      <c r="S76" s="9">
        <v>1.6999999999999999E-3</v>
      </c>
      <c r="T76" s="9">
        <v>1.8E-3</v>
      </c>
      <c r="U76" s="9">
        <v>3.5000000000000001E-3</v>
      </c>
      <c r="V76" s="9">
        <v>3.8E-3</v>
      </c>
      <c r="W76" s="9">
        <v>1.11E-2</v>
      </c>
      <c r="X76" s="9">
        <v>1.9E-2</v>
      </c>
      <c r="Y76" s="9">
        <v>8.0999999999999996E-3</v>
      </c>
      <c r="Z76" s="9">
        <v>2.7000000000000001E-3</v>
      </c>
      <c r="AA76" s="9">
        <v>5.0000000000000001E-4</v>
      </c>
      <c r="AB76" s="9"/>
      <c r="AC76" s="9">
        <v>3.3999999999999998E-3</v>
      </c>
      <c r="AD76" s="9">
        <v>3.8999999999999998E-3</v>
      </c>
      <c r="AE76" s="9">
        <v>3.3999999999999998E-3</v>
      </c>
    </row>
    <row r="77" spans="2:31" ht="15" thickBot="1" x14ac:dyDescent="0.35">
      <c r="B77" s="22" t="s">
        <v>82</v>
      </c>
      <c r="C77" s="22"/>
      <c r="D77" s="24">
        <f t="shared" ref="D77:AE77" si="23">AVERAGE(D37:D76)</f>
        <v>3.2975000000000005E-3</v>
      </c>
      <c r="E77" s="24">
        <f t="shared" si="23"/>
        <v>3.7449999999999996E-3</v>
      </c>
      <c r="F77" s="24">
        <f t="shared" si="23"/>
        <v>3.2499999999999994E-3</v>
      </c>
      <c r="G77" s="24">
        <f t="shared" si="23"/>
        <v>4.4850000000000011E-3</v>
      </c>
      <c r="H77" s="24">
        <f t="shared" si="23"/>
        <v>3.2950000000000002E-3</v>
      </c>
      <c r="I77" s="24">
        <f t="shared" si="23"/>
        <v>5.4299999999999999E-3</v>
      </c>
      <c r="J77" s="24">
        <f t="shared" si="23"/>
        <v>3.3474999999999998E-3</v>
      </c>
      <c r="K77" s="24">
        <f t="shared" si="23"/>
        <v>3.1628571428571422E-3</v>
      </c>
      <c r="L77" s="24">
        <f t="shared" si="23"/>
        <v>2.9299999999999994E-3</v>
      </c>
      <c r="M77" s="24">
        <f t="shared" si="23"/>
        <v>3.4891891891891897E-3</v>
      </c>
      <c r="N77" s="24">
        <f t="shared" si="23"/>
        <v>3.0228571428571427E-3</v>
      </c>
      <c r="O77" s="24">
        <f t="shared" si="23"/>
        <v>5.8400000000000006E-3</v>
      </c>
      <c r="P77" s="24">
        <f t="shared" si="23"/>
        <v>9.4300000000000026E-3</v>
      </c>
      <c r="Q77" s="24">
        <f t="shared" si="23"/>
        <v>3.8800000000000002E-3</v>
      </c>
      <c r="R77" s="24">
        <f t="shared" si="23"/>
        <v>-6.7871428571428569E-2</v>
      </c>
      <c r="S77" s="24">
        <f t="shared" si="23"/>
        <v>2.9824999999999999E-3</v>
      </c>
      <c r="T77" s="24">
        <f t="shared" si="23"/>
        <v>1.7363636363636368E-3</v>
      </c>
      <c r="U77" s="24">
        <f t="shared" si="23"/>
        <v>2.8114285714285711E-3</v>
      </c>
      <c r="V77" s="24">
        <f t="shared" si="23"/>
        <v>3.6674999999999985E-3</v>
      </c>
      <c r="W77" s="24">
        <f t="shared" si="23"/>
        <v>3.7205882352941179E-3</v>
      </c>
      <c r="X77" s="24">
        <f t="shared" si="23"/>
        <v>3.5323529411764704E-3</v>
      </c>
      <c r="Y77" s="24">
        <f t="shared" si="23"/>
        <v>5.2650000000000006E-3</v>
      </c>
      <c r="Z77" s="24">
        <f t="shared" si="23"/>
        <v>1.8649999999999997E-3</v>
      </c>
      <c r="AA77" s="24">
        <f t="shared" si="23"/>
        <v>4.202941176470589E-3</v>
      </c>
      <c r="AB77" s="24">
        <f t="shared" si="23"/>
        <v>2.3757575757575762E-3</v>
      </c>
      <c r="AC77" s="24">
        <f t="shared" si="23"/>
        <v>2.8771428571428572E-3</v>
      </c>
      <c r="AD77" s="24">
        <f t="shared" si="23"/>
        <v>1.6999999999999997E-3</v>
      </c>
      <c r="AE77" s="24">
        <f t="shared" si="23"/>
        <v>1.9475E-3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T78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7.33203125" bestFit="1" customWidth="1"/>
    <col min="16" max="16" width="11.109375" bestFit="1" customWidth="1"/>
    <col min="17" max="17" width="8.664062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44140625" bestFit="1" customWidth="1"/>
    <col min="23" max="23" width="8.6640625" bestFit="1" customWidth="1"/>
    <col min="24" max="24" width="10.6640625" bestFit="1" customWidth="1"/>
    <col min="25" max="25" width="8.33203125" bestFit="1" customWidth="1"/>
    <col min="26" max="26" width="11.33203125" bestFit="1" customWidth="1"/>
    <col min="27" max="27" width="9.109375" bestFit="1" customWidth="1"/>
    <col min="28" max="28" width="11.109375" bestFit="1" customWidth="1"/>
    <col min="30" max="30" width="11.109375" bestFit="1" customWidth="1"/>
    <col min="31" max="31" width="7.44140625" bestFit="1" customWidth="1"/>
    <col min="32" max="32" width="6.33203125" bestFit="1" customWidth="1"/>
    <col min="33" max="33" width="9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45935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45941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143</v>
      </c>
      <c r="C6" s="7"/>
      <c r="D6" s="7">
        <v>7</v>
      </c>
      <c r="E6" s="7">
        <v>4590</v>
      </c>
      <c r="F6" s="7">
        <v>5190</v>
      </c>
      <c r="G6" s="7">
        <v>58</v>
      </c>
      <c r="H6" s="9">
        <f t="shared" ref="H6:H12" si="0">IFERROR(G6/F6,0)</f>
        <v>1.1175337186897881E-2</v>
      </c>
      <c r="I6" s="9">
        <f>IFERROR((4590-F6)/4590,0)</f>
        <v>-0.13071895424836602</v>
      </c>
      <c r="J6" s="7">
        <v>20940</v>
      </c>
      <c r="K6" s="11">
        <f t="shared" ref="K6:K12" si="1">IFERROR(J6/D6/F6*100,0)</f>
        <v>57.638315441783647</v>
      </c>
      <c r="L6" s="11">
        <f>K6-59.2879</f>
        <v>-1.649584558216354</v>
      </c>
      <c r="M6" s="11">
        <v>0</v>
      </c>
      <c r="N6" s="11">
        <f t="shared" ref="N6:N12" si="2">K6-M6</f>
        <v>57.638315441783647</v>
      </c>
      <c r="O6" s="11">
        <f>IFERROR(172260/4590,0)</f>
        <v>37.529411764705884</v>
      </c>
      <c r="P6" s="11">
        <v>0</v>
      </c>
      <c r="Q6" s="11">
        <f t="shared" ref="Q6:Q11" si="3">IFERROR(O6-P6,0)</f>
        <v>37.529411764705884</v>
      </c>
      <c r="R6" s="7">
        <v>4290</v>
      </c>
      <c r="S6" s="11">
        <f t="shared" ref="S6:S11" si="4">IFERROR(R6/D6/F6*1000,0)</f>
        <v>118.08422791081752</v>
      </c>
      <c r="T6" s="13">
        <f t="shared" ref="T6:T12" si="5">IFERROR(J6/R6,0)</f>
        <v>4.8811188811188808</v>
      </c>
      <c r="U6" s="7">
        <v>0</v>
      </c>
      <c r="V6" s="11">
        <f t="shared" ref="V6:V11" si="6">IFERROR(U6/D6/F6*1000,0)</f>
        <v>0</v>
      </c>
      <c r="W6" s="11">
        <f t="shared" ref="W6:W12" si="7">IFERROR(V6/S6,0)</f>
        <v>0</v>
      </c>
      <c r="X6" s="11">
        <v>0</v>
      </c>
      <c r="Y6" s="11">
        <f t="shared" ref="Y6:Y11" si="8">IFERROR((F6*S6)/(F6*K6)*100,0)</f>
        <v>204.87106017191982</v>
      </c>
      <c r="Z6" s="11">
        <f t="shared" ref="Z6:Z12" si="9">IFERROR(Y6*X6/1000,0)</f>
        <v>0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30</v>
      </c>
      <c r="AG6" s="7">
        <f t="shared" ref="AG6:AG11" si="10">IF(M6=0,0,IFERROR(N6/100*7*F6,0))</f>
        <v>0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1">IFERROR(0/F6,0)</f>
        <v>0</v>
      </c>
      <c r="AP6" s="11">
        <v>0</v>
      </c>
      <c r="AQ6" s="7"/>
      <c r="AR6" s="7"/>
      <c r="AS6" s="7">
        <v>0</v>
      </c>
      <c r="AT6" s="7"/>
    </row>
    <row r="7" spans="1:46" x14ac:dyDescent="0.3">
      <c r="A7" s="5" t="s">
        <v>50</v>
      </c>
      <c r="B7" s="5">
        <v>102</v>
      </c>
      <c r="C7" s="7">
        <v>33</v>
      </c>
      <c r="D7" s="7">
        <v>7</v>
      </c>
      <c r="E7" s="7">
        <v>14440</v>
      </c>
      <c r="F7" s="7">
        <v>10596</v>
      </c>
      <c r="G7" s="7">
        <v>42</v>
      </c>
      <c r="H7" s="9">
        <f t="shared" si="0"/>
        <v>3.9637599093997732E-3</v>
      </c>
      <c r="I7" s="9">
        <f>IFERROR((14440-F7)/14440,0)</f>
        <v>0.26620498614958449</v>
      </c>
      <c r="J7" s="7">
        <v>49980</v>
      </c>
      <c r="K7" s="11">
        <f t="shared" si="1"/>
        <v>67.383918459796149</v>
      </c>
      <c r="L7" s="11">
        <f>K7-67.843</f>
        <v>-0.45908154020385439</v>
      </c>
      <c r="M7" s="11">
        <v>73</v>
      </c>
      <c r="N7" s="11">
        <f t="shared" si="2"/>
        <v>-5.6160815402038509</v>
      </c>
      <c r="O7" s="11">
        <f>IFERROR(5700760/14440,0)</f>
        <v>394.78947368421052</v>
      </c>
      <c r="P7" s="11">
        <v>0</v>
      </c>
      <c r="Q7" s="11">
        <f t="shared" si="3"/>
        <v>394.78947368421052</v>
      </c>
      <c r="R7" s="7">
        <v>8830</v>
      </c>
      <c r="S7" s="11">
        <f t="shared" si="4"/>
        <v>119.04761904761904</v>
      </c>
      <c r="T7" s="13">
        <f t="shared" si="5"/>
        <v>5.6602491506228763</v>
      </c>
      <c r="U7" s="7">
        <v>0</v>
      </c>
      <c r="V7" s="11">
        <f t="shared" si="6"/>
        <v>0</v>
      </c>
      <c r="W7" s="11">
        <f t="shared" si="7"/>
        <v>0</v>
      </c>
      <c r="X7" s="11">
        <v>106.6142857143</v>
      </c>
      <c r="Y7" s="11">
        <f t="shared" si="8"/>
        <v>176.67066826730689</v>
      </c>
      <c r="Z7" s="11">
        <f t="shared" si="9"/>
        <v>18.835617103986969</v>
      </c>
      <c r="AA7" s="7">
        <v>0</v>
      </c>
      <c r="AB7" s="15">
        <f>IFERROR(AA7/0,0)</f>
        <v>0</v>
      </c>
      <c r="AC7" s="11">
        <v>0</v>
      </c>
      <c r="AD7" s="15">
        <f>IFERROR(AC7/0,0)</f>
        <v>0</v>
      </c>
      <c r="AE7" s="11">
        <v>0</v>
      </c>
      <c r="AF7" s="11">
        <v>30</v>
      </c>
      <c r="AG7" s="7">
        <f t="shared" si="10"/>
        <v>-4165.5600000000004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1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103</v>
      </c>
      <c r="C8" s="7">
        <v>33</v>
      </c>
      <c r="D8" s="7">
        <v>7</v>
      </c>
      <c r="E8" s="7">
        <v>16063</v>
      </c>
      <c r="F8" s="7">
        <v>12515</v>
      </c>
      <c r="G8" s="7">
        <v>39</v>
      </c>
      <c r="H8" s="9">
        <f t="shared" si="0"/>
        <v>3.1162604874151018E-3</v>
      </c>
      <c r="I8" s="9">
        <f>IFERROR((16063-F8)/16063,0)</f>
        <v>0.22088028388221378</v>
      </c>
      <c r="J8" s="7">
        <v>53640</v>
      </c>
      <c r="K8" s="11">
        <f t="shared" si="1"/>
        <v>61.229381884595632</v>
      </c>
      <c r="L8" s="11">
        <f>K8-61.7902</f>
        <v>-0.56081811540436632</v>
      </c>
      <c r="M8" s="11">
        <v>71</v>
      </c>
      <c r="N8" s="11">
        <f t="shared" si="2"/>
        <v>-9.7706181154043676</v>
      </c>
      <c r="O8" s="11">
        <f>IFERROR(5955720/16063,0)</f>
        <v>370.77258295461621</v>
      </c>
      <c r="P8" s="11">
        <v>0</v>
      </c>
      <c r="Q8" s="11">
        <f t="shared" si="3"/>
        <v>370.77258295461621</v>
      </c>
      <c r="R8" s="7">
        <v>9650</v>
      </c>
      <c r="S8" s="11">
        <f t="shared" si="4"/>
        <v>110.15353004965471</v>
      </c>
      <c r="T8" s="13">
        <f t="shared" si="5"/>
        <v>5.5585492227979278</v>
      </c>
      <c r="U8" s="7">
        <v>1370</v>
      </c>
      <c r="V8" s="11">
        <f t="shared" si="6"/>
        <v>15.638376804976886</v>
      </c>
      <c r="W8" s="11">
        <f t="shared" si="7"/>
        <v>0.14196891191709846</v>
      </c>
      <c r="X8" s="11">
        <v>52.857142857100001</v>
      </c>
      <c r="Y8" s="11">
        <f t="shared" si="8"/>
        <v>179.90305741983593</v>
      </c>
      <c r="Z8" s="11">
        <f t="shared" si="9"/>
        <v>9.5091616064693323</v>
      </c>
      <c r="AA8" s="7">
        <v>0</v>
      </c>
      <c r="AB8" s="15">
        <f>IFERROR(AA8/0,0)</f>
        <v>0</v>
      </c>
      <c r="AC8" s="11">
        <v>0</v>
      </c>
      <c r="AD8" s="15">
        <f>IFERROR(AC8/0,0)</f>
        <v>0</v>
      </c>
      <c r="AE8" s="11">
        <v>0</v>
      </c>
      <c r="AF8" s="11">
        <v>28</v>
      </c>
      <c r="AG8" s="7">
        <f t="shared" si="10"/>
        <v>-8559.5499999999956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1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64</v>
      </c>
      <c r="C9" s="7"/>
      <c r="D9" s="7">
        <v>7</v>
      </c>
      <c r="E9" s="7">
        <v>4686</v>
      </c>
      <c r="F9" s="7">
        <v>3861</v>
      </c>
      <c r="G9" s="7">
        <v>22</v>
      </c>
      <c r="H9" s="9">
        <f t="shared" si="0"/>
        <v>5.6980056980056983E-3</v>
      </c>
      <c r="I9" s="9">
        <f>IFERROR((4686-F9)/4686,0)</f>
        <v>0.176056338028169</v>
      </c>
      <c r="J9" s="7">
        <v>26400</v>
      </c>
      <c r="K9" s="11">
        <f t="shared" si="1"/>
        <v>97.680097680097688</v>
      </c>
      <c r="L9" s="11">
        <f>K9-96.2437</f>
        <v>1.4363976800976843</v>
      </c>
      <c r="M9" s="11">
        <v>84</v>
      </c>
      <c r="N9" s="11">
        <f t="shared" si="2"/>
        <v>13.680097680097688</v>
      </c>
      <c r="O9" s="11">
        <f>IFERROR(1267541/4686,0)</f>
        <v>270.49530516431923</v>
      </c>
      <c r="P9" s="11">
        <v>281</v>
      </c>
      <c r="Q9" s="11">
        <f t="shared" si="3"/>
        <v>-10.504694835680766</v>
      </c>
      <c r="R9" s="7">
        <v>4537</v>
      </c>
      <c r="S9" s="11">
        <f t="shared" si="4"/>
        <v>167.86916786916785</v>
      </c>
      <c r="T9" s="13">
        <f t="shared" si="5"/>
        <v>5.818823010800088</v>
      </c>
      <c r="U9" s="7">
        <v>5040</v>
      </c>
      <c r="V9" s="11">
        <f t="shared" si="6"/>
        <v>186.48018648018649</v>
      </c>
      <c r="W9" s="11">
        <f t="shared" si="7"/>
        <v>1.1108662111527443</v>
      </c>
      <c r="X9" s="11">
        <v>155.4685714286</v>
      </c>
      <c r="Y9" s="11">
        <f t="shared" si="8"/>
        <v>171.85606060606057</v>
      </c>
      <c r="Z9" s="11">
        <f t="shared" si="9"/>
        <v>26.718216233771138</v>
      </c>
      <c r="AA9" s="7">
        <v>1880</v>
      </c>
      <c r="AB9" s="15">
        <f>IFERROR(AA9/1960,0)</f>
        <v>0.95918367346938771</v>
      </c>
      <c r="AC9" s="11">
        <v>0</v>
      </c>
      <c r="AD9" s="15">
        <f>IFERROR(AC9/63.85,0)</f>
        <v>0</v>
      </c>
      <c r="AE9" s="11">
        <v>12</v>
      </c>
      <c r="AF9" s="11">
        <v>28</v>
      </c>
      <c r="AG9" s="7">
        <f t="shared" si="10"/>
        <v>3697.3200000000024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1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20</v>
      </c>
      <c r="C10" s="7"/>
      <c r="D10" s="7">
        <v>7</v>
      </c>
      <c r="E10" s="7">
        <v>5000</v>
      </c>
      <c r="F10" s="7">
        <v>3970</v>
      </c>
      <c r="G10" s="7">
        <v>2</v>
      </c>
      <c r="H10" s="9">
        <f t="shared" si="0"/>
        <v>5.0377833753148613E-4</v>
      </c>
      <c r="I10" s="9">
        <f>IFERROR((5000-F10)/5000,0)</f>
        <v>0.20599999999999999</v>
      </c>
      <c r="J10" s="7">
        <v>2550</v>
      </c>
      <c r="K10" s="11">
        <f t="shared" si="1"/>
        <v>9.1759625764663557</v>
      </c>
      <c r="L10" s="11">
        <f>K10-0</f>
        <v>9.1759625764663557</v>
      </c>
      <c r="M10" s="11">
        <v>58.5</v>
      </c>
      <c r="N10" s="11">
        <f t="shared" si="2"/>
        <v>-49.324037423533646</v>
      </c>
      <c r="O10" s="11">
        <f>IFERROR(1990560/5000,0)</f>
        <v>398.11200000000002</v>
      </c>
      <c r="P10" s="11">
        <v>7</v>
      </c>
      <c r="Q10" s="11">
        <f t="shared" si="3"/>
        <v>391.11200000000002</v>
      </c>
      <c r="R10" s="7">
        <v>3695</v>
      </c>
      <c r="S10" s="11">
        <f t="shared" si="4"/>
        <v>132.96149694134581</v>
      </c>
      <c r="T10" s="13">
        <f t="shared" si="5"/>
        <v>0.69012178619756426</v>
      </c>
      <c r="U10" s="7">
        <v>5040</v>
      </c>
      <c r="V10" s="11">
        <f t="shared" si="6"/>
        <v>181.36020151133499</v>
      </c>
      <c r="W10" s="11">
        <f t="shared" si="7"/>
        <v>1.3640054127198915</v>
      </c>
      <c r="X10" s="11">
        <v>160.63285714290001</v>
      </c>
      <c r="Y10" s="11">
        <f t="shared" si="8"/>
        <v>1449.019607843137</v>
      </c>
      <c r="Z10" s="11">
        <f t="shared" si="9"/>
        <v>232.76015966392762</v>
      </c>
      <c r="AA10" s="7">
        <v>1659</v>
      </c>
      <c r="AB10" s="15">
        <f>IFERROR(AA10/1680,0)</f>
        <v>0.98750000000000004</v>
      </c>
      <c r="AC10" s="11">
        <v>0</v>
      </c>
      <c r="AD10" s="15">
        <f>IFERROR(AC10/51.2,0)</f>
        <v>0</v>
      </c>
      <c r="AE10" s="11">
        <v>14</v>
      </c>
      <c r="AF10" s="11">
        <v>28</v>
      </c>
      <c r="AG10" s="7">
        <f t="shared" si="10"/>
        <v>-13707.15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1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64</v>
      </c>
      <c r="C11" s="7"/>
      <c r="D11" s="7">
        <v>7</v>
      </c>
      <c r="E11" s="7">
        <v>4819</v>
      </c>
      <c r="F11" s="7">
        <v>4223</v>
      </c>
      <c r="G11" s="7">
        <v>26</v>
      </c>
      <c r="H11" s="9">
        <f t="shared" si="0"/>
        <v>6.1567605967321809E-3</v>
      </c>
      <c r="I11" s="9">
        <f>IFERROR((4819-F11)/4819,0)</f>
        <v>0.12367711143390744</v>
      </c>
      <c r="J11" s="7">
        <v>25950</v>
      </c>
      <c r="K11" s="11">
        <f t="shared" si="1"/>
        <v>87.784581035824232</v>
      </c>
      <c r="L11" s="11">
        <f>K11-87.7517</f>
        <v>3.2881035824232185E-2</v>
      </c>
      <c r="M11" s="11">
        <v>84</v>
      </c>
      <c r="N11" s="11">
        <f t="shared" si="2"/>
        <v>3.7845810358242318</v>
      </c>
      <c r="O11" s="11">
        <f>IFERROR(1304806/4819,0)</f>
        <v>270.76281386179704</v>
      </c>
      <c r="P11" s="11">
        <v>281</v>
      </c>
      <c r="Q11" s="11">
        <f t="shared" si="3"/>
        <v>-10.237186138202958</v>
      </c>
      <c r="R11" s="7">
        <v>4181</v>
      </c>
      <c r="S11" s="11">
        <f t="shared" si="4"/>
        <v>141.43635195020468</v>
      </c>
      <c r="T11" s="13">
        <f t="shared" si="5"/>
        <v>6.206649127003109</v>
      </c>
      <c r="U11" s="7">
        <v>5040</v>
      </c>
      <c r="V11" s="11">
        <f t="shared" si="6"/>
        <v>170.49490883258346</v>
      </c>
      <c r="W11" s="11">
        <f t="shared" si="7"/>
        <v>1.2054532408514707</v>
      </c>
      <c r="X11" s="11">
        <v>103.6457142857</v>
      </c>
      <c r="Y11" s="11">
        <f t="shared" si="8"/>
        <v>161.11753371868977</v>
      </c>
      <c r="Z11" s="11">
        <f t="shared" si="9"/>
        <v>16.699141866223957</v>
      </c>
      <c r="AA11" s="7">
        <v>1955</v>
      </c>
      <c r="AB11" s="15">
        <f>IFERROR(AA11/1960,0)</f>
        <v>0.99744897959183676</v>
      </c>
      <c r="AC11" s="11">
        <v>0</v>
      </c>
      <c r="AD11" s="15">
        <f>IFERROR(AC11/63.85,0)</f>
        <v>0</v>
      </c>
      <c r="AE11" s="11">
        <v>13</v>
      </c>
      <c r="AF11" s="11">
        <v>29</v>
      </c>
      <c r="AG11" s="7">
        <f t="shared" si="10"/>
        <v>1118.7600000000011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1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49598</v>
      </c>
      <c r="F12" s="17">
        <f>SUM(F6:F11)</f>
        <v>40355</v>
      </c>
      <c r="G12" s="17">
        <f>SUM(G6:G11)</f>
        <v>189</v>
      </c>
      <c r="H12" s="18">
        <f t="shared" si="0"/>
        <v>4.6834345186470075E-3</v>
      </c>
      <c r="I12" s="18"/>
      <c r="J12" s="17">
        <f>SUM(J6:J11)</f>
        <v>179460</v>
      </c>
      <c r="K12" s="19">
        <f t="shared" si="1"/>
        <v>63.529036940014514</v>
      </c>
      <c r="L12" s="19"/>
      <c r="M12" s="19">
        <f>IFERROR(SUMPRODUCT($F6:$F11,M6:M11)/$F12, 0)</f>
        <v>63.768405402056743</v>
      </c>
      <c r="N12" s="19">
        <f t="shared" si="2"/>
        <v>-0.23936846204222917</v>
      </c>
      <c r="O12" s="19">
        <f>IFERROR(SUMPRODUCT($E6:$E11,O6:O11)/$E12, 0)</f>
        <v>330.49008024517116</v>
      </c>
      <c r="P12" s="19">
        <f>IFERROR(SUMPRODUCT($E6:$E11,P6:P11)/$E12, 0)</f>
        <v>54.556736158716078</v>
      </c>
      <c r="Q12" s="19">
        <f>IFERROR(SUMPRODUCT($E6:$E11,Q6:Q11)/$E12, 0)</f>
        <v>275.93334408645512</v>
      </c>
      <c r="R12" s="17">
        <f>SUM(R6:R11)</f>
        <v>35183</v>
      </c>
      <c r="S12" s="19">
        <f>IFERROR(R12/D12/$F12*1000,0)</f>
        <v>124.5482060994389</v>
      </c>
      <c r="T12" s="20">
        <f t="shared" si="5"/>
        <v>5.1007588892362792</v>
      </c>
      <c r="U12" s="17">
        <f>SUM(U6:U11)</f>
        <v>16490</v>
      </c>
      <c r="V12" s="19">
        <f>IFERROR(U12/D12/$F12*1000,0)</f>
        <v>58.374780961820989</v>
      </c>
      <c r="W12" s="19">
        <f t="shared" si="7"/>
        <v>0.4686922661512663</v>
      </c>
      <c r="X12" s="19">
        <f>IFERROR(SUMPRODUCT(R6:R11,X6:X11)/R12,0)</f>
        <v>90.490225920796092</v>
      </c>
      <c r="Y12" s="19">
        <f>IFERROR(($F12*S12)/($F12*K12)*100,0)</f>
        <v>196.04925888777441</v>
      </c>
      <c r="Z12" s="19">
        <f t="shared" si="9"/>
        <v>17.74054172835935</v>
      </c>
      <c r="AA12" s="17"/>
      <c r="AB12" s="21">
        <f>IFERROR(SUMPRODUCT($F6:$F11,AB6:AB11)/$F12,0)</f>
        <v>0.29329724207859331</v>
      </c>
      <c r="AC12" s="19"/>
      <c r="AD12" s="21">
        <f>AVERAGE(AD6:AD11)</f>
        <v>0</v>
      </c>
      <c r="AE12" s="19"/>
      <c r="AF12" s="19"/>
      <c r="AG12" s="17">
        <f>SUM(AG6:AG11)</f>
        <v>-21616.179999999993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19</v>
      </c>
      <c r="C14" s="6"/>
      <c r="D14" s="6">
        <v>7</v>
      </c>
      <c r="E14" s="6">
        <v>5260</v>
      </c>
      <c r="F14" s="6">
        <v>20609</v>
      </c>
      <c r="G14" s="6">
        <v>29</v>
      </c>
      <c r="H14" s="8">
        <f t="shared" ref="H14:H31" si="12">IFERROR(G14/F14,0)</f>
        <v>1.4071522150516764E-3</v>
      </c>
      <c r="I14" s="8">
        <f>IFERROR((5260-F14)/5260,0)</f>
        <v>-2.9180608365019012</v>
      </c>
      <c r="J14" s="6">
        <v>26950</v>
      </c>
      <c r="K14" s="10">
        <f t="shared" ref="K14:K31" si="13">IFERROR(J14/D14/F14*100,0)</f>
        <v>18.681158717065362</v>
      </c>
      <c r="L14" s="10">
        <f>K14-3.0526</f>
        <v>15.628558717065362</v>
      </c>
      <c r="M14" s="10">
        <v>18.5</v>
      </c>
      <c r="N14" s="10">
        <f t="shared" ref="N14:N31" si="14">K14-M14</f>
        <v>0.18115871706536169</v>
      </c>
      <c r="O14" s="10">
        <f>IFERROR(31360/5260,0)</f>
        <v>5.9619771863117874</v>
      </c>
      <c r="P14" s="10">
        <v>1</v>
      </c>
      <c r="Q14" s="10">
        <f t="shared" ref="Q14:Q30" si="15">IFERROR(O14-P14,0)</f>
        <v>4.9619771863117874</v>
      </c>
      <c r="R14" s="6">
        <v>12950</v>
      </c>
      <c r="S14" s="10">
        <f t="shared" ref="S14:S30" si="16">IFERROR(R14/D14/F14*1000,0)</f>
        <v>89.766606822262119</v>
      </c>
      <c r="T14" s="12">
        <f t="shared" ref="T14:T31" si="17">IFERROR(J14/R14,0)</f>
        <v>2.0810810810810811</v>
      </c>
      <c r="U14" s="6">
        <v>19590</v>
      </c>
      <c r="V14" s="10">
        <f t="shared" ref="V14:V30" si="18">IFERROR(U14/D14/F14*1000,0)</f>
        <v>135.79365464464209</v>
      </c>
      <c r="W14" s="10">
        <f t="shared" ref="W14:W31" si="19">IFERROR(V14/S14,0)</f>
        <v>1.512741312741313</v>
      </c>
      <c r="X14" s="10">
        <v>247.11</v>
      </c>
      <c r="Y14" s="10">
        <f t="shared" ref="Y14:Y30" si="20">IFERROR((F14*S14)/(F14*K14)*100,0)</f>
        <v>480.51948051948045</v>
      </c>
      <c r="Z14" s="10">
        <f t="shared" ref="Z14:Z31" si="21">IFERROR(Y14*X14/1000,0)</f>
        <v>118.74116883116882</v>
      </c>
      <c r="AA14" s="6">
        <v>1700</v>
      </c>
      <c r="AB14" s="14">
        <f>IFERROR(AA14/1320,0)</f>
        <v>1.2878787878787878</v>
      </c>
      <c r="AC14" s="10">
        <v>0</v>
      </c>
      <c r="AD14" s="14">
        <f>IFERROR(AC14/45,0)</f>
        <v>0</v>
      </c>
      <c r="AE14" s="10">
        <v>19</v>
      </c>
      <c r="AF14" s="10">
        <v>27</v>
      </c>
      <c r="AG14" s="6">
        <f t="shared" ref="AG14:AG30" si="22">IF(M14=0,0,IFERROR(N14/100*7*F14,0))</f>
        <v>261.34500000000276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57</v>
      </c>
      <c r="B15" s="5">
        <v>104</v>
      </c>
      <c r="C15" s="7">
        <v>41</v>
      </c>
      <c r="D15" s="7">
        <v>7</v>
      </c>
      <c r="E15" s="7">
        <v>3499</v>
      </c>
      <c r="F15" s="7">
        <v>3431</v>
      </c>
      <c r="G15" s="7">
        <v>28</v>
      </c>
      <c r="H15" s="9">
        <f t="shared" si="12"/>
        <v>8.1608860390556693E-3</v>
      </c>
      <c r="I15" s="9">
        <f>IFERROR((3499-F15)/3499,0)</f>
        <v>1.9434124035438698E-2</v>
      </c>
      <c r="J15" s="7">
        <v>15270</v>
      </c>
      <c r="K15" s="11">
        <f t="shared" si="13"/>
        <v>63.579964192030644</v>
      </c>
      <c r="L15" s="11">
        <f>K15-64.7999</f>
        <v>-1.2199358079693496</v>
      </c>
      <c r="M15" s="11">
        <v>0</v>
      </c>
      <c r="N15" s="11">
        <f t="shared" si="14"/>
        <v>63.579964192030644</v>
      </c>
      <c r="O15" s="11">
        <f>IFERROR(76390/3499,0)</f>
        <v>21.831951986281794</v>
      </c>
      <c r="P15" s="11">
        <v>0</v>
      </c>
      <c r="Q15" s="11">
        <f t="shared" si="15"/>
        <v>21.831951986281794</v>
      </c>
      <c r="R15" s="7">
        <v>2510</v>
      </c>
      <c r="S15" s="11">
        <f t="shared" si="16"/>
        <v>104.50930590831493</v>
      </c>
      <c r="T15" s="13">
        <f t="shared" si="17"/>
        <v>6.0836653386454183</v>
      </c>
      <c r="U15" s="7">
        <v>4510</v>
      </c>
      <c r="V15" s="11">
        <f t="shared" si="18"/>
        <v>187.78365324561773</v>
      </c>
      <c r="W15" s="11">
        <f t="shared" si="19"/>
        <v>1.7968127490039847</v>
      </c>
      <c r="X15" s="11">
        <v>283.26571428570003</v>
      </c>
      <c r="Y15" s="11">
        <f t="shared" si="20"/>
        <v>164.37459070072035</v>
      </c>
      <c r="Z15" s="11">
        <f t="shared" si="21"/>
        <v>46.561685845259134</v>
      </c>
      <c r="AA15" s="7">
        <v>2010</v>
      </c>
      <c r="AB15" s="15">
        <f>IFERROR(AA15/0,0)</f>
        <v>0</v>
      </c>
      <c r="AC15" s="11">
        <v>0</v>
      </c>
      <c r="AD15" s="15">
        <f>IFERROR(AC15/0,0)</f>
        <v>0</v>
      </c>
      <c r="AE15" s="11">
        <v>14</v>
      </c>
      <c r="AF15" s="11">
        <v>28</v>
      </c>
      <c r="AG15" s="7">
        <f t="shared" si="22"/>
        <v>0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58</v>
      </c>
      <c r="B16" s="5">
        <v>64</v>
      </c>
      <c r="C16" s="7"/>
      <c r="D16" s="7">
        <v>7</v>
      </c>
      <c r="E16" s="7">
        <v>10225</v>
      </c>
      <c r="F16" s="7">
        <v>6827</v>
      </c>
      <c r="G16" s="7">
        <v>56</v>
      </c>
      <c r="H16" s="9">
        <f t="shared" si="12"/>
        <v>8.2027244763439294E-3</v>
      </c>
      <c r="I16" s="9">
        <f>IFERROR((10225-F16)/10225,0)</f>
        <v>0.33232273838630805</v>
      </c>
      <c r="J16" s="7">
        <v>36180</v>
      </c>
      <c r="K16" s="11">
        <f t="shared" si="13"/>
        <v>75.707798865847792</v>
      </c>
      <c r="L16" s="11">
        <f>K16-75.7768</f>
        <v>-6.9001134152202326E-2</v>
      </c>
      <c r="M16" s="11">
        <v>84</v>
      </c>
      <c r="N16" s="11">
        <f t="shared" si="14"/>
        <v>-8.2922011341522079</v>
      </c>
      <c r="O16" s="11">
        <f>IFERROR(2186910/10225,0)</f>
        <v>213.87872860635696</v>
      </c>
      <c r="P16" s="11">
        <v>281</v>
      </c>
      <c r="Q16" s="11">
        <f t="shared" si="15"/>
        <v>-67.121271393643042</v>
      </c>
      <c r="R16" s="7">
        <v>6690</v>
      </c>
      <c r="S16" s="11">
        <f t="shared" si="16"/>
        <v>139.9903743539308</v>
      </c>
      <c r="T16" s="13">
        <f t="shared" si="17"/>
        <v>5.4080717488789238</v>
      </c>
      <c r="U16" s="7">
        <v>11310</v>
      </c>
      <c r="V16" s="11">
        <f t="shared" si="18"/>
        <v>236.6653413965557</v>
      </c>
      <c r="W16" s="11">
        <f t="shared" si="19"/>
        <v>1.6905829596412558</v>
      </c>
      <c r="X16" s="11">
        <v>282.59714285709998</v>
      </c>
      <c r="Y16" s="11">
        <f t="shared" si="20"/>
        <v>184.90878938640128</v>
      </c>
      <c r="Z16" s="11">
        <f t="shared" si="21"/>
        <v>52.254695569762255</v>
      </c>
      <c r="AA16" s="7">
        <v>1980</v>
      </c>
      <c r="AB16" s="15">
        <f>IFERROR(AA16/1960,0)</f>
        <v>1.010204081632653</v>
      </c>
      <c r="AC16" s="11">
        <v>0</v>
      </c>
      <c r="AD16" s="15">
        <f>IFERROR(AC16/63.85,0)</f>
        <v>0</v>
      </c>
      <c r="AE16" s="11">
        <v>14</v>
      </c>
      <c r="AF16" s="11">
        <v>28</v>
      </c>
      <c r="AG16" s="7">
        <f t="shared" si="22"/>
        <v>-3962.7599999999984</v>
      </c>
      <c r="AH16" s="7">
        <v>0</v>
      </c>
      <c r="AI16" s="7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IFERROR(0/F16,0)</f>
        <v>0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59</v>
      </c>
      <c r="B17" s="5">
        <v>92</v>
      </c>
      <c r="C17" s="7"/>
      <c r="D17" s="7">
        <v>7</v>
      </c>
      <c r="E17" s="7">
        <v>56050</v>
      </c>
      <c r="F17" s="7">
        <v>52115</v>
      </c>
      <c r="G17" s="7">
        <v>114</v>
      </c>
      <c r="H17" s="9">
        <f t="shared" si="12"/>
        <v>2.187470018228917E-3</v>
      </c>
      <c r="I17" s="9">
        <f>IFERROR((56050-F17)/56050,0)</f>
        <v>7.0205173951828723E-2</v>
      </c>
      <c r="J17" s="7">
        <v>138630</v>
      </c>
      <c r="K17" s="11">
        <f t="shared" si="13"/>
        <v>38.001123888104601</v>
      </c>
      <c r="L17" s="11">
        <f>K17-3.0917</f>
        <v>34.909423888104598</v>
      </c>
      <c r="M17" s="11">
        <v>80.95</v>
      </c>
      <c r="N17" s="11">
        <f t="shared" si="14"/>
        <v>-42.948876111895402</v>
      </c>
      <c r="O17" s="11">
        <f>IFERROR(22885091/56050,0)</f>
        <v>408.29778768956288</v>
      </c>
      <c r="P17" s="11">
        <v>435</v>
      </c>
      <c r="Q17" s="11">
        <f t="shared" si="15"/>
        <v>-26.702212310437119</v>
      </c>
      <c r="R17" s="7">
        <v>39230</v>
      </c>
      <c r="S17" s="11">
        <f t="shared" si="16"/>
        <v>107.53690327709326</v>
      </c>
      <c r="T17" s="13">
        <f t="shared" si="17"/>
        <v>3.5337751720621973</v>
      </c>
      <c r="U17" s="7">
        <v>57300</v>
      </c>
      <c r="V17" s="11">
        <f t="shared" si="18"/>
        <v>157.07021559463274</v>
      </c>
      <c r="W17" s="11">
        <f t="shared" si="19"/>
        <v>1.4606168748406829</v>
      </c>
      <c r="X17" s="11">
        <v>252.18428571429999</v>
      </c>
      <c r="Y17" s="11">
        <f t="shared" si="20"/>
        <v>282.98348120897356</v>
      </c>
      <c r="Z17" s="11">
        <f t="shared" si="21"/>
        <v>71.363987077631023</v>
      </c>
      <c r="AA17" s="7">
        <v>1594</v>
      </c>
      <c r="AB17" s="15">
        <f>IFERROR(AA17/1725,0)</f>
        <v>0.92405797101449272</v>
      </c>
      <c r="AC17" s="11">
        <v>0</v>
      </c>
      <c r="AD17" s="15">
        <f>IFERROR(AC17/64.7,0)</f>
        <v>0</v>
      </c>
      <c r="AE17" s="11">
        <v>21</v>
      </c>
      <c r="AF17" s="11">
        <v>26</v>
      </c>
      <c r="AG17" s="7">
        <f t="shared" si="22"/>
        <v>-156679.64750000002</v>
      </c>
      <c r="AH17" s="7">
        <v>33</v>
      </c>
      <c r="AI17" s="7">
        <v>7.2727272727000001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IFERROR(0/F17,0)</f>
        <v>0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85</v>
      </c>
      <c r="C18" s="7">
        <v>12</v>
      </c>
      <c r="D18" s="7">
        <v>7</v>
      </c>
      <c r="E18" s="7">
        <v>51536</v>
      </c>
      <c r="F18" s="7">
        <v>47509</v>
      </c>
      <c r="G18" s="7">
        <v>77</v>
      </c>
      <c r="H18" s="9">
        <f t="shared" si="12"/>
        <v>1.6207455429497568E-3</v>
      </c>
      <c r="I18" s="9">
        <f>IFERROR((51536-F18)/51536,0)</f>
        <v>7.8139552933871467E-2</v>
      </c>
      <c r="J18" s="7">
        <v>295460</v>
      </c>
      <c r="K18" s="11">
        <f t="shared" si="13"/>
        <v>88.843316905368312</v>
      </c>
      <c r="L18" s="11">
        <f>K18-88.0884</f>
        <v>0.75491690536831868</v>
      </c>
      <c r="M18" s="11">
        <v>83</v>
      </c>
      <c r="N18" s="11">
        <f t="shared" si="14"/>
        <v>5.8433169053683116</v>
      </c>
      <c r="O18" s="11">
        <f>IFERROR(18768762/51536,0)</f>
        <v>364.18740298044088</v>
      </c>
      <c r="P18" s="11">
        <v>0</v>
      </c>
      <c r="Q18" s="11">
        <f t="shared" si="15"/>
        <v>364.18740298044088</v>
      </c>
      <c r="R18" s="7">
        <v>39500</v>
      </c>
      <c r="S18" s="11">
        <f t="shared" si="16"/>
        <v>118.77448784140149</v>
      </c>
      <c r="T18" s="13">
        <f t="shared" si="17"/>
        <v>7.48</v>
      </c>
      <c r="U18" s="7">
        <v>67007</v>
      </c>
      <c r="V18" s="11">
        <f t="shared" si="18"/>
        <v>201.48663561490605</v>
      </c>
      <c r="W18" s="11">
        <f t="shared" si="19"/>
        <v>1.6963797468354429</v>
      </c>
      <c r="X18" s="11">
        <v>295.16428571429998</v>
      </c>
      <c r="Y18" s="11">
        <f t="shared" si="20"/>
        <v>133.68983957219254</v>
      </c>
      <c r="Z18" s="11">
        <f t="shared" si="21"/>
        <v>39.460466004585562</v>
      </c>
      <c r="AA18" s="7">
        <v>1720</v>
      </c>
      <c r="AB18" s="15">
        <f>IFERROR(AA18/1725,0)</f>
        <v>0.99710144927536237</v>
      </c>
      <c r="AC18" s="11">
        <v>0</v>
      </c>
      <c r="AD18" s="15">
        <f>IFERROR(AC18/64.35,0)</f>
        <v>0</v>
      </c>
      <c r="AE18" s="11">
        <v>22</v>
      </c>
      <c r="AF18" s="11">
        <v>26</v>
      </c>
      <c r="AG18" s="7">
        <f t="shared" si="22"/>
        <v>19432.710000000017</v>
      </c>
      <c r="AH18" s="7">
        <v>63</v>
      </c>
      <c r="AI18" s="7">
        <v>12.6984126984</v>
      </c>
      <c r="AJ18" s="11">
        <v>16</v>
      </c>
      <c r="AK18" s="11">
        <v>16</v>
      </c>
      <c r="AL18" s="11">
        <v>0</v>
      </c>
      <c r="AM18" s="11">
        <v>0</v>
      </c>
      <c r="AN18" s="11">
        <v>0</v>
      </c>
      <c r="AO18" s="13">
        <f>IFERROR(1050/F18,0)</f>
        <v>2.2101075585678503E-2</v>
      </c>
      <c r="AP18" s="11">
        <v>1500</v>
      </c>
      <c r="AQ18" s="7"/>
      <c r="AR18" s="7"/>
      <c r="AS18" s="7">
        <v>14</v>
      </c>
      <c r="AT18" s="7"/>
    </row>
    <row r="19" spans="1:46" x14ac:dyDescent="0.3">
      <c r="A19" s="5" t="s">
        <v>61</v>
      </c>
      <c r="B19" s="5">
        <v>32</v>
      </c>
      <c r="C19" s="7"/>
      <c r="D19" s="7">
        <v>7</v>
      </c>
      <c r="E19" s="7">
        <v>49067</v>
      </c>
      <c r="F19" s="7">
        <v>47276</v>
      </c>
      <c r="G19" s="7">
        <v>149</v>
      </c>
      <c r="H19" s="9">
        <f t="shared" si="12"/>
        <v>3.1517048819697099E-3</v>
      </c>
      <c r="I19" s="9">
        <f>IFERROR((49067-F19)/49067,0)</f>
        <v>3.6501110726149956E-2</v>
      </c>
      <c r="J19" s="7">
        <v>321500</v>
      </c>
      <c r="K19" s="11">
        <f t="shared" si="13"/>
        <v>97.149867646525564</v>
      </c>
      <c r="L19" s="11">
        <f>K19-98.1279</f>
        <v>-0.97803235347443263</v>
      </c>
      <c r="M19" s="11">
        <v>95.8</v>
      </c>
      <c r="N19" s="11">
        <f t="shared" si="14"/>
        <v>1.349867646525567</v>
      </c>
      <c r="O19" s="11">
        <f>IFERROR(3894510/49067,0)</f>
        <v>79.37126785823466</v>
      </c>
      <c r="P19" s="11">
        <v>79</v>
      </c>
      <c r="Q19" s="11">
        <f t="shared" si="15"/>
        <v>0.3712678582346598</v>
      </c>
      <c r="R19" s="7">
        <v>39570</v>
      </c>
      <c r="S19" s="11">
        <f t="shared" si="16"/>
        <v>119.57139231020271</v>
      </c>
      <c r="T19" s="13">
        <f t="shared" si="17"/>
        <v>8.1248420520596412</v>
      </c>
      <c r="U19" s="7">
        <v>59070</v>
      </c>
      <c r="V19" s="11">
        <f t="shared" si="18"/>
        <v>178.49588435086363</v>
      </c>
      <c r="W19" s="11">
        <f t="shared" si="19"/>
        <v>1.492797573919636</v>
      </c>
      <c r="X19" s="11">
        <v>290.32857142860001</v>
      </c>
      <c r="Y19" s="11">
        <f t="shared" si="20"/>
        <v>123.07931570762054</v>
      </c>
      <c r="Z19" s="11">
        <f t="shared" si="21"/>
        <v>35.733441901803118</v>
      </c>
      <c r="AA19" s="7">
        <v>1636</v>
      </c>
      <c r="AB19" s="15">
        <f>IFERROR(AA19/1675,0)</f>
        <v>0.97671641791044772</v>
      </c>
      <c r="AC19" s="11">
        <v>0</v>
      </c>
      <c r="AD19" s="15">
        <f>IFERROR(AC19/59.9,0)</f>
        <v>0</v>
      </c>
      <c r="AE19" s="11">
        <v>23</v>
      </c>
      <c r="AF19" s="11">
        <v>26</v>
      </c>
      <c r="AG19" s="7">
        <f t="shared" si="22"/>
        <v>4467.1439999999893</v>
      </c>
      <c r="AH19" s="7">
        <v>53</v>
      </c>
      <c r="AI19" s="7">
        <v>13.2075471698</v>
      </c>
      <c r="AJ19" s="11">
        <v>10</v>
      </c>
      <c r="AK19" s="11">
        <v>10</v>
      </c>
      <c r="AL19" s="11">
        <v>0</v>
      </c>
      <c r="AM19" s="11">
        <v>0</v>
      </c>
      <c r="AN19" s="11">
        <v>0</v>
      </c>
      <c r="AO19" s="13">
        <f>IFERROR(0/F19,0)</f>
        <v>0</v>
      </c>
      <c r="AP19" s="11">
        <v>1500</v>
      </c>
      <c r="AQ19" s="7"/>
      <c r="AR19" s="7"/>
      <c r="AS19" s="7">
        <v>14</v>
      </c>
      <c r="AT19" s="7"/>
    </row>
    <row r="20" spans="1:46" x14ac:dyDescent="0.3">
      <c r="A20" s="5" t="s">
        <v>62</v>
      </c>
      <c r="B20" s="5">
        <v>64</v>
      </c>
      <c r="C20" s="7"/>
      <c r="D20" s="7">
        <v>7</v>
      </c>
      <c r="E20" s="7">
        <v>52424</v>
      </c>
      <c r="F20" s="7">
        <v>41703</v>
      </c>
      <c r="G20" s="7">
        <v>431</v>
      </c>
      <c r="H20" s="9">
        <f t="shared" si="12"/>
        <v>1.0334987890559432E-2</v>
      </c>
      <c r="I20" s="9">
        <f>IFERROR((52424-F20)/52424,0)</f>
        <v>0.2045055699679536</v>
      </c>
      <c r="J20" s="7">
        <v>259360</v>
      </c>
      <c r="K20" s="11">
        <f t="shared" si="13"/>
        <v>88.845954898756858</v>
      </c>
      <c r="L20" s="11">
        <f>K20-87.537</f>
        <v>1.308954898756852</v>
      </c>
      <c r="M20" s="11">
        <v>90.2</v>
      </c>
      <c r="N20" s="11">
        <f t="shared" si="14"/>
        <v>-1.3540451012431447</v>
      </c>
      <c r="O20" s="11">
        <f>IFERROR(13409940/52424,0)</f>
        <v>255.79772623226003</v>
      </c>
      <c r="P20" s="11">
        <v>280</v>
      </c>
      <c r="Q20" s="11">
        <f t="shared" si="15"/>
        <v>-24.202273767739968</v>
      </c>
      <c r="R20" s="7">
        <v>35425</v>
      </c>
      <c r="S20" s="11">
        <f t="shared" si="16"/>
        <v>121.35132450217695</v>
      </c>
      <c r="T20" s="13">
        <f t="shared" si="17"/>
        <v>7.3213832039520117</v>
      </c>
      <c r="U20" s="7">
        <v>53530</v>
      </c>
      <c r="V20" s="11">
        <f t="shared" si="18"/>
        <v>183.37152859849067</v>
      </c>
      <c r="W20" s="11">
        <f t="shared" si="19"/>
        <v>1.5110797459421312</v>
      </c>
      <c r="X20" s="11">
        <v>294.15571428570001</v>
      </c>
      <c r="Y20" s="11">
        <f t="shared" si="20"/>
        <v>136.58621221468229</v>
      </c>
      <c r="Z20" s="11">
        <f t="shared" si="21"/>
        <v>40.177614815588072</v>
      </c>
      <c r="AA20" s="7">
        <v>1718</v>
      </c>
      <c r="AB20" s="15">
        <f>IFERROR(AA20/1725,0)</f>
        <v>0.99594202898550721</v>
      </c>
      <c r="AC20" s="11">
        <v>61.52</v>
      </c>
      <c r="AD20" s="15">
        <f>IFERROR(AC20/63.4,0)</f>
        <v>0.97034700315457423</v>
      </c>
      <c r="AE20" s="11">
        <v>22</v>
      </c>
      <c r="AF20" s="11">
        <v>26</v>
      </c>
      <c r="AG20" s="7">
        <f t="shared" si="22"/>
        <v>-3952.7420000000002</v>
      </c>
      <c r="AH20" s="7">
        <v>70</v>
      </c>
      <c r="AI20" s="7">
        <v>9.7142857143000008</v>
      </c>
      <c r="AJ20" s="11">
        <v>13</v>
      </c>
      <c r="AK20" s="11">
        <v>11</v>
      </c>
      <c r="AL20" s="11">
        <v>0</v>
      </c>
      <c r="AM20" s="11">
        <v>0</v>
      </c>
      <c r="AN20" s="11">
        <v>0</v>
      </c>
      <c r="AO20" s="13">
        <f>IFERROR(1400/F20,0)</f>
        <v>3.3570726326643166E-2</v>
      </c>
      <c r="AP20" s="11">
        <v>1600</v>
      </c>
      <c r="AQ20" s="7"/>
      <c r="AR20" s="7"/>
      <c r="AS20" s="7">
        <v>14.45</v>
      </c>
      <c r="AT20" s="7"/>
    </row>
    <row r="21" spans="1:46" x14ac:dyDescent="0.3">
      <c r="A21" s="5" t="s">
        <v>63</v>
      </c>
      <c r="B21" s="5">
        <v>54</v>
      </c>
      <c r="C21" s="7"/>
      <c r="D21" s="7">
        <v>7</v>
      </c>
      <c r="E21" s="7">
        <v>50525</v>
      </c>
      <c r="F21" s="7">
        <v>45348</v>
      </c>
      <c r="G21" s="7">
        <v>234</v>
      </c>
      <c r="H21" s="9">
        <f t="shared" si="12"/>
        <v>5.1600952632971687E-3</v>
      </c>
      <c r="I21" s="9">
        <f>IFERROR((50525-F21)/50525,0)</f>
        <v>0.10246412666996536</v>
      </c>
      <c r="J21" s="7">
        <v>297560</v>
      </c>
      <c r="K21" s="11">
        <f t="shared" si="13"/>
        <v>93.738580375256745</v>
      </c>
      <c r="L21" s="11">
        <f>K21-89.4777</f>
        <v>4.2608803752567468</v>
      </c>
      <c r="M21" s="11">
        <v>89</v>
      </c>
      <c r="N21" s="11">
        <f t="shared" si="14"/>
        <v>4.7385803752567455</v>
      </c>
      <c r="O21" s="11">
        <f>IFERROR(10269470/50525,0)</f>
        <v>203.25522018802573</v>
      </c>
      <c r="P21" s="11">
        <v>220</v>
      </c>
      <c r="Q21" s="11">
        <f t="shared" si="15"/>
        <v>-16.744779811974269</v>
      </c>
      <c r="R21" s="7">
        <v>36807</v>
      </c>
      <c r="S21" s="11">
        <f t="shared" si="16"/>
        <v>115.95093184137905</v>
      </c>
      <c r="T21" s="13">
        <f t="shared" si="17"/>
        <v>8.0843317847148644</v>
      </c>
      <c r="U21" s="7">
        <v>62216</v>
      </c>
      <c r="V21" s="11">
        <f t="shared" si="18"/>
        <v>195.99541324865484</v>
      </c>
      <c r="W21" s="11">
        <f t="shared" si="19"/>
        <v>1.6903306436275709</v>
      </c>
      <c r="X21" s="11">
        <v>301.24285714289999</v>
      </c>
      <c r="Y21" s="11">
        <f t="shared" si="20"/>
        <v>123.69606129856163</v>
      </c>
      <c r="Z21" s="11">
        <f t="shared" si="21"/>
        <v>37.262554922902005</v>
      </c>
      <c r="AA21" s="7">
        <v>1700</v>
      </c>
      <c r="AB21" s="15">
        <f>IFERROR(AA21/1580,0)</f>
        <v>1.0759493670886076</v>
      </c>
      <c r="AC21" s="11">
        <v>61.23</v>
      </c>
      <c r="AD21" s="15">
        <f>IFERROR(AC21/62.6,0)</f>
        <v>0.97811501597444084</v>
      </c>
      <c r="AE21" s="11">
        <v>21</v>
      </c>
      <c r="AF21" s="11">
        <v>26</v>
      </c>
      <c r="AG21" s="7">
        <f t="shared" si="22"/>
        <v>15041.960000000003</v>
      </c>
      <c r="AH21" s="7">
        <v>55</v>
      </c>
      <c r="AI21" s="7">
        <v>13.0909090909</v>
      </c>
      <c r="AJ21" s="11">
        <v>10</v>
      </c>
      <c r="AK21" s="11">
        <v>10</v>
      </c>
      <c r="AL21" s="11">
        <v>0</v>
      </c>
      <c r="AM21" s="11">
        <v>0</v>
      </c>
      <c r="AN21" s="11">
        <v>0</v>
      </c>
      <c r="AO21" s="13">
        <f>IFERROR(1400/F21,0)</f>
        <v>3.0872364823145454E-2</v>
      </c>
      <c r="AP21" s="11">
        <v>1600</v>
      </c>
      <c r="AQ21" s="7"/>
      <c r="AR21" s="7"/>
      <c r="AS21" s="7">
        <v>14.45</v>
      </c>
      <c r="AT21" s="7"/>
    </row>
    <row r="22" spans="1:46" x14ac:dyDescent="0.3">
      <c r="A22" s="5" t="s">
        <v>64</v>
      </c>
      <c r="B22" s="5">
        <v>73</v>
      </c>
      <c r="C22" s="7"/>
      <c r="D22" s="7">
        <v>7</v>
      </c>
      <c r="E22" s="7">
        <v>50845</v>
      </c>
      <c r="F22" s="7">
        <v>46127</v>
      </c>
      <c r="G22" s="7">
        <v>163</v>
      </c>
      <c r="H22" s="9">
        <f t="shared" si="12"/>
        <v>3.5337221150302427E-3</v>
      </c>
      <c r="I22" s="9">
        <f>IFERROR((50845-F22)/50845,0)</f>
        <v>9.2791818271216436E-2</v>
      </c>
      <c r="J22" s="7">
        <v>270580</v>
      </c>
      <c r="K22" s="11">
        <f t="shared" si="13"/>
        <v>83.799695870717187</v>
      </c>
      <c r="L22" s="11">
        <f>K22-86.1463</f>
        <v>-2.3466041292828095</v>
      </c>
      <c r="M22" s="11">
        <v>87.45</v>
      </c>
      <c r="N22" s="11">
        <f t="shared" si="14"/>
        <v>-3.6503041292828158</v>
      </c>
      <c r="O22" s="11">
        <f>IFERROR(16588730/50845,0)</f>
        <v>326.2607926049759</v>
      </c>
      <c r="P22" s="11">
        <v>333</v>
      </c>
      <c r="Q22" s="11">
        <f t="shared" si="15"/>
        <v>-6.7392073950240956</v>
      </c>
      <c r="R22" s="7">
        <v>38793</v>
      </c>
      <c r="S22" s="11">
        <f t="shared" si="16"/>
        <v>120.14345487148834</v>
      </c>
      <c r="T22" s="13">
        <f t="shared" si="17"/>
        <v>6.9749697110303401</v>
      </c>
      <c r="U22" s="7">
        <v>67200</v>
      </c>
      <c r="V22" s="11">
        <f t="shared" si="18"/>
        <v>208.12105708153575</v>
      </c>
      <c r="W22" s="11">
        <f t="shared" si="19"/>
        <v>1.7322712860567628</v>
      </c>
      <c r="X22" s="11">
        <v>311.31428571430001</v>
      </c>
      <c r="Y22" s="11">
        <f t="shared" si="20"/>
        <v>143.3697982112499</v>
      </c>
      <c r="Z22" s="11">
        <f t="shared" si="21"/>
        <v>44.633066323138593</v>
      </c>
      <c r="AA22" s="7">
        <v>1712</v>
      </c>
      <c r="AB22" s="15">
        <f>IFERROR(AA22/1725,0)</f>
        <v>0.99246376811594206</v>
      </c>
      <c r="AC22" s="11">
        <v>61.81</v>
      </c>
      <c r="AD22" s="15">
        <f>IFERROR(AC22/63.8,0)</f>
        <v>0.96880877742946714</v>
      </c>
      <c r="AE22" s="11">
        <v>21</v>
      </c>
      <c r="AF22" s="11">
        <v>26</v>
      </c>
      <c r="AG22" s="7">
        <f t="shared" si="22"/>
        <v>-11786.430499999991</v>
      </c>
      <c r="AH22" s="7">
        <v>61</v>
      </c>
      <c r="AI22" s="7">
        <v>12.459016393400001</v>
      </c>
      <c r="AJ22" s="11">
        <v>11</v>
      </c>
      <c r="AK22" s="11">
        <v>13</v>
      </c>
      <c r="AL22" s="11">
        <v>0</v>
      </c>
      <c r="AM22" s="11">
        <v>0</v>
      </c>
      <c r="AN22" s="11">
        <v>0</v>
      </c>
      <c r="AO22" s="13">
        <f>IFERROR(1400/F22,0)</f>
        <v>3.0350987491057298E-2</v>
      </c>
      <c r="AP22" s="11">
        <v>1600</v>
      </c>
      <c r="AQ22" s="7"/>
      <c r="AR22" s="7"/>
      <c r="AS22" s="7">
        <v>14.45</v>
      </c>
      <c r="AT22" s="7"/>
    </row>
    <row r="23" spans="1:46" x14ac:dyDescent="0.3">
      <c r="A23" s="5" t="s">
        <v>65</v>
      </c>
      <c r="B23" s="5">
        <v>40</v>
      </c>
      <c r="C23" s="7"/>
      <c r="D23" s="7">
        <v>7</v>
      </c>
      <c r="E23" s="7">
        <v>21024</v>
      </c>
      <c r="F23" s="7">
        <v>19655</v>
      </c>
      <c r="G23" s="7">
        <v>38</v>
      </c>
      <c r="H23" s="9">
        <f t="shared" si="12"/>
        <v>1.9333502925464258E-3</v>
      </c>
      <c r="I23" s="9">
        <f>IFERROR((21024-F23)/21024,0)</f>
        <v>6.5116057838660577E-2</v>
      </c>
      <c r="J23" s="7">
        <v>102710</v>
      </c>
      <c r="K23" s="11">
        <f t="shared" si="13"/>
        <v>74.652033288512555</v>
      </c>
      <c r="L23" s="11">
        <f>K23-74.0655</f>
        <v>0.58653328851255537</v>
      </c>
      <c r="M23" s="11">
        <v>92.5</v>
      </c>
      <c r="N23" s="11">
        <f t="shared" si="14"/>
        <v>-17.847966711487445</v>
      </c>
      <c r="O23" s="11">
        <f>IFERROR(1853831/21024,0)</f>
        <v>88.176893074581429</v>
      </c>
      <c r="P23" s="11">
        <v>136</v>
      </c>
      <c r="Q23" s="11">
        <f t="shared" si="15"/>
        <v>-47.823106925418571</v>
      </c>
      <c r="R23" s="7">
        <v>18000</v>
      </c>
      <c r="S23" s="11">
        <f t="shared" si="16"/>
        <v>130.82821528509649</v>
      </c>
      <c r="T23" s="13">
        <f t="shared" si="17"/>
        <v>5.7061111111111114</v>
      </c>
      <c r="U23" s="7">
        <v>22720</v>
      </c>
      <c r="V23" s="11">
        <f t="shared" si="18"/>
        <v>165.13428062652181</v>
      </c>
      <c r="W23" s="11">
        <f t="shared" si="19"/>
        <v>1.2622222222222224</v>
      </c>
      <c r="X23" s="11">
        <v>288.40285714290002</v>
      </c>
      <c r="Y23" s="11">
        <f t="shared" si="20"/>
        <v>175.25070587089863</v>
      </c>
      <c r="Z23" s="11">
        <f t="shared" si="21"/>
        <v>50.542804289477161</v>
      </c>
      <c r="AA23" s="7">
        <v>1980</v>
      </c>
      <c r="AB23" s="15">
        <f>IFERROR(AA23/1930,0)</f>
        <v>1.0259067357512954</v>
      </c>
      <c r="AC23" s="11">
        <v>0</v>
      </c>
      <c r="AD23" s="15">
        <f>IFERROR(AC23/62.3,0)</f>
        <v>0</v>
      </c>
      <c r="AE23" s="11">
        <v>20</v>
      </c>
      <c r="AF23" s="11">
        <v>27</v>
      </c>
      <c r="AG23" s="7">
        <f t="shared" si="22"/>
        <v>-24556.125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64</v>
      </c>
      <c r="C24" s="7"/>
      <c r="D24" s="7">
        <v>7</v>
      </c>
      <c r="E24" s="7">
        <v>21875</v>
      </c>
      <c r="F24" s="7">
        <v>20048</v>
      </c>
      <c r="G24" s="7">
        <v>57</v>
      </c>
      <c r="H24" s="9">
        <f t="shared" si="12"/>
        <v>2.8431763766959299E-3</v>
      </c>
      <c r="I24" s="9">
        <f>IFERROR((21875-F24)/21875,0)</f>
        <v>8.3519999999999997E-2</v>
      </c>
      <c r="J24" s="7">
        <v>116620</v>
      </c>
      <c r="K24" s="11">
        <f t="shared" si="13"/>
        <v>83.100558659217882</v>
      </c>
      <c r="L24" s="11">
        <f>K24-84.2292</f>
        <v>-1.1286413407821243</v>
      </c>
      <c r="M24" s="11">
        <v>84</v>
      </c>
      <c r="N24" s="11">
        <f t="shared" si="14"/>
        <v>-0.89944134078211846</v>
      </c>
      <c r="O24" s="11">
        <f>IFERROR(6240760/21875,0)</f>
        <v>285.29188571428574</v>
      </c>
      <c r="P24" s="11">
        <v>281</v>
      </c>
      <c r="Q24" s="11">
        <f t="shared" si="15"/>
        <v>4.2918857142857405</v>
      </c>
      <c r="R24" s="7">
        <v>18120</v>
      </c>
      <c r="S24" s="11">
        <f t="shared" si="16"/>
        <v>129.11868658077753</v>
      </c>
      <c r="T24" s="13">
        <f t="shared" si="17"/>
        <v>6.4359823399558502</v>
      </c>
      <c r="U24" s="7">
        <v>26764</v>
      </c>
      <c r="V24" s="11">
        <f t="shared" si="18"/>
        <v>190.71371565385931</v>
      </c>
      <c r="W24" s="11">
        <f t="shared" si="19"/>
        <v>1.4770419426048569</v>
      </c>
      <c r="X24" s="11">
        <v>285.0742857143</v>
      </c>
      <c r="Y24" s="11">
        <f t="shared" si="20"/>
        <v>155.37643628880119</v>
      </c>
      <c r="Z24" s="11">
        <f t="shared" si="21"/>
        <v>44.293826591863443</v>
      </c>
      <c r="AA24" s="7">
        <v>2010</v>
      </c>
      <c r="AB24" s="15">
        <f>IFERROR(AA24/1960,0)</f>
        <v>1.0255102040816326</v>
      </c>
      <c r="AC24" s="11">
        <v>65.66</v>
      </c>
      <c r="AD24" s="15">
        <f>IFERROR(AC24/63.85,0)</f>
        <v>1.0283476898981989</v>
      </c>
      <c r="AE24" s="11">
        <v>22</v>
      </c>
      <c r="AF24" s="11">
        <v>26</v>
      </c>
      <c r="AG24" s="7">
        <f t="shared" si="22"/>
        <v>-1262.2399999999936</v>
      </c>
      <c r="AH24" s="7">
        <v>0</v>
      </c>
      <c r="AI24" s="7">
        <v>0</v>
      </c>
      <c r="AJ24" s="11">
        <v>9</v>
      </c>
      <c r="AK24" s="11">
        <v>10</v>
      </c>
      <c r="AL24" s="11">
        <v>0</v>
      </c>
      <c r="AM24" s="11">
        <v>0</v>
      </c>
      <c r="AN24" s="11">
        <v>0</v>
      </c>
      <c r="AO24" s="13">
        <f>IFERROR(595/F24,0)</f>
        <v>2.967877094972067E-2</v>
      </c>
      <c r="AP24" s="11">
        <v>1600</v>
      </c>
      <c r="AQ24" s="7"/>
      <c r="AR24" s="7"/>
      <c r="AS24" s="7">
        <v>14.45</v>
      </c>
      <c r="AT24" s="7"/>
    </row>
    <row r="25" spans="1:46" x14ac:dyDescent="0.3">
      <c r="A25" s="5" t="s">
        <v>67</v>
      </c>
      <c r="B25" s="5">
        <v>20</v>
      </c>
      <c r="C25" s="7"/>
      <c r="D25" s="7">
        <v>7</v>
      </c>
      <c r="E25" s="7">
        <v>77078</v>
      </c>
      <c r="F25" s="7">
        <v>76968</v>
      </c>
      <c r="G25" s="7">
        <v>68</v>
      </c>
      <c r="H25" s="9">
        <f t="shared" si="12"/>
        <v>8.8348404531753458E-4</v>
      </c>
      <c r="I25" s="9">
        <f>IFERROR((77078-F25)/77078,0)</f>
        <v>1.4271257687018344E-3</v>
      </c>
      <c r="J25" s="7">
        <v>279340</v>
      </c>
      <c r="K25" s="11">
        <f t="shared" si="13"/>
        <v>51.847149835924391</v>
      </c>
      <c r="L25" s="11">
        <f>K25-10.6295</f>
        <v>41.217649835924391</v>
      </c>
      <c r="M25" s="11">
        <v>58.5</v>
      </c>
      <c r="N25" s="11">
        <f t="shared" si="14"/>
        <v>-6.652850164075609</v>
      </c>
      <c r="O25" s="11">
        <f>IFERROR(336660/77078,0)</f>
        <v>4.3677832844650872</v>
      </c>
      <c r="P25" s="11">
        <v>7</v>
      </c>
      <c r="Q25" s="11">
        <f t="shared" si="15"/>
        <v>-2.6322167155349128</v>
      </c>
      <c r="R25" s="7">
        <v>46018</v>
      </c>
      <c r="S25" s="11">
        <f t="shared" si="16"/>
        <v>85.41211932231576</v>
      </c>
      <c r="T25" s="13">
        <f t="shared" si="17"/>
        <v>6.0702333869355467</v>
      </c>
      <c r="U25" s="7">
        <v>80303</v>
      </c>
      <c r="V25" s="11">
        <f t="shared" si="18"/>
        <v>149.0470993511218</v>
      </c>
      <c r="W25" s="11">
        <f t="shared" si="19"/>
        <v>1.7450345516971622</v>
      </c>
      <c r="X25" s="11">
        <v>252.3942857143</v>
      </c>
      <c r="Y25" s="11">
        <f t="shared" si="20"/>
        <v>164.73831173480343</v>
      </c>
      <c r="Z25" s="11">
        <f t="shared" si="21"/>
        <v>41.579008520085402</v>
      </c>
      <c r="AA25" s="7">
        <v>1431</v>
      </c>
      <c r="AB25" s="15">
        <f>IFERROR(AA25/1680,0)</f>
        <v>0.85178571428571426</v>
      </c>
      <c r="AC25" s="11">
        <v>44.51</v>
      </c>
      <c r="AD25" s="15">
        <f>IFERROR(AC25/51.2,0)</f>
        <v>0.86933593749999993</v>
      </c>
      <c r="AE25" s="11">
        <v>22</v>
      </c>
      <c r="AF25" s="11">
        <v>27</v>
      </c>
      <c r="AG25" s="7">
        <f t="shared" si="22"/>
        <v>-35843.960000000006</v>
      </c>
      <c r="AH25" s="7">
        <v>17</v>
      </c>
      <c r="AI25" s="7">
        <v>20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1600</v>
      </c>
      <c r="AQ25" s="7"/>
      <c r="AR25" s="7"/>
      <c r="AS25" s="7">
        <v>12</v>
      </c>
      <c r="AT25" s="7"/>
    </row>
    <row r="26" spans="1:46" x14ac:dyDescent="0.3">
      <c r="A26" s="5" t="s">
        <v>68</v>
      </c>
      <c r="B26" s="5">
        <v>54</v>
      </c>
      <c r="C26" s="7"/>
      <c r="D26" s="7">
        <v>7</v>
      </c>
      <c r="E26" s="7">
        <v>21339</v>
      </c>
      <c r="F26" s="7">
        <v>19955</v>
      </c>
      <c r="G26" s="7">
        <v>71</v>
      </c>
      <c r="H26" s="9">
        <f t="shared" si="12"/>
        <v>3.5580055124029065E-3</v>
      </c>
      <c r="I26" s="9">
        <f>IFERROR((21339-F26)/21339,0)</f>
        <v>6.485777215427152E-2</v>
      </c>
      <c r="J26" s="7">
        <v>122660</v>
      </c>
      <c r="K26" s="11">
        <f t="shared" si="13"/>
        <v>87.811862404696271</v>
      </c>
      <c r="L26" s="11">
        <f>K26-88.8131</f>
        <v>-1.0012375953037349</v>
      </c>
      <c r="M26" s="11">
        <v>87.5</v>
      </c>
      <c r="N26" s="11">
        <f t="shared" si="14"/>
        <v>0.3118624046962708</v>
      </c>
      <c r="O26" s="11">
        <f>IFERROR(4544850/21339,0)</f>
        <v>212.98327006888795</v>
      </c>
      <c r="P26" s="11">
        <v>222</v>
      </c>
      <c r="Q26" s="11">
        <f t="shared" si="15"/>
        <v>-9.016729931112053</v>
      </c>
      <c r="R26" s="7">
        <v>18930</v>
      </c>
      <c r="S26" s="11">
        <f t="shared" si="16"/>
        <v>135.51920392311271</v>
      </c>
      <c r="T26" s="13">
        <f t="shared" si="17"/>
        <v>6.4796619123085053</v>
      </c>
      <c r="U26" s="7">
        <v>31107</v>
      </c>
      <c r="V26" s="11">
        <f t="shared" si="18"/>
        <v>222.6939184593908</v>
      </c>
      <c r="W26" s="11">
        <f t="shared" si="19"/>
        <v>1.6432646592709987</v>
      </c>
      <c r="X26" s="11">
        <v>290.35428571429998</v>
      </c>
      <c r="Y26" s="11">
        <f t="shared" si="20"/>
        <v>154.32903962171858</v>
      </c>
      <c r="Z26" s="11">
        <f t="shared" si="21"/>
        <v>44.810098064337993</v>
      </c>
      <c r="AA26" s="7">
        <v>1915</v>
      </c>
      <c r="AB26" s="15">
        <f>IFERROR(AA26/1950,0)</f>
        <v>0.982051282051282</v>
      </c>
      <c r="AC26" s="11">
        <v>65.03</v>
      </c>
      <c r="AD26" s="15">
        <f>IFERROR(AC26/63.5,0)</f>
        <v>1.0240944881889764</v>
      </c>
      <c r="AE26" s="11">
        <v>21</v>
      </c>
      <c r="AF26" s="11">
        <v>26</v>
      </c>
      <c r="AG26" s="7">
        <f t="shared" si="22"/>
        <v>435.62499999998585</v>
      </c>
      <c r="AH26" s="7">
        <v>0</v>
      </c>
      <c r="AI26" s="7">
        <v>0</v>
      </c>
      <c r="AJ26" s="11">
        <v>9</v>
      </c>
      <c r="AK26" s="11">
        <v>6</v>
      </c>
      <c r="AL26" s="11">
        <v>0</v>
      </c>
      <c r="AM26" s="11">
        <v>0</v>
      </c>
      <c r="AN26" s="11">
        <v>0</v>
      </c>
      <c r="AO26" s="13">
        <f>IFERROR(350/F26,0)</f>
        <v>1.7539463793535454E-2</v>
      </c>
      <c r="AP26" s="11">
        <v>1600</v>
      </c>
      <c r="AQ26" s="7"/>
      <c r="AR26" s="7"/>
      <c r="AS26" s="7">
        <v>14.45</v>
      </c>
      <c r="AT26" s="7"/>
    </row>
    <row r="27" spans="1:46" x14ac:dyDescent="0.3">
      <c r="A27" s="5" t="s">
        <v>69</v>
      </c>
      <c r="B27" s="5">
        <v>41</v>
      </c>
      <c r="C27" s="7"/>
      <c r="D27" s="7">
        <v>7</v>
      </c>
      <c r="E27" s="7">
        <v>64976</v>
      </c>
      <c r="F27" s="7">
        <v>62412</v>
      </c>
      <c r="G27" s="7">
        <v>108</v>
      </c>
      <c r="H27" s="9">
        <f t="shared" si="12"/>
        <v>1.7304364545279755E-3</v>
      </c>
      <c r="I27" s="9">
        <f>IFERROR((64976-F27)/64976,0)</f>
        <v>3.9460723959615855E-2</v>
      </c>
      <c r="J27" s="7">
        <v>425620</v>
      </c>
      <c r="K27" s="11">
        <f t="shared" si="13"/>
        <v>97.421741240237694</v>
      </c>
      <c r="L27" s="11">
        <f>K27-96.4811</f>
        <v>0.9406412402376958</v>
      </c>
      <c r="M27" s="11">
        <v>93</v>
      </c>
      <c r="N27" s="11">
        <f t="shared" si="14"/>
        <v>4.4217412402376937</v>
      </c>
      <c r="O27" s="11">
        <f>IFERROR(9082210/64976,0)</f>
        <v>139.77791800049249</v>
      </c>
      <c r="P27" s="11">
        <v>139</v>
      </c>
      <c r="Q27" s="11">
        <f t="shared" si="15"/>
        <v>0.77791800049249105</v>
      </c>
      <c r="R27" s="7">
        <v>51350</v>
      </c>
      <c r="S27" s="11">
        <f t="shared" si="16"/>
        <v>117.53692055557082</v>
      </c>
      <c r="T27" s="13">
        <f t="shared" si="17"/>
        <v>8.2886075949367086</v>
      </c>
      <c r="U27" s="7">
        <v>97010</v>
      </c>
      <c r="V27" s="11">
        <f t="shared" si="18"/>
        <v>222.04978895999855</v>
      </c>
      <c r="W27" s="11">
        <f t="shared" si="19"/>
        <v>1.8891918208373906</v>
      </c>
      <c r="X27" s="11">
        <v>292.39571428570002</v>
      </c>
      <c r="Y27" s="11">
        <f t="shared" si="20"/>
        <v>120.64752596212583</v>
      </c>
      <c r="Z27" s="11">
        <f t="shared" si="21"/>
        <v>35.276819530498315</v>
      </c>
      <c r="AA27" s="7">
        <v>1658</v>
      </c>
      <c r="AB27" s="15">
        <f>IFERROR(AA27/1570,0)</f>
        <v>1.0560509554140127</v>
      </c>
      <c r="AC27" s="11">
        <v>0</v>
      </c>
      <c r="AD27" s="15">
        <f>IFERROR(AC27/61.1,0)</f>
        <v>0</v>
      </c>
      <c r="AE27" s="11">
        <v>21</v>
      </c>
      <c r="AF27" s="11">
        <v>25</v>
      </c>
      <c r="AG27" s="7">
        <f t="shared" si="22"/>
        <v>19317.880000000045</v>
      </c>
      <c r="AH27" s="7">
        <v>63</v>
      </c>
      <c r="AI27" s="7">
        <v>13.650793650800001</v>
      </c>
      <c r="AJ27" s="11">
        <v>16</v>
      </c>
      <c r="AK27" s="11">
        <v>0</v>
      </c>
      <c r="AL27" s="11">
        <v>0</v>
      </c>
      <c r="AM27" s="11">
        <v>0</v>
      </c>
      <c r="AN27" s="11">
        <v>0</v>
      </c>
      <c r="AO27" s="13">
        <f>IFERROR(1050/F27,0)</f>
        <v>1.6823687752355317E-2</v>
      </c>
      <c r="AP27" s="11">
        <v>1500</v>
      </c>
      <c r="AQ27" s="7"/>
      <c r="AR27" s="7"/>
      <c r="AS27" s="7">
        <v>14</v>
      </c>
      <c r="AT27" s="7"/>
    </row>
    <row r="28" spans="1:46" x14ac:dyDescent="0.3">
      <c r="A28" s="5" t="s">
        <v>70</v>
      </c>
      <c r="B28" s="5">
        <v>112</v>
      </c>
      <c r="C28" s="7">
        <v>40</v>
      </c>
      <c r="D28" s="7">
        <v>7</v>
      </c>
      <c r="E28" s="7">
        <v>47224</v>
      </c>
      <c r="F28" s="7">
        <v>38857</v>
      </c>
      <c r="G28" s="7">
        <v>244</v>
      </c>
      <c r="H28" s="9">
        <f t="shared" si="12"/>
        <v>6.2794348508634227E-3</v>
      </c>
      <c r="I28" s="9">
        <f>IFERROR((47224-F28)/47224,0)</f>
        <v>0.17717685922412332</v>
      </c>
      <c r="J28" s="7">
        <v>157880</v>
      </c>
      <c r="K28" s="11">
        <f t="shared" si="13"/>
        <v>58.044331045334729</v>
      </c>
      <c r="L28" s="11">
        <f>K28-56.893</f>
        <v>1.1513310453347287</v>
      </c>
      <c r="M28" s="11">
        <v>68</v>
      </c>
      <c r="N28" s="11">
        <f t="shared" si="14"/>
        <v>-9.9556689546652706</v>
      </c>
      <c r="O28" s="11">
        <f>IFERROR(19691950/47224,0)</f>
        <v>416.99030154158902</v>
      </c>
      <c r="P28" s="11">
        <v>0</v>
      </c>
      <c r="Q28" s="11">
        <f t="shared" si="15"/>
        <v>416.99030154158902</v>
      </c>
      <c r="R28" s="7">
        <v>34330</v>
      </c>
      <c r="S28" s="11">
        <f t="shared" si="16"/>
        <v>126.21369931507101</v>
      </c>
      <c r="T28" s="13">
        <f t="shared" si="17"/>
        <v>4.598893096417128</v>
      </c>
      <c r="U28" s="7">
        <v>58700</v>
      </c>
      <c r="V28" s="11">
        <f t="shared" si="18"/>
        <v>215.80961694712113</v>
      </c>
      <c r="W28" s="11">
        <f t="shared" si="19"/>
        <v>1.7098747451208856</v>
      </c>
      <c r="X28" s="11">
        <v>293.62857142860003</v>
      </c>
      <c r="Y28" s="11">
        <f t="shared" si="20"/>
        <v>217.44362807195338</v>
      </c>
      <c r="Z28" s="11">
        <f t="shared" si="21"/>
        <v>63.847661877019505</v>
      </c>
      <c r="AA28" s="7">
        <v>1670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16</v>
      </c>
      <c r="AF28" s="11">
        <v>30</v>
      </c>
      <c r="AG28" s="7">
        <f t="shared" si="22"/>
        <v>-27079.319999999989</v>
      </c>
      <c r="AH28" s="7">
        <v>82</v>
      </c>
      <c r="AI28" s="7">
        <v>10.975609756100001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>
        <f>IFERROR(1400/F28,0)</f>
        <v>3.6029544226265538E-2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32</v>
      </c>
      <c r="C29" s="7"/>
      <c r="D29" s="7">
        <v>7</v>
      </c>
      <c r="E29" s="7">
        <v>24546</v>
      </c>
      <c r="F29" s="7">
        <v>23111</v>
      </c>
      <c r="G29" s="7">
        <v>194</v>
      </c>
      <c r="H29" s="9">
        <f t="shared" si="12"/>
        <v>8.394271126303492E-3</v>
      </c>
      <c r="I29" s="9">
        <f>IFERROR((24546-F29)/24546,0)</f>
        <v>5.846166381487819E-2</v>
      </c>
      <c r="J29" s="7">
        <v>147960</v>
      </c>
      <c r="K29" s="11">
        <f t="shared" si="13"/>
        <v>91.459230916632166</v>
      </c>
      <c r="L29" s="11">
        <f>K29-87.731</f>
        <v>3.728230916632171</v>
      </c>
      <c r="M29" s="11">
        <v>95.5</v>
      </c>
      <c r="N29" s="11">
        <f t="shared" si="14"/>
        <v>-4.0407690833678345</v>
      </c>
      <c r="O29" s="11">
        <f>IFERROR(1838290/24546,0)</f>
        <v>74.891632037806573</v>
      </c>
      <c r="P29" s="11">
        <v>80</v>
      </c>
      <c r="Q29" s="11">
        <f t="shared" si="15"/>
        <v>-5.1083679621934266</v>
      </c>
      <c r="R29" s="7">
        <v>19430</v>
      </c>
      <c r="S29" s="11">
        <f t="shared" si="16"/>
        <v>120.10359939917294</v>
      </c>
      <c r="T29" s="13">
        <f t="shared" si="17"/>
        <v>7.6150283067421514</v>
      </c>
      <c r="U29" s="7">
        <v>29800</v>
      </c>
      <c r="V29" s="11">
        <f t="shared" si="18"/>
        <v>184.20418230032698</v>
      </c>
      <c r="W29" s="11">
        <f t="shared" si="19"/>
        <v>1.5337107565620174</v>
      </c>
      <c r="X29" s="11">
        <v>292.87571428569998</v>
      </c>
      <c r="Y29" s="11">
        <f t="shared" si="20"/>
        <v>131.31927547985941</v>
      </c>
      <c r="Z29" s="11">
        <f t="shared" si="21"/>
        <v>38.460226605644436</v>
      </c>
      <c r="AA29" s="7">
        <v>1559</v>
      </c>
      <c r="AB29" s="15">
        <f>IFERROR(AA29/1540,0)</f>
        <v>1.0123376623376623</v>
      </c>
      <c r="AC29" s="11">
        <v>0</v>
      </c>
      <c r="AD29" s="15">
        <f>IFERROR(AC29/58.5,0)</f>
        <v>0</v>
      </c>
      <c r="AE29" s="11">
        <v>16</v>
      </c>
      <c r="AF29" s="11">
        <v>31</v>
      </c>
      <c r="AG29" s="7">
        <f t="shared" si="22"/>
        <v>-6537.0349999999817</v>
      </c>
      <c r="AH29" s="7">
        <v>30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IFERROR(0/F29,0)</f>
        <v>0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32</v>
      </c>
      <c r="C30" s="7"/>
      <c r="D30" s="7">
        <v>7</v>
      </c>
      <c r="E30" s="7">
        <v>12056</v>
      </c>
      <c r="F30" s="7">
        <v>11201</v>
      </c>
      <c r="G30" s="7">
        <v>128</v>
      </c>
      <c r="H30" s="9">
        <f t="shared" si="12"/>
        <v>1.1427551111507901E-2</v>
      </c>
      <c r="I30" s="9">
        <f>IFERROR((12056-F30)/12056,0)</f>
        <v>7.091904445919045E-2</v>
      </c>
      <c r="J30" s="7">
        <v>72580</v>
      </c>
      <c r="K30" s="11">
        <f t="shared" si="13"/>
        <v>92.568265588531645</v>
      </c>
      <c r="L30" s="11">
        <f>K30-89.2526</f>
        <v>3.3156655885316439</v>
      </c>
      <c r="M30" s="11">
        <v>94.5</v>
      </c>
      <c r="N30" s="11">
        <f t="shared" si="14"/>
        <v>-1.931734411468355</v>
      </c>
      <c r="O30" s="11">
        <f>IFERROR(997510/12056,0)</f>
        <v>82.73971466489715</v>
      </c>
      <c r="P30" s="11">
        <v>85</v>
      </c>
      <c r="Q30" s="11">
        <f t="shared" si="15"/>
        <v>-2.26028533510285</v>
      </c>
      <c r="R30" s="7">
        <v>9640</v>
      </c>
      <c r="S30" s="11">
        <f t="shared" si="16"/>
        <v>122.94820615506269</v>
      </c>
      <c r="T30" s="13">
        <f t="shared" si="17"/>
        <v>7.5290456431535269</v>
      </c>
      <c r="U30" s="7">
        <v>14700</v>
      </c>
      <c r="V30" s="11">
        <f t="shared" si="18"/>
        <v>187.48326042317652</v>
      </c>
      <c r="W30" s="11">
        <f t="shared" si="19"/>
        <v>1.5248962655601661</v>
      </c>
      <c r="X30" s="11">
        <v>290.91714285709998</v>
      </c>
      <c r="Y30" s="11">
        <f t="shared" si="20"/>
        <v>132.81895839074124</v>
      </c>
      <c r="Z30" s="11">
        <f t="shared" si="21"/>
        <v>38.639311892290493</v>
      </c>
      <c r="AA30" s="7">
        <v>1811</v>
      </c>
      <c r="AB30" s="15">
        <f>IFERROR(AA30/1910,0)</f>
        <v>0.94816753926701569</v>
      </c>
      <c r="AC30" s="11">
        <v>0</v>
      </c>
      <c r="AD30" s="15">
        <f>IFERROR(AC30/61.3,0)</f>
        <v>0</v>
      </c>
      <c r="AE30" s="11">
        <v>16</v>
      </c>
      <c r="AF30" s="11">
        <v>31</v>
      </c>
      <c r="AG30" s="7">
        <f t="shared" si="22"/>
        <v>-1514.6149999999932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IFERROR(0/F30,0)</f>
        <v>0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619549</v>
      </c>
      <c r="F31" s="17">
        <f>SUM(F14:F30)</f>
        <v>583152</v>
      </c>
      <c r="G31" s="17">
        <f>SUM(G14:G30)</f>
        <v>2189</v>
      </c>
      <c r="H31" s="18">
        <f t="shared" si="12"/>
        <v>3.7537383049359345E-3</v>
      </c>
      <c r="I31" s="18"/>
      <c r="J31" s="17">
        <f>SUM(J14:J30)</f>
        <v>3086860</v>
      </c>
      <c r="K31" s="19">
        <f t="shared" si="13"/>
        <v>75.620078470107273</v>
      </c>
      <c r="L31" s="19"/>
      <c r="M31" s="19">
        <f>IFERROR(SUMPRODUCT($F14:$F30,M14:M30)/$F31, 0)</f>
        <v>80.493794585288228</v>
      </c>
      <c r="N31" s="19">
        <f t="shared" si="14"/>
        <v>-4.8737161151809545</v>
      </c>
      <c r="O31" s="19">
        <f>IFERROR(SUMPRODUCT($E14:$E30,O14:O30)/$E31, 0)</f>
        <v>214.18358192814449</v>
      </c>
      <c r="P31" s="19">
        <f>IFERROR(SUMPRODUCT($E14:$E30,P14:P30)/$E31, 0)</f>
        <v>161.67434698466141</v>
      </c>
      <c r="Q31" s="19">
        <f>IFERROR(SUMPRODUCT($E14:$E30,Q14:Q30)/$E31, 0)</f>
        <v>52.509234943483079</v>
      </c>
      <c r="R31" s="17">
        <f>SUM(R14:R30)</f>
        <v>467293</v>
      </c>
      <c r="S31" s="19">
        <f>IFERROR(R31/D31/$F31*1000,0)</f>
        <v>114.47468731504453</v>
      </c>
      <c r="T31" s="20">
        <f t="shared" si="17"/>
        <v>6.6058340270451303</v>
      </c>
      <c r="U31" s="17">
        <f>SUM(U14:U30)</f>
        <v>762837</v>
      </c>
      <c r="V31" s="19">
        <f>IFERROR(U31/D31/$F31*1000,0)</f>
        <v>186.87531601660336</v>
      </c>
      <c r="W31" s="19">
        <f t="shared" si="19"/>
        <v>1.6324597201327649</v>
      </c>
      <c r="X31" s="19">
        <f>IFERROR(SUMPRODUCT(R14:R30,X14:X30)/R31,0)</f>
        <v>285.65577345936697</v>
      </c>
      <c r="Y31" s="19">
        <f>IFERROR(($F31*S31)/($F31*K31)*100,0)</f>
        <v>151.3813389658099</v>
      </c>
      <c r="Z31" s="19">
        <f t="shared" si="21"/>
        <v>43.242953469593033</v>
      </c>
      <c r="AA31" s="17"/>
      <c r="AB31" s="21">
        <f>IFERROR(SUMPRODUCT($F14:$F30,AB14:AB30)/$F31,0)</f>
        <v>0.92095232333986699</v>
      </c>
      <c r="AC31" s="19"/>
      <c r="AD31" s="21">
        <f>AVERAGE(AD14:AD30)</f>
        <v>0.34347346542033275</v>
      </c>
      <c r="AE31" s="19"/>
      <c r="AF31" s="19"/>
      <c r="AG31" s="17">
        <f>SUM(AG14:AG30)</f>
        <v>-214218.21099999989</v>
      </c>
      <c r="AH31" s="17">
        <f>SUM(AH14:AH30)</f>
        <v>527</v>
      </c>
      <c r="AI31" s="17">
        <f>IFERROR(SUMPRODUCT(AH14:AH30,AI14:AI30)/AH31, 0)</f>
        <v>12.523719165078179</v>
      </c>
      <c r="AJ31" s="19">
        <f>AVERAGE(AJ14:AJ30)</f>
        <v>5.5294117647058822</v>
      </c>
      <c r="AK31" s="19">
        <f>AVERAGE(AK14:AK30)</f>
        <v>4.4705882352941178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669147</v>
      </c>
      <c r="F33" s="23">
        <f>F12+F31</f>
        <v>623507</v>
      </c>
      <c r="G33" s="23">
        <f>G12+G31</f>
        <v>2378</v>
      </c>
      <c r="H33" s="24">
        <f>IFERROR(G33/F33,0)</f>
        <v>3.8139106698080374E-3</v>
      </c>
      <c r="I33" s="23"/>
      <c r="J33" s="23">
        <f>J12+J31</f>
        <v>3266320</v>
      </c>
      <c r="K33" s="25">
        <f>IFERROR(J33/D33/F33*100,0)</f>
        <v>74.837514712287572</v>
      </c>
      <c r="L33" s="23"/>
      <c r="M33" s="25">
        <f>IFERROR($F$12/$F33*M$12,0)+IFERROR($F$31/$F33*M$31,0)</f>
        <v>79.411283754633061</v>
      </c>
      <c r="N33" s="25">
        <f>K33-M33</f>
        <v>-4.5737690423454893</v>
      </c>
      <c r="O33" s="23">
        <f>IFERROR($E$12/$E33*O$12,0)+IFERROR($E$31/$E33*O$31,0)</f>
        <v>222.80436286794981</v>
      </c>
      <c r="P33" s="23">
        <f>IFERROR($E$12/$E33*P$12,0)+IFERROR($E$31/$E33*P$31,0)</f>
        <v>153.73465770600478</v>
      </c>
      <c r="Q33" s="23">
        <f>IFERROR($E$12/$E33*Q$12,0)+IFERROR($E$31/$E33*Q$31,0)</f>
        <v>69.069705161944981</v>
      </c>
      <c r="R33" s="23">
        <f>R12+R31</f>
        <v>502476</v>
      </c>
      <c r="S33" s="25">
        <f>IFERROR(R33/D33/$F33*1000,0)</f>
        <v>115.12667173630081</v>
      </c>
      <c r="T33" s="26">
        <f>IFERROR(J33/R33,0)</f>
        <v>6.5004497727254638</v>
      </c>
      <c r="U33" s="23">
        <f>U12+U31</f>
        <v>779327</v>
      </c>
      <c r="V33" s="25">
        <f>IFERROR(U33/D33/$F33*1000,0)</f>
        <v>178.5584260825116</v>
      </c>
      <c r="W33" s="25">
        <f>IFERROR(V33/S33,0)</f>
        <v>1.5509735788375962</v>
      </c>
      <c r="X33" s="25">
        <f>IFERROR($F$12/$F33*X$12,0)+IFERROR($F$31/$F33*X$31,0)</f>
        <v>273.02414996369004</v>
      </c>
      <c r="Y33" s="25">
        <f>IFERROR(($F33*S33)/($F33*K33)*100,0)</f>
        <v>153.83550907443237</v>
      </c>
      <c r="Z33" s="25">
        <f>IFERROR(Y33*X33/1000,0)</f>
        <v>42.00080909927842</v>
      </c>
      <c r="AA33" s="23"/>
      <c r="AB33" s="27"/>
      <c r="AC33" s="23"/>
      <c r="AD33" s="27"/>
      <c r="AE33" s="23"/>
      <c r="AF33" s="23"/>
      <c r="AG33" s="23">
        <f>AG12+AG31</f>
        <v>-235834.39099999989</v>
      </c>
      <c r="AH33" s="23">
        <f>AH12+AH31</f>
        <v>527</v>
      </c>
      <c r="AI33" s="23">
        <f>IFERROR(AH$12/AH33*AI$12,0)+IFERROR(AH$31/AH33*AI$31,0)</f>
        <v>12.523719165078179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57</v>
      </c>
      <c r="P36" s="32" t="s">
        <v>58</v>
      </c>
      <c r="Q36" s="32" t="s">
        <v>59</v>
      </c>
      <c r="R36" s="32" t="s">
        <v>80</v>
      </c>
      <c r="S36" s="32" t="s">
        <v>60</v>
      </c>
      <c r="T36" s="32" t="s">
        <v>69</v>
      </c>
      <c r="U36" s="32" t="s">
        <v>61</v>
      </c>
      <c r="V36" s="32" t="s">
        <v>70</v>
      </c>
      <c r="W36" s="32" t="s">
        <v>71</v>
      </c>
      <c r="X36" s="32" t="s">
        <v>72</v>
      </c>
      <c r="Y36" s="32" t="s">
        <v>62</v>
      </c>
      <c r="Z36" s="32" t="s">
        <v>66</v>
      </c>
      <c r="AA36" s="32" t="s">
        <v>67</v>
      </c>
      <c r="AB36" s="32" t="s">
        <v>81</v>
      </c>
      <c r="AC36" s="32" t="s">
        <v>63</v>
      </c>
      <c r="AD36" s="32" t="s">
        <v>68</v>
      </c>
      <c r="AE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/>
      <c r="P37" s="8">
        <v>5.7999999999999996E-3</v>
      </c>
      <c r="Q37" s="8">
        <v>2.3999999999999998E-3</v>
      </c>
      <c r="R37" s="8">
        <v>3.3999999999999998E-3</v>
      </c>
      <c r="S37" s="8">
        <v>1.6999999999999999E-3</v>
      </c>
      <c r="T37" s="8"/>
      <c r="U37" s="8">
        <v>2.5000000000000001E-3</v>
      </c>
      <c r="V37" s="8">
        <v>5.3E-3</v>
      </c>
      <c r="W37" s="8">
        <v>6.3E-3</v>
      </c>
      <c r="X37" s="8">
        <v>2.7000000000000001E-3</v>
      </c>
      <c r="Y37" s="8">
        <v>1.5E-3</v>
      </c>
      <c r="Z37" s="8">
        <v>1.4E-3</v>
      </c>
      <c r="AA37" s="8">
        <v>2.8E-3</v>
      </c>
      <c r="AB37" s="8">
        <v>1.6999999999999999E-3</v>
      </c>
      <c r="AC37" s="8"/>
      <c r="AD37" s="8"/>
      <c r="AE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/>
      <c r="P38" s="9">
        <v>1.32E-2</v>
      </c>
      <c r="Q38" s="9">
        <v>2.3999999999999998E-3</v>
      </c>
      <c r="R38" s="9">
        <v>4.1999999999999997E-3</v>
      </c>
      <c r="S38" s="9">
        <v>1.6999999999999999E-3</v>
      </c>
      <c r="T38" s="9"/>
      <c r="U38" s="9">
        <v>2.5000000000000001E-3</v>
      </c>
      <c r="V38" s="9">
        <v>5.7999999999999996E-3</v>
      </c>
      <c r="W38" s="9">
        <v>3.5999999999999999E-3</v>
      </c>
      <c r="X38" s="9">
        <v>2.3E-3</v>
      </c>
      <c r="Y38" s="9">
        <v>1.5E-3</v>
      </c>
      <c r="Z38" s="9">
        <v>1E-3</v>
      </c>
      <c r="AA38" s="9">
        <v>3.0000000000000001E-3</v>
      </c>
      <c r="AB38" s="9">
        <v>1.8E-3</v>
      </c>
      <c r="AC38" s="9"/>
      <c r="AD38" s="9"/>
      <c r="AE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/>
      <c r="P39" s="9">
        <v>9.7999999999999997E-3</v>
      </c>
      <c r="Q39" s="9">
        <v>2.5000000000000001E-3</v>
      </c>
      <c r="R39" s="9">
        <v>3.3E-3</v>
      </c>
      <c r="S39" s="9">
        <v>1.8E-3</v>
      </c>
      <c r="T39" s="9"/>
      <c r="U39" s="9">
        <v>2.5000000000000001E-3</v>
      </c>
      <c r="V39" s="9">
        <v>5.4999999999999997E-3</v>
      </c>
      <c r="W39" s="9">
        <v>3.5000000000000001E-3</v>
      </c>
      <c r="X39" s="9">
        <v>2.5000000000000001E-3</v>
      </c>
      <c r="Y39" s="9">
        <v>1.6999999999999999E-3</v>
      </c>
      <c r="Z39" s="9">
        <v>6.9999999999999999E-4</v>
      </c>
      <c r="AA39" s="9">
        <v>2.8E-3</v>
      </c>
      <c r="AB39" s="9">
        <v>1.4E-3</v>
      </c>
      <c r="AC39" s="9"/>
      <c r="AD39" s="9"/>
      <c r="AE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/>
      <c r="P40" s="9">
        <v>7.3000000000000001E-3</v>
      </c>
      <c r="Q40" s="9">
        <v>2.5000000000000001E-3</v>
      </c>
      <c r="R40" s="9">
        <v>4.1000000000000003E-3</v>
      </c>
      <c r="S40" s="9">
        <v>1.6999999999999999E-3</v>
      </c>
      <c r="T40" s="9"/>
      <c r="U40" s="9">
        <v>2.5999999999999999E-3</v>
      </c>
      <c r="V40" s="9">
        <v>3.2000000000000002E-3</v>
      </c>
      <c r="W40" s="9">
        <v>3.7000000000000002E-3</v>
      </c>
      <c r="X40" s="9">
        <v>2.5000000000000001E-3</v>
      </c>
      <c r="Y40" s="9">
        <v>1.6000000000000001E-3</v>
      </c>
      <c r="Z40" s="9">
        <v>8.9999999999999998E-4</v>
      </c>
      <c r="AA40" s="9">
        <v>3.5000000000000001E-3</v>
      </c>
      <c r="AB40" s="9">
        <v>1.6000000000000001E-3</v>
      </c>
      <c r="AC40" s="9"/>
      <c r="AD40" s="9"/>
      <c r="AE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/>
      <c r="P41" s="9">
        <v>4.5999999999999999E-3</v>
      </c>
      <c r="Q41" s="9">
        <v>4.1000000000000003E-3</v>
      </c>
      <c r="R41" s="9">
        <v>4.1000000000000003E-3</v>
      </c>
      <c r="S41" s="9">
        <v>1.6999999999999999E-3</v>
      </c>
      <c r="T41" s="9"/>
      <c r="U41" s="9">
        <v>2.3E-3</v>
      </c>
      <c r="V41" s="9">
        <v>2.2000000000000001E-3</v>
      </c>
      <c r="W41" s="9">
        <v>4.4000000000000003E-3</v>
      </c>
      <c r="X41" s="9">
        <v>2.3E-3</v>
      </c>
      <c r="Y41" s="9">
        <v>1.6000000000000001E-3</v>
      </c>
      <c r="Z41" s="9">
        <v>8.9999999999999998E-4</v>
      </c>
      <c r="AA41" s="9">
        <v>3.0999999999999999E-3</v>
      </c>
      <c r="AB41" s="9">
        <v>1.5E-3</v>
      </c>
      <c r="AC41" s="9"/>
      <c r="AD41" s="9"/>
      <c r="AE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/>
      <c r="P42" s="9">
        <v>4.0000000000000001E-3</v>
      </c>
      <c r="Q42" s="9">
        <v>2.7000000000000001E-3</v>
      </c>
      <c r="R42" s="9">
        <v>3.8E-3</v>
      </c>
      <c r="S42" s="9">
        <v>1.5E-3</v>
      </c>
      <c r="T42" s="9"/>
      <c r="U42" s="9">
        <v>1.6999999999999999E-3</v>
      </c>
      <c r="V42" s="9">
        <v>3.0000000000000001E-3</v>
      </c>
      <c r="W42" s="9">
        <v>3.5999999999999999E-3</v>
      </c>
      <c r="X42" s="9">
        <v>1.8E-3</v>
      </c>
      <c r="Y42" s="9">
        <v>8.9999999999999998E-4</v>
      </c>
      <c r="Z42" s="9">
        <v>5.9999999999999995E-4</v>
      </c>
      <c r="AA42" s="9">
        <v>1.6999999999999999E-3</v>
      </c>
      <c r="AB42" s="9">
        <v>1E-3</v>
      </c>
      <c r="AC42" s="9">
        <v>0</v>
      </c>
      <c r="AD42" s="9">
        <v>0</v>
      </c>
      <c r="AE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/>
      <c r="P43" s="9">
        <v>4.4999999999999997E-3</v>
      </c>
      <c r="Q43" s="9">
        <v>2E-3</v>
      </c>
      <c r="R43" s="9">
        <v>4.8999999999999998E-3</v>
      </c>
      <c r="S43" s="9">
        <v>1.4E-3</v>
      </c>
      <c r="T43" s="9"/>
      <c r="U43" s="9">
        <v>1.9E-3</v>
      </c>
      <c r="V43" s="9">
        <v>4.3E-3</v>
      </c>
      <c r="W43" s="9">
        <v>4.1999999999999997E-3</v>
      </c>
      <c r="X43" s="9">
        <v>4.4000000000000003E-3</v>
      </c>
      <c r="Y43" s="9">
        <v>1.1000000000000001E-3</v>
      </c>
      <c r="Z43" s="9">
        <v>5.0000000000000001E-4</v>
      </c>
      <c r="AA43" s="9">
        <v>2.0999999999999999E-3</v>
      </c>
      <c r="AB43" s="9">
        <v>1.1999999999999999E-3</v>
      </c>
      <c r="AC43" s="9">
        <v>8.9999999999999998E-4</v>
      </c>
      <c r="AD43" s="9">
        <v>8.0000000000000004E-4</v>
      </c>
      <c r="AE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/>
      <c r="P44" s="9">
        <v>5.1999999999999998E-3</v>
      </c>
      <c r="Q44" s="9">
        <v>1.9E-3</v>
      </c>
      <c r="R44" s="9">
        <v>2.3999999999999998E-3</v>
      </c>
      <c r="S44" s="9">
        <v>1.2999999999999999E-3</v>
      </c>
      <c r="T44" s="9"/>
      <c r="U44" s="9">
        <v>1.9E-3</v>
      </c>
      <c r="V44" s="9">
        <v>3.0999999999999999E-3</v>
      </c>
      <c r="W44" s="9">
        <v>3.2000000000000002E-3</v>
      </c>
      <c r="X44" s="9">
        <v>2.3E-3</v>
      </c>
      <c r="Y44" s="9">
        <v>1.1000000000000001E-3</v>
      </c>
      <c r="Z44" s="9">
        <v>5.0000000000000001E-4</v>
      </c>
      <c r="AA44" s="9">
        <v>2.8E-3</v>
      </c>
      <c r="AB44" s="9">
        <v>1.2999999999999999E-3</v>
      </c>
      <c r="AC44" s="9">
        <v>1.1999999999999999E-3</v>
      </c>
      <c r="AD44" s="9">
        <v>6.9999999999999999E-4</v>
      </c>
      <c r="AE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/>
      <c r="P45" s="9">
        <v>5.0000000000000001E-3</v>
      </c>
      <c r="Q45" s="9">
        <v>2.7000000000000001E-3</v>
      </c>
      <c r="R45" s="9">
        <v>4.8999999999999998E-3</v>
      </c>
      <c r="S45" s="9">
        <v>2E-3</v>
      </c>
      <c r="T45" s="9"/>
      <c r="U45" s="9">
        <v>2.5000000000000001E-3</v>
      </c>
      <c r="V45" s="9">
        <v>3.0999999999999999E-3</v>
      </c>
      <c r="W45" s="9">
        <v>4.5999999999999999E-3</v>
      </c>
      <c r="X45" s="9">
        <v>2.8E-3</v>
      </c>
      <c r="Y45" s="9">
        <v>1.6999999999999999E-3</v>
      </c>
      <c r="Z45" s="9">
        <v>1E-3</v>
      </c>
      <c r="AA45" s="9">
        <v>3.5999999999999999E-3</v>
      </c>
      <c r="AB45" s="9">
        <v>1.6000000000000001E-3</v>
      </c>
      <c r="AC45" s="9">
        <v>2.3E-3</v>
      </c>
      <c r="AD45" s="9">
        <v>1.1999999999999999E-3</v>
      </c>
      <c r="AE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/>
      <c r="P46" s="9">
        <v>5.5999999999999999E-3</v>
      </c>
      <c r="Q46" s="9">
        <v>2.8999999999999998E-3</v>
      </c>
      <c r="R46" s="9">
        <v>4.1999999999999997E-3</v>
      </c>
      <c r="S46" s="9">
        <v>2.3E-3</v>
      </c>
      <c r="T46" s="9"/>
      <c r="U46" s="9">
        <v>2.5000000000000001E-3</v>
      </c>
      <c r="V46" s="9">
        <v>2.5999999999999999E-3</v>
      </c>
      <c r="W46" s="9">
        <v>3.3999999999999998E-3</v>
      </c>
      <c r="X46" s="9">
        <v>2.5000000000000001E-3</v>
      </c>
      <c r="Y46" s="9">
        <v>2E-3</v>
      </c>
      <c r="Z46" s="9">
        <v>1E-3</v>
      </c>
      <c r="AA46" s="9">
        <v>3.5000000000000001E-3</v>
      </c>
      <c r="AB46" s="9">
        <v>1.6999999999999999E-3</v>
      </c>
      <c r="AC46" s="9">
        <v>1.6999999999999999E-3</v>
      </c>
      <c r="AD46" s="9">
        <v>1.6000000000000001E-3</v>
      </c>
      <c r="AE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/>
      <c r="P47" s="9">
        <v>3.5000000000000001E-3</v>
      </c>
      <c r="Q47" s="9">
        <v>2.5000000000000001E-3</v>
      </c>
      <c r="R47" s="9">
        <v>3.5000000000000001E-3</v>
      </c>
      <c r="S47" s="9">
        <v>2.3E-3</v>
      </c>
      <c r="T47" s="9"/>
      <c r="U47" s="9">
        <v>3.0000000000000001E-3</v>
      </c>
      <c r="V47" s="9">
        <v>2.3E-3</v>
      </c>
      <c r="W47" s="9">
        <v>3.0999999999999999E-3</v>
      </c>
      <c r="X47" s="9">
        <v>2.8E-3</v>
      </c>
      <c r="Y47" s="9">
        <v>1.9E-3</v>
      </c>
      <c r="Z47" s="9">
        <v>8.9999999999999998E-4</v>
      </c>
      <c r="AA47" s="9">
        <v>3.5000000000000001E-3</v>
      </c>
      <c r="AB47" s="9">
        <v>1.5E-3</v>
      </c>
      <c r="AC47" s="9">
        <v>1.1000000000000001E-3</v>
      </c>
      <c r="AD47" s="9">
        <v>1.1999999999999999E-3</v>
      </c>
      <c r="AE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/>
      <c r="P48" s="9">
        <v>4.4000000000000003E-3</v>
      </c>
      <c r="Q48" s="9">
        <v>3.7000000000000002E-3</v>
      </c>
      <c r="R48" s="9">
        <v>3.2000000000000002E-3</v>
      </c>
      <c r="S48" s="9">
        <v>2.5999999999999999E-3</v>
      </c>
      <c r="T48" s="9"/>
      <c r="U48" s="9">
        <v>3.3999999999999998E-3</v>
      </c>
      <c r="V48" s="9">
        <v>2.5000000000000001E-3</v>
      </c>
      <c r="W48" s="9">
        <v>3.0999999999999999E-3</v>
      </c>
      <c r="X48" s="9">
        <v>3.2000000000000002E-3</v>
      </c>
      <c r="Y48" s="9">
        <v>1.5E-3</v>
      </c>
      <c r="Z48" s="9">
        <v>8.0000000000000004E-4</v>
      </c>
      <c r="AA48" s="9">
        <v>3.8999999999999998E-3</v>
      </c>
      <c r="AB48" s="9">
        <v>3.5999999999999999E-3</v>
      </c>
      <c r="AC48" s="9">
        <v>1.1000000000000001E-3</v>
      </c>
      <c r="AD48" s="9">
        <v>1E-3</v>
      </c>
      <c r="AE48" s="9">
        <v>8.9999999999999998E-4</v>
      </c>
    </row>
    <row r="49" spans="2:31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/>
      <c r="P49" s="9">
        <v>5.3E-3</v>
      </c>
      <c r="Q49" s="9">
        <v>2.5000000000000001E-3</v>
      </c>
      <c r="R49" s="9">
        <v>3.8E-3</v>
      </c>
      <c r="S49" s="9">
        <v>3.0000000000000001E-3</v>
      </c>
      <c r="T49" s="9"/>
      <c r="U49" s="9">
        <v>3.5999999999999999E-3</v>
      </c>
      <c r="V49" s="9">
        <v>2.5000000000000001E-3</v>
      </c>
      <c r="W49" s="9">
        <v>3.5000000000000001E-3</v>
      </c>
      <c r="X49" s="9">
        <v>3.0999999999999999E-3</v>
      </c>
      <c r="Y49" s="9">
        <v>2E-3</v>
      </c>
      <c r="Z49" s="9">
        <v>1.1000000000000001E-3</v>
      </c>
      <c r="AA49" s="9">
        <v>3.7000000000000002E-3</v>
      </c>
      <c r="AB49" s="9">
        <v>1.8E-3</v>
      </c>
      <c r="AC49" s="9">
        <v>1.6999999999999999E-3</v>
      </c>
      <c r="AD49" s="9">
        <v>8.9999999999999998E-4</v>
      </c>
      <c r="AE49" s="9">
        <v>1E-3</v>
      </c>
    </row>
    <row r="50" spans="2:31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/>
      <c r="P50" s="9">
        <v>3.8999999999999998E-3</v>
      </c>
      <c r="Q50" s="9">
        <v>2.5000000000000001E-3</v>
      </c>
      <c r="R50" s="9">
        <v>-1</v>
      </c>
      <c r="S50" s="9">
        <v>2.8E-3</v>
      </c>
      <c r="T50" s="9"/>
      <c r="U50" s="9">
        <v>3.5999999999999999E-3</v>
      </c>
      <c r="V50" s="9">
        <v>2.0999999999999999E-3</v>
      </c>
      <c r="W50" s="9">
        <v>3.2000000000000002E-3</v>
      </c>
      <c r="X50" s="9">
        <v>3.2000000000000002E-3</v>
      </c>
      <c r="Y50" s="9">
        <v>2.3999999999999998E-3</v>
      </c>
      <c r="Z50" s="9">
        <v>1.1999999999999999E-3</v>
      </c>
      <c r="AA50" s="9">
        <v>4.7999999999999996E-3</v>
      </c>
      <c r="AB50" s="9">
        <v>1.6999999999999999E-3</v>
      </c>
      <c r="AC50" s="9">
        <v>1.6999999999999999E-3</v>
      </c>
      <c r="AD50" s="9">
        <v>1.1000000000000001E-3</v>
      </c>
      <c r="AE50" s="9">
        <v>1.1000000000000001E-3</v>
      </c>
    </row>
    <row r="51" spans="2:31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/>
      <c r="P51" s="9">
        <v>5.3E-3</v>
      </c>
      <c r="Q51" s="9">
        <v>2.5000000000000001E-3</v>
      </c>
      <c r="R51" s="9"/>
      <c r="S51" s="9">
        <v>2.5000000000000001E-3</v>
      </c>
      <c r="T51" s="9"/>
      <c r="U51" s="9">
        <v>3.7000000000000002E-3</v>
      </c>
      <c r="V51" s="9">
        <v>2.5999999999999999E-3</v>
      </c>
      <c r="W51" s="9">
        <v>2.8999999999999998E-3</v>
      </c>
      <c r="X51" s="9">
        <v>3.5999999999999999E-3</v>
      </c>
      <c r="Y51" s="9">
        <v>2.5999999999999999E-3</v>
      </c>
      <c r="Z51" s="9">
        <v>8.0000000000000004E-4</v>
      </c>
      <c r="AA51" s="9">
        <v>3.7000000000000002E-3</v>
      </c>
      <c r="AB51" s="9">
        <v>1.9E-3</v>
      </c>
      <c r="AC51" s="9">
        <v>1.4E-3</v>
      </c>
      <c r="AD51" s="9">
        <v>8.9999999999999998E-4</v>
      </c>
      <c r="AE51" s="9">
        <v>1.4E-3</v>
      </c>
    </row>
    <row r="52" spans="2:31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/>
      <c r="P52" s="9">
        <v>5.0000000000000001E-3</v>
      </c>
      <c r="Q52" s="9">
        <v>2.5000000000000001E-3</v>
      </c>
      <c r="R52" s="9"/>
      <c r="S52" s="9">
        <v>2.8E-3</v>
      </c>
      <c r="T52" s="9"/>
      <c r="U52" s="9">
        <v>4.0000000000000001E-3</v>
      </c>
      <c r="V52" s="9">
        <v>2.3E-3</v>
      </c>
      <c r="W52" s="9">
        <v>3.0999999999999999E-3</v>
      </c>
      <c r="X52" s="9">
        <v>3.5999999999999999E-3</v>
      </c>
      <c r="Y52" s="9">
        <v>3.3999999999999998E-3</v>
      </c>
      <c r="Z52" s="9">
        <v>1.1999999999999999E-3</v>
      </c>
      <c r="AA52" s="9">
        <v>4.3E-3</v>
      </c>
      <c r="AB52" s="9">
        <v>2.2000000000000001E-3</v>
      </c>
      <c r="AC52" s="9">
        <v>1.6000000000000001E-3</v>
      </c>
      <c r="AD52" s="9">
        <v>1.2999999999999999E-3</v>
      </c>
      <c r="AE52" s="9">
        <v>1.2999999999999999E-3</v>
      </c>
    </row>
    <row r="53" spans="2:31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/>
      <c r="P53" s="9">
        <v>8.2000000000000007E-3</v>
      </c>
      <c r="Q53" s="9">
        <v>3.0999999999999999E-3</v>
      </c>
      <c r="R53" s="9"/>
      <c r="S53" s="9">
        <v>2.8E-3</v>
      </c>
      <c r="T53" s="9"/>
      <c r="U53" s="9">
        <v>3.8999999999999998E-3</v>
      </c>
      <c r="V53" s="9">
        <v>2.8999999999999998E-3</v>
      </c>
      <c r="W53" s="9">
        <v>3.5999999999999999E-3</v>
      </c>
      <c r="X53" s="9">
        <v>2.7000000000000001E-3</v>
      </c>
      <c r="Y53" s="9">
        <v>3.3E-3</v>
      </c>
      <c r="Z53" s="9">
        <v>8.9999999999999998E-4</v>
      </c>
      <c r="AA53" s="9">
        <v>4.1999999999999997E-3</v>
      </c>
      <c r="AB53" s="9">
        <v>2E-3</v>
      </c>
      <c r="AC53" s="9">
        <v>2.2000000000000001E-3</v>
      </c>
      <c r="AD53" s="9">
        <v>8.9999999999999998E-4</v>
      </c>
      <c r="AE53" s="9">
        <v>1.2999999999999999E-3</v>
      </c>
    </row>
    <row r="54" spans="2:31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/>
      <c r="P54" s="9">
        <v>4.8999999999999998E-3</v>
      </c>
      <c r="Q54" s="9">
        <v>4.1999999999999997E-3</v>
      </c>
      <c r="R54" s="9"/>
      <c r="S54" s="9">
        <v>3.0000000000000001E-3</v>
      </c>
      <c r="T54" s="9"/>
      <c r="U54" s="9">
        <v>4.1999999999999997E-3</v>
      </c>
      <c r="V54" s="9">
        <v>2.0999999999999999E-3</v>
      </c>
      <c r="W54" s="9">
        <v>3.3E-3</v>
      </c>
      <c r="X54" s="9">
        <v>3.7000000000000002E-3</v>
      </c>
      <c r="Y54" s="9">
        <v>4.1999999999999997E-3</v>
      </c>
      <c r="Z54" s="9">
        <v>9.1999999999999998E-3</v>
      </c>
      <c r="AA54" s="9">
        <v>9.4000000000000004E-3</v>
      </c>
      <c r="AB54" s="9">
        <v>1.9E-3</v>
      </c>
      <c r="AC54" s="9">
        <v>1.8E-3</v>
      </c>
      <c r="AD54" s="9">
        <v>1.6000000000000001E-3</v>
      </c>
      <c r="AE54" s="9">
        <v>1.8E-3</v>
      </c>
    </row>
    <row r="55" spans="2:31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/>
      <c r="P55" s="9">
        <v>5.1999999999999998E-3</v>
      </c>
      <c r="Q55" s="9">
        <v>3.2000000000000002E-3</v>
      </c>
      <c r="R55" s="9"/>
      <c r="S55" s="9">
        <v>2.5999999999999999E-3</v>
      </c>
      <c r="T55" s="9">
        <v>1.1999999999999999E-3</v>
      </c>
      <c r="U55" s="9">
        <v>3.8999999999999998E-3</v>
      </c>
      <c r="V55" s="9">
        <v>3.3999999999999998E-3</v>
      </c>
      <c r="W55" s="9">
        <v>4.1000000000000003E-3</v>
      </c>
      <c r="X55" s="9">
        <v>3.5000000000000001E-3</v>
      </c>
      <c r="Y55" s="9">
        <v>4.4999999999999997E-3</v>
      </c>
      <c r="Z55" s="9">
        <v>2E-3</v>
      </c>
      <c r="AA55" s="9">
        <v>4.8999999999999998E-3</v>
      </c>
      <c r="AB55" s="9">
        <v>3.0000000000000001E-3</v>
      </c>
      <c r="AC55" s="9">
        <v>1.9E-3</v>
      </c>
      <c r="AD55" s="9">
        <v>1E-3</v>
      </c>
      <c r="AE55" s="9">
        <v>2E-3</v>
      </c>
    </row>
    <row r="56" spans="2:31" x14ac:dyDescent="0.3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/>
      <c r="P56" s="9">
        <v>4.4000000000000003E-3</v>
      </c>
      <c r="Q56" s="9">
        <v>3.5999999999999999E-3</v>
      </c>
      <c r="R56" s="9"/>
      <c r="S56" s="9">
        <v>2.7000000000000001E-3</v>
      </c>
      <c r="T56" s="9">
        <v>1.1999999999999999E-3</v>
      </c>
      <c r="U56" s="9">
        <v>3.8E-3</v>
      </c>
      <c r="V56" s="9">
        <v>2.8E-3</v>
      </c>
      <c r="W56" s="9">
        <v>4.0000000000000001E-3</v>
      </c>
      <c r="X56" s="9">
        <v>2.3E-3</v>
      </c>
      <c r="Y56" s="9">
        <v>4.3E-3</v>
      </c>
      <c r="Z56" s="9">
        <v>1.1999999999999999E-3</v>
      </c>
      <c r="AA56" s="9">
        <v>4.0000000000000001E-3</v>
      </c>
      <c r="AB56" s="9">
        <v>2.5000000000000001E-3</v>
      </c>
      <c r="AC56" s="9">
        <v>1.9E-3</v>
      </c>
      <c r="AD56" s="9">
        <v>1.4E-3</v>
      </c>
      <c r="AE56" s="9">
        <v>1.8E-3</v>
      </c>
    </row>
    <row r="57" spans="2:31" x14ac:dyDescent="0.3">
      <c r="B57" s="5">
        <v>202521</v>
      </c>
      <c r="C57" s="5"/>
      <c r="D57" s="9">
        <v>3.8E-3</v>
      </c>
      <c r="E57" s="9">
        <v>2.0999999999999999E-3</v>
      </c>
      <c r="F57" s="9">
        <v>3.8999999999999998E-3</v>
      </c>
      <c r="G57" s="9">
        <v>2.8999999999999998E-3</v>
      </c>
      <c r="H57" s="9">
        <v>1.9E-3</v>
      </c>
      <c r="I57" s="9">
        <v>2.8999999999999998E-3</v>
      </c>
      <c r="J57" s="9">
        <v>2.0000000000000001E-4</v>
      </c>
      <c r="K57" s="9">
        <v>2.7000000000000001E-3</v>
      </c>
      <c r="L57" s="9">
        <v>1.5E-3</v>
      </c>
      <c r="M57" s="9">
        <v>2E-3</v>
      </c>
      <c r="N57" s="9">
        <v>8.9999999999999998E-4</v>
      </c>
      <c r="O57" s="9"/>
      <c r="P57" s="9">
        <v>5.7000000000000002E-3</v>
      </c>
      <c r="Q57" s="9">
        <v>3.7000000000000002E-3</v>
      </c>
      <c r="R57" s="9"/>
      <c r="S57" s="9">
        <v>3.0999999999999999E-3</v>
      </c>
      <c r="T57" s="9">
        <v>1.5E-3</v>
      </c>
      <c r="U57" s="9">
        <v>4.1000000000000003E-3</v>
      </c>
      <c r="V57" s="9">
        <v>2.3999999999999998E-3</v>
      </c>
      <c r="W57" s="9">
        <v>0</v>
      </c>
      <c r="X57" s="9">
        <v>0</v>
      </c>
      <c r="Y57" s="9">
        <v>1.4200000000000001E-2</v>
      </c>
      <c r="Z57" s="9">
        <v>1.4E-3</v>
      </c>
      <c r="AA57" s="9">
        <v>3.8E-3</v>
      </c>
      <c r="AB57" s="9">
        <v>1.6999999999999999E-3</v>
      </c>
      <c r="AC57" s="9">
        <v>2.0999999999999999E-3</v>
      </c>
      <c r="AD57" s="9">
        <v>1.1000000000000001E-3</v>
      </c>
      <c r="AE57" s="9">
        <v>4.4000000000000003E-3</v>
      </c>
    </row>
    <row r="58" spans="2:31" x14ac:dyDescent="0.3">
      <c r="B58" s="5">
        <v>202522</v>
      </c>
      <c r="C58" s="5"/>
      <c r="D58" s="9">
        <v>2.7000000000000001E-3</v>
      </c>
      <c r="E58" s="9">
        <v>2.2000000000000001E-3</v>
      </c>
      <c r="F58" s="9">
        <v>2.8E-3</v>
      </c>
      <c r="G58" s="9">
        <v>2.3999999999999998E-3</v>
      </c>
      <c r="H58" s="9">
        <v>2E-3</v>
      </c>
      <c r="I58" s="9">
        <v>3.8999999999999998E-3</v>
      </c>
      <c r="J58" s="9">
        <v>6.9999999999999999E-4</v>
      </c>
      <c r="K58" s="9">
        <v>3.7000000000000002E-3</v>
      </c>
      <c r="L58" s="9">
        <v>2.2000000000000001E-3</v>
      </c>
      <c r="M58" s="9">
        <v>2.5000000000000001E-3</v>
      </c>
      <c r="N58" s="9">
        <v>2.2000000000000001E-3</v>
      </c>
      <c r="O58" s="9"/>
      <c r="P58" s="9">
        <v>8.3999999999999995E-3</v>
      </c>
      <c r="Q58" s="9">
        <v>3.3999999999999998E-3</v>
      </c>
      <c r="R58" s="9"/>
      <c r="S58" s="9">
        <v>3.0000000000000001E-3</v>
      </c>
      <c r="T58" s="9">
        <v>1.6999999999999999E-3</v>
      </c>
      <c r="U58" s="9">
        <v>2.9999999999999997E-4</v>
      </c>
      <c r="V58" s="9">
        <v>3.2000000000000002E-3</v>
      </c>
      <c r="W58" s="9"/>
      <c r="X58" s="9"/>
      <c r="Y58" s="9">
        <v>5.7999999999999996E-3</v>
      </c>
      <c r="Z58" s="9">
        <v>1.2999999999999999E-3</v>
      </c>
      <c r="AA58" s="9">
        <v>4.1000000000000003E-3</v>
      </c>
      <c r="AB58" s="9">
        <v>2.5000000000000001E-3</v>
      </c>
      <c r="AC58" s="9">
        <v>1.9E-3</v>
      </c>
      <c r="AD58" s="9">
        <v>1.1999999999999999E-3</v>
      </c>
      <c r="AE58" s="9">
        <v>2.3E-3</v>
      </c>
    </row>
    <row r="59" spans="2:31" x14ac:dyDescent="0.3">
      <c r="B59" s="5">
        <v>202523</v>
      </c>
      <c r="C59" s="5"/>
      <c r="D59" s="9">
        <v>3.0000000000000001E-3</v>
      </c>
      <c r="E59" s="9">
        <v>1.9E-3</v>
      </c>
      <c r="F59" s="9">
        <v>3.0999999999999999E-3</v>
      </c>
      <c r="G59" s="9">
        <v>1.6999999999999999E-3</v>
      </c>
      <c r="H59" s="9">
        <v>1.1000000000000001E-3</v>
      </c>
      <c r="I59" s="9">
        <v>1E-3</v>
      </c>
      <c r="J59" s="9">
        <v>2.2000000000000001E-3</v>
      </c>
      <c r="K59" s="9">
        <v>1.6999999999999999E-3</v>
      </c>
      <c r="L59" s="9">
        <v>4.7999999999999996E-3</v>
      </c>
      <c r="M59" s="9">
        <v>2.5000000000000001E-3</v>
      </c>
      <c r="N59" s="9">
        <v>5.1999999999999998E-3</v>
      </c>
      <c r="O59" s="9"/>
      <c r="P59" s="9">
        <v>9.4999999999999998E-3</v>
      </c>
      <c r="Q59" s="9">
        <v>3.5000000000000001E-3</v>
      </c>
      <c r="R59" s="9"/>
      <c r="S59" s="9">
        <v>3.0000000000000001E-3</v>
      </c>
      <c r="T59" s="9">
        <v>1.9E-3</v>
      </c>
      <c r="U59" s="9"/>
      <c r="V59" s="9">
        <v>2.5999999999999999E-3</v>
      </c>
      <c r="W59" s="9"/>
      <c r="X59" s="9"/>
      <c r="Y59" s="9">
        <v>3.8E-3</v>
      </c>
      <c r="Z59" s="9">
        <v>1.6000000000000001E-3</v>
      </c>
      <c r="AA59" s="9">
        <v>6.1999999999999998E-3</v>
      </c>
      <c r="AB59" s="9">
        <v>3.5000000000000001E-3</v>
      </c>
      <c r="AC59" s="9">
        <v>1.9E-3</v>
      </c>
      <c r="AD59" s="9">
        <v>1.4E-3</v>
      </c>
      <c r="AE59" s="9">
        <v>2.3999999999999998E-3</v>
      </c>
    </row>
    <row r="60" spans="2:31" x14ac:dyDescent="0.3">
      <c r="B60" s="5">
        <v>202524</v>
      </c>
      <c r="C60" s="5"/>
      <c r="D60" s="9">
        <v>3.3E-3</v>
      </c>
      <c r="E60" s="9">
        <v>2.5999999999999999E-3</v>
      </c>
      <c r="F60" s="9">
        <v>3.3E-3</v>
      </c>
      <c r="G60" s="9">
        <v>2.3999999999999998E-3</v>
      </c>
      <c r="H60" s="9">
        <v>2.0999999999999999E-3</v>
      </c>
      <c r="I60" s="9">
        <v>5.8999999999999999E-3</v>
      </c>
      <c r="J60" s="9">
        <v>3.0999999999999999E-3</v>
      </c>
      <c r="K60" s="9">
        <v>2.3999999999999998E-3</v>
      </c>
      <c r="L60" s="9">
        <v>3.3E-3</v>
      </c>
      <c r="M60" s="9">
        <v>5.1999999999999998E-3</v>
      </c>
      <c r="N60" s="9">
        <v>5.1000000000000004E-3</v>
      </c>
      <c r="O60" s="9"/>
      <c r="P60" s="9">
        <v>8.9999999999999993E-3</v>
      </c>
      <c r="Q60" s="9">
        <v>4.1999999999999997E-3</v>
      </c>
      <c r="R60" s="9"/>
      <c r="S60" s="9">
        <v>2.8999999999999998E-3</v>
      </c>
      <c r="T60" s="9">
        <v>1.9E-3</v>
      </c>
      <c r="U60" s="9"/>
      <c r="V60" s="9">
        <v>2.5000000000000001E-3</v>
      </c>
      <c r="W60" s="9"/>
      <c r="X60" s="9"/>
      <c r="Y60" s="9">
        <v>4.1999999999999997E-3</v>
      </c>
      <c r="Z60" s="9">
        <v>1.6000000000000001E-3</v>
      </c>
      <c r="AA60" s="9">
        <v>6.3E-3</v>
      </c>
      <c r="AB60" s="9">
        <v>3.0000000000000001E-3</v>
      </c>
      <c r="AC60" s="9">
        <v>2.3E-3</v>
      </c>
      <c r="AD60" s="9">
        <v>1.8E-3</v>
      </c>
      <c r="AE60" s="9">
        <v>2.0999999999999999E-3</v>
      </c>
    </row>
    <row r="61" spans="2:31" x14ac:dyDescent="0.3">
      <c r="B61" s="5">
        <v>202525</v>
      </c>
      <c r="C61" s="5"/>
      <c r="D61" s="9">
        <v>3.2000000000000002E-3</v>
      </c>
      <c r="E61" s="9">
        <v>2.8999999999999998E-3</v>
      </c>
      <c r="F61" s="9">
        <v>3.2000000000000002E-3</v>
      </c>
      <c r="G61" s="9">
        <v>2.0999999999999999E-3</v>
      </c>
      <c r="H61" s="9">
        <v>2.0999999999999999E-3</v>
      </c>
      <c r="I61" s="9">
        <v>6.8999999999999999E-3</v>
      </c>
      <c r="J61" s="9">
        <v>4.3E-3</v>
      </c>
      <c r="K61" s="9">
        <v>3.8999999999999998E-3</v>
      </c>
      <c r="L61" s="9">
        <v>4.4000000000000003E-3</v>
      </c>
      <c r="M61" s="9">
        <v>6.4000000000000003E-3</v>
      </c>
      <c r="N61" s="9">
        <v>4.4999999999999997E-3</v>
      </c>
      <c r="O61" s="9"/>
      <c r="P61" s="9">
        <v>9.7000000000000003E-3</v>
      </c>
      <c r="Q61" s="9">
        <v>3.3999999999999998E-3</v>
      </c>
      <c r="R61" s="9"/>
      <c r="S61" s="9">
        <v>3.0000000000000001E-3</v>
      </c>
      <c r="T61" s="9">
        <v>1.9E-3</v>
      </c>
      <c r="U61" s="9"/>
      <c r="V61" s="9">
        <v>3.3999999999999998E-3</v>
      </c>
      <c r="W61" s="9"/>
      <c r="X61" s="9"/>
      <c r="Y61" s="9">
        <v>5.0000000000000001E-3</v>
      </c>
      <c r="Z61" s="9">
        <v>1.1999999999999999E-3</v>
      </c>
      <c r="AA61" s="9">
        <v>3.5999999999999999E-3</v>
      </c>
      <c r="AB61" s="9">
        <v>3.0999999999999999E-3</v>
      </c>
      <c r="AC61" s="9">
        <v>2.8E-3</v>
      </c>
      <c r="AD61" s="9">
        <v>1.6999999999999999E-3</v>
      </c>
      <c r="AE61" s="9">
        <v>1.8E-3</v>
      </c>
    </row>
    <row r="62" spans="2:31" x14ac:dyDescent="0.3">
      <c r="B62" s="5">
        <v>202526</v>
      </c>
      <c r="C62" s="5"/>
      <c r="D62" s="9">
        <v>3.5000000000000001E-3</v>
      </c>
      <c r="E62" s="9">
        <v>2.3E-3</v>
      </c>
      <c r="F62" s="9">
        <v>3.5999999999999999E-3</v>
      </c>
      <c r="G62" s="9">
        <v>2E-3</v>
      </c>
      <c r="H62" s="9">
        <v>1.6000000000000001E-3</v>
      </c>
      <c r="I62" s="9">
        <v>7.0000000000000001E-3</v>
      </c>
      <c r="J62" s="9">
        <v>3.3999999999999998E-3</v>
      </c>
      <c r="K62" s="9">
        <v>2.5000000000000001E-3</v>
      </c>
      <c r="L62" s="9">
        <v>3.3E-3</v>
      </c>
      <c r="M62" s="9">
        <v>6.0000000000000001E-3</v>
      </c>
      <c r="N62" s="9">
        <v>2.7000000000000001E-3</v>
      </c>
      <c r="O62" s="9"/>
      <c r="P62" s="9">
        <v>1.9300000000000001E-2</v>
      </c>
      <c r="Q62" s="9">
        <v>3.2000000000000002E-3</v>
      </c>
      <c r="R62" s="9"/>
      <c r="S62" s="9">
        <v>3.3E-3</v>
      </c>
      <c r="T62" s="9">
        <v>1.9E-3</v>
      </c>
      <c r="U62" s="9"/>
      <c r="V62" s="9">
        <v>3.5999999999999999E-3</v>
      </c>
      <c r="W62" s="9"/>
      <c r="X62" s="9"/>
      <c r="Y62" s="9">
        <v>5.4999999999999997E-3</v>
      </c>
      <c r="Z62" s="9">
        <v>1.1999999999999999E-3</v>
      </c>
      <c r="AA62" s="9">
        <v>5.4999999999999997E-3</v>
      </c>
      <c r="AB62" s="9">
        <v>3.3E-3</v>
      </c>
      <c r="AC62" s="9">
        <v>3.0999999999999999E-3</v>
      </c>
      <c r="AD62" s="9">
        <v>1.6999999999999999E-3</v>
      </c>
      <c r="AE62" s="9">
        <v>2.2000000000000001E-3</v>
      </c>
    </row>
    <row r="63" spans="2:31" x14ac:dyDescent="0.3">
      <c r="B63" s="5">
        <v>202527</v>
      </c>
      <c r="C63" s="5"/>
      <c r="D63" s="9">
        <v>3.5000000000000001E-3</v>
      </c>
      <c r="E63" s="9">
        <v>2.7000000000000001E-3</v>
      </c>
      <c r="F63" s="9">
        <v>3.5999999999999999E-3</v>
      </c>
      <c r="G63" s="9">
        <v>1.5E-3</v>
      </c>
      <c r="H63" s="9">
        <v>2.2000000000000001E-3</v>
      </c>
      <c r="I63" s="9">
        <v>5.0000000000000001E-3</v>
      </c>
      <c r="J63" s="9">
        <v>4.4000000000000003E-3</v>
      </c>
      <c r="K63" s="9">
        <v>4.4999999999999997E-3</v>
      </c>
      <c r="L63" s="9">
        <v>3.5999999999999999E-3</v>
      </c>
      <c r="M63" s="9">
        <v>4.4000000000000003E-3</v>
      </c>
      <c r="N63" s="9">
        <v>1.4E-3</v>
      </c>
      <c r="O63" s="9"/>
      <c r="P63" s="9">
        <v>2.12E-2</v>
      </c>
      <c r="Q63" s="9">
        <v>4.1999999999999997E-3</v>
      </c>
      <c r="R63" s="9"/>
      <c r="S63" s="9">
        <v>3.2000000000000002E-3</v>
      </c>
      <c r="T63" s="9">
        <v>1.9E-3</v>
      </c>
      <c r="U63" s="9"/>
      <c r="V63" s="9">
        <v>3.3999999999999998E-3</v>
      </c>
      <c r="W63" s="9"/>
      <c r="X63" s="9"/>
      <c r="Y63" s="9">
        <v>5.7999999999999996E-3</v>
      </c>
      <c r="Z63" s="9">
        <v>1.1999999999999999E-3</v>
      </c>
      <c r="AA63" s="9">
        <v>6.3E-3</v>
      </c>
      <c r="AB63" s="9">
        <v>3.8999999999999998E-3</v>
      </c>
      <c r="AC63" s="9">
        <v>2.7000000000000001E-3</v>
      </c>
      <c r="AD63" s="9">
        <v>1.1999999999999999E-3</v>
      </c>
      <c r="AE63" s="9">
        <v>1.9E-3</v>
      </c>
    </row>
    <row r="64" spans="2:31" x14ac:dyDescent="0.3">
      <c r="B64" s="5">
        <v>202528</v>
      </c>
      <c r="C64" s="5"/>
      <c r="D64" s="9">
        <v>3.8E-3</v>
      </c>
      <c r="E64" s="9">
        <v>2.0999999999999999E-3</v>
      </c>
      <c r="F64" s="9">
        <v>3.8999999999999998E-3</v>
      </c>
      <c r="G64" s="9">
        <v>1.8E-3</v>
      </c>
      <c r="H64" s="9">
        <v>1.8E-3</v>
      </c>
      <c r="I64" s="9">
        <v>3.0000000000000001E-3</v>
      </c>
      <c r="J64" s="9">
        <v>1.9E-3</v>
      </c>
      <c r="K64" s="9">
        <v>2.5000000000000001E-3</v>
      </c>
      <c r="L64" s="9">
        <v>3.0999999999999999E-3</v>
      </c>
      <c r="M64" s="9">
        <v>5.7999999999999996E-3</v>
      </c>
      <c r="N64" s="9">
        <v>1.5E-3</v>
      </c>
      <c r="O64" s="9"/>
      <c r="P64" s="9">
        <v>1.24E-2</v>
      </c>
      <c r="Q64" s="9">
        <v>4.7000000000000002E-3</v>
      </c>
      <c r="R64" s="9"/>
      <c r="S64" s="9">
        <v>8.6999999999999994E-3</v>
      </c>
      <c r="T64" s="9">
        <v>2.0999999999999999E-3</v>
      </c>
      <c r="U64" s="9">
        <v>1.5E-3</v>
      </c>
      <c r="V64" s="9">
        <v>4.5999999999999999E-3</v>
      </c>
      <c r="W64" s="9">
        <v>8.0000000000000004E-4</v>
      </c>
      <c r="X64" s="9">
        <v>2.2000000000000001E-3</v>
      </c>
      <c r="Y64" s="9">
        <v>6.4000000000000003E-3</v>
      </c>
      <c r="Z64" s="9">
        <v>1.8E-3</v>
      </c>
      <c r="AA64" s="9">
        <v>6.4000000000000003E-3</v>
      </c>
      <c r="AB64" s="9">
        <v>3.7000000000000002E-3</v>
      </c>
      <c r="AC64" s="9">
        <v>3.0999999999999999E-3</v>
      </c>
      <c r="AD64" s="9">
        <v>2.0999999999999999E-3</v>
      </c>
      <c r="AE64" s="9">
        <v>2.3999999999999998E-3</v>
      </c>
    </row>
    <row r="65" spans="2:31" x14ac:dyDescent="0.3">
      <c r="B65" s="5">
        <v>202529</v>
      </c>
      <c r="C65" s="5"/>
      <c r="D65" s="9">
        <v>3.3E-3</v>
      </c>
      <c r="E65" s="9">
        <v>2.8E-3</v>
      </c>
      <c r="F65" s="9">
        <v>3.3E-3</v>
      </c>
      <c r="G65" s="9">
        <v>2.8999999999999998E-3</v>
      </c>
      <c r="H65" s="9">
        <v>1.6000000000000001E-3</v>
      </c>
      <c r="I65" s="9">
        <v>6.1000000000000004E-3</v>
      </c>
      <c r="J65" s="9">
        <v>3.3999999999999998E-3</v>
      </c>
      <c r="K65" s="9">
        <v>3.2000000000000002E-3</v>
      </c>
      <c r="L65" s="9">
        <v>4.3E-3</v>
      </c>
      <c r="M65" s="9">
        <v>3.8E-3</v>
      </c>
      <c r="N65" s="9">
        <v>1.4E-3</v>
      </c>
      <c r="O65" s="9"/>
      <c r="P65" s="9">
        <v>1.5800000000000002E-2</v>
      </c>
      <c r="Q65" s="9">
        <v>3.3999999999999998E-3</v>
      </c>
      <c r="R65" s="9"/>
      <c r="S65" s="9">
        <v>3.5000000000000001E-3</v>
      </c>
      <c r="T65" s="9">
        <v>2.0999999999999999E-3</v>
      </c>
      <c r="U65" s="9">
        <v>1.6000000000000001E-3</v>
      </c>
      <c r="V65" s="9">
        <v>4.1999999999999997E-3</v>
      </c>
      <c r="W65" s="9">
        <v>1.1000000000000001E-3</v>
      </c>
      <c r="X65" s="9">
        <v>1.6999999999999999E-3</v>
      </c>
      <c r="Y65" s="9">
        <v>5.8999999999999999E-3</v>
      </c>
      <c r="Z65" s="9">
        <v>1.6999999999999999E-3</v>
      </c>
      <c r="AA65" s="9">
        <v>7.3000000000000001E-3</v>
      </c>
      <c r="AB65" s="9">
        <v>3.3999999999999998E-3</v>
      </c>
      <c r="AC65" s="9">
        <v>3.3E-3</v>
      </c>
      <c r="AD65" s="9">
        <v>1.6000000000000001E-3</v>
      </c>
      <c r="AE65" s="9">
        <v>2E-3</v>
      </c>
    </row>
    <row r="66" spans="2:31" x14ac:dyDescent="0.3">
      <c r="B66" s="5">
        <v>202530</v>
      </c>
      <c r="C66" s="5"/>
      <c r="D66" s="9">
        <v>4.0000000000000001E-3</v>
      </c>
      <c r="E66" s="9">
        <v>2.5000000000000001E-3</v>
      </c>
      <c r="F66" s="9">
        <v>4.1000000000000003E-3</v>
      </c>
      <c r="G66" s="9">
        <v>2.0999999999999999E-3</v>
      </c>
      <c r="H66" s="9">
        <v>2E-3</v>
      </c>
      <c r="I66" s="9">
        <v>4.1000000000000003E-3</v>
      </c>
      <c r="J66" s="9">
        <v>2.7000000000000001E-3</v>
      </c>
      <c r="K66" s="9">
        <v>3.0000000000000001E-3</v>
      </c>
      <c r="L66" s="9">
        <v>3.8E-3</v>
      </c>
      <c r="M66" s="9">
        <v>5.7000000000000002E-3</v>
      </c>
      <c r="N66" s="9">
        <v>1.5E-3</v>
      </c>
      <c r="O66" s="9"/>
      <c r="P66" s="9">
        <v>1.2500000000000001E-2</v>
      </c>
      <c r="Q66" s="9">
        <v>3.7000000000000002E-3</v>
      </c>
      <c r="R66" s="9"/>
      <c r="S66" s="9">
        <v>1.0800000000000001E-2</v>
      </c>
      <c r="T66" s="9">
        <v>2E-3</v>
      </c>
      <c r="U66" s="9">
        <v>1.6999999999999999E-3</v>
      </c>
      <c r="V66" s="9">
        <v>4.7000000000000002E-3</v>
      </c>
      <c r="W66" s="9">
        <v>1.1000000000000001E-3</v>
      </c>
      <c r="X66" s="9">
        <v>1.5E-3</v>
      </c>
      <c r="Y66" s="9">
        <v>7.7999999999999996E-3</v>
      </c>
      <c r="Z66" s="9">
        <v>2.3999999999999998E-3</v>
      </c>
      <c r="AA66" s="9">
        <v>5.7000000000000002E-3</v>
      </c>
      <c r="AB66" s="9">
        <v>3.0999999999999999E-3</v>
      </c>
      <c r="AC66" s="9">
        <v>3.3E-3</v>
      </c>
      <c r="AD66" s="9">
        <v>1.6000000000000001E-3</v>
      </c>
      <c r="AE66" s="9">
        <v>2.3999999999999998E-3</v>
      </c>
    </row>
    <row r="67" spans="2:31" x14ac:dyDescent="0.3">
      <c r="B67" s="5">
        <v>202531</v>
      </c>
      <c r="C67" s="5"/>
      <c r="D67" s="9">
        <v>4.7999999999999996E-3</v>
      </c>
      <c r="E67" s="9">
        <v>3.5000000000000001E-3</v>
      </c>
      <c r="F67" s="9">
        <v>4.7999999999999996E-3</v>
      </c>
      <c r="G67" s="9">
        <v>3.3E-3</v>
      </c>
      <c r="H67" s="9">
        <v>3.5999999999999999E-3</v>
      </c>
      <c r="I67" s="9">
        <v>7.1000000000000004E-3</v>
      </c>
      <c r="J67" s="9">
        <v>4.8999999999999998E-3</v>
      </c>
      <c r="K67" s="9">
        <v>1.5E-3</v>
      </c>
      <c r="L67" s="9">
        <v>3.3999999999999998E-3</v>
      </c>
      <c r="M67" s="9">
        <v>7.4999999999999997E-3</v>
      </c>
      <c r="N67" s="9">
        <v>5.7999999999999996E-3</v>
      </c>
      <c r="O67" s="9"/>
      <c r="P67" s="9">
        <v>1.3299999999999999E-2</v>
      </c>
      <c r="Q67" s="9">
        <v>4.1999999999999997E-3</v>
      </c>
      <c r="R67" s="9"/>
      <c r="S67" s="9">
        <v>1.0800000000000001E-2</v>
      </c>
      <c r="T67" s="9">
        <v>2.3999999999999998E-3</v>
      </c>
      <c r="U67" s="9">
        <v>1.8E-3</v>
      </c>
      <c r="V67" s="9">
        <v>7.7999999999999996E-3</v>
      </c>
      <c r="W67" s="9">
        <v>1.6000000000000001E-3</v>
      </c>
      <c r="X67" s="9">
        <v>2.3E-3</v>
      </c>
      <c r="Y67" s="9">
        <v>7.9000000000000008E-3</v>
      </c>
      <c r="Z67" s="9">
        <v>1.9E-3</v>
      </c>
      <c r="AA67" s="9">
        <v>6.4000000000000003E-3</v>
      </c>
      <c r="AB67" s="9">
        <v>3.5999999999999999E-3</v>
      </c>
      <c r="AC67" s="9">
        <v>4.4000000000000003E-3</v>
      </c>
      <c r="AD67" s="9">
        <v>2.5000000000000001E-3</v>
      </c>
      <c r="AE67" s="9">
        <v>2E-3</v>
      </c>
    </row>
    <row r="68" spans="2:31" x14ac:dyDescent="0.3">
      <c r="B68" s="5">
        <v>202532</v>
      </c>
      <c r="C68" s="5"/>
      <c r="D68" s="9">
        <v>4.4000000000000003E-3</v>
      </c>
      <c r="E68" s="9">
        <v>3.8E-3</v>
      </c>
      <c r="F68" s="9">
        <v>4.4999999999999997E-3</v>
      </c>
      <c r="G68" s="9">
        <v>4.7999999999999996E-3</v>
      </c>
      <c r="H68" s="9">
        <v>2.5999999999999999E-3</v>
      </c>
      <c r="I68" s="9">
        <v>8.2000000000000007E-3</v>
      </c>
      <c r="J68" s="9">
        <v>4.7000000000000002E-3</v>
      </c>
      <c r="K68" s="9">
        <v>3.8E-3</v>
      </c>
      <c r="L68" s="9">
        <v>3.2000000000000002E-3</v>
      </c>
      <c r="M68" s="9">
        <v>6.4000000000000003E-3</v>
      </c>
      <c r="N68" s="9">
        <v>4.4000000000000003E-3</v>
      </c>
      <c r="O68" s="9"/>
      <c r="P68" s="9">
        <v>1.2699999999999999E-2</v>
      </c>
      <c r="Q68" s="9">
        <v>4.8999999999999998E-3</v>
      </c>
      <c r="R68" s="9"/>
      <c r="S68" s="9">
        <v>5.0000000000000001E-3</v>
      </c>
      <c r="T68" s="9">
        <v>1.6000000000000001E-3</v>
      </c>
      <c r="U68" s="9">
        <v>1.6999999999999999E-3</v>
      </c>
      <c r="V68" s="9">
        <v>5.4000000000000003E-3</v>
      </c>
      <c r="W68" s="9">
        <v>3.2000000000000002E-3</v>
      </c>
      <c r="X68" s="9">
        <v>2.3E-3</v>
      </c>
      <c r="Y68" s="9">
        <v>9.2999999999999992E-3</v>
      </c>
      <c r="Z68" s="9">
        <v>2E-3</v>
      </c>
      <c r="AA68" s="9">
        <v>5.4999999999999997E-3</v>
      </c>
      <c r="AB68" s="9">
        <v>4.1999999999999997E-3</v>
      </c>
      <c r="AC68" s="9">
        <v>7.4000000000000003E-3</v>
      </c>
      <c r="AD68" s="9">
        <v>2.0999999999999999E-3</v>
      </c>
      <c r="AE68" s="9">
        <v>2.7000000000000001E-3</v>
      </c>
    </row>
    <row r="69" spans="2:31" x14ac:dyDescent="0.3">
      <c r="B69" s="5">
        <v>202533</v>
      </c>
      <c r="C69" s="5"/>
      <c r="D69" s="9">
        <v>5.0000000000000001E-3</v>
      </c>
      <c r="E69" s="9">
        <v>3.5999999999999999E-3</v>
      </c>
      <c r="F69" s="9">
        <v>5.1000000000000004E-3</v>
      </c>
      <c r="G69" s="9">
        <v>4.7999999999999996E-3</v>
      </c>
      <c r="H69" s="9">
        <v>3.0000000000000001E-3</v>
      </c>
      <c r="I69" s="9">
        <v>6.1999999999999998E-3</v>
      </c>
      <c r="J69" s="9">
        <v>4.1999999999999997E-3</v>
      </c>
      <c r="K69" s="9">
        <v>2E-3</v>
      </c>
      <c r="L69" s="9">
        <v>2.5000000000000001E-3</v>
      </c>
      <c r="M69" s="9">
        <v>5.3E-3</v>
      </c>
      <c r="N69" s="9">
        <v>4.7000000000000002E-3</v>
      </c>
      <c r="O69" s="9"/>
      <c r="P69" s="9">
        <v>1.66E-2</v>
      </c>
      <c r="Q69" s="9">
        <v>8.5000000000000006E-3</v>
      </c>
      <c r="R69" s="9"/>
      <c r="S69" s="9">
        <v>2.3999999999999998E-3</v>
      </c>
      <c r="T69" s="9">
        <v>1.5E-3</v>
      </c>
      <c r="U69" s="9">
        <v>1.8E-3</v>
      </c>
      <c r="V69" s="9">
        <v>6.6E-3</v>
      </c>
      <c r="W69" s="9">
        <v>2.5999999999999999E-3</v>
      </c>
      <c r="X69" s="9">
        <v>1.6999999999999999E-3</v>
      </c>
      <c r="Y69" s="9">
        <v>1.04E-2</v>
      </c>
      <c r="Z69" s="9">
        <v>3.2000000000000002E-3</v>
      </c>
      <c r="AA69" s="9">
        <v>0</v>
      </c>
      <c r="AB69" s="9">
        <v>2.5000000000000001E-3</v>
      </c>
      <c r="AC69" s="9">
        <v>8.8000000000000005E-3</v>
      </c>
      <c r="AD69" s="9">
        <v>3.3999999999999998E-3</v>
      </c>
      <c r="AE69" s="9">
        <v>3.0000000000000001E-3</v>
      </c>
    </row>
    <row r="70" spans="2:31" x14ac:dyDescent="0.3">
      <c r="B70" s="5">
        <v>202534</v>
      </c>
      <c r="C70" s="5"/>
      <c r="D70" s="9">
        <v>4.4999999999999997E-3</v>
      </c>
      <c r="E70" s="9">
        <v>3.8999999999999998E-3</v>
      </c>
      <c r="F70" s="9">
        <v>4.5999999999999999E-3</v>
      </c>
      <c r="G70" s="9">
        <v>5.0000000000000001E-3</v>
      </c>
      <c r="H70" s="9">
        <v>3.3E-3</v>
      </c>
      <c r="I70" s="9">
        <v>5.5999999999999999E-3</v>
      </c>
      <c r="J70" s="9">
        <v>4.0000000000000001E-3</v>
      </c>
      <c r="K70" s="9">
        <v>1E-3</v>
      </c>
      <c r="L70" s="9">
        <v>3.3999999999999998E-3</v>
      </c>
      <c r="M70" s="9">
        <v>5.0000000000000001E-3</v>
      </c>
      <c r="N70" s="9">
        <v>3.8999999999999998E-3</v>
      </c>
      <c r="O70" s="9"/>
      <c r="P70" s="9">
        <v>1.9199999999999998E-2</v>
      </c>
      <c r="Q70" s="9">
        <v>6.1999999999999998E-3</v>
      </c>
      <c r="R70" s="9"/>
      <c r="S70" s="9">
        <v>2.3999999999999998E-3</v>
      </c>
      <c r="T70" s="9">
        <v>1.5E-3</v>
      </c>
      <c r="U70" s="9">
        <v>2.7000000000000001E-3</v>
      </c>
      <c r="V70" s="9">
        <v>4.4000000000000003E-3</v>
      </c>
      <c r="W70" s="9">
        <v>5.1000000000000004E-3</v>
      </c>
      <c r="X70" s="9">
        <v>2.5000000000000001E-3</v>
      </c>
      <c r="Y70" s="9">
        <v>1.09E-2</v>
      </c>
      <c r="Z70" s="9">
        <v>3.3E-3</v>
      </c>
      <c r="AA70" s="9"/>
      <c r="AB70" s="9"/>
      <c r="AC70" s="9">
        <v>6.4999999999999997E-3</v>
      </c>
      <c r="AD70" s="9">
        <v>2.8E-3</v>
      </c>
      <c r="AE70" s="9">
        <v>2.8E-3</v>
      </c>
    </row>
    <row r="71" spans="2:31" x14ac:dyDescent="0.3">
      <c r="B71" s="5">
        <v>202535</v>
      </c>
      <c r="C71" s="5"/>
      <c r="D71" s="9">
        <v>4.4999999999999997E-3</v>
      </c>
      <c r="E71" s="9">
        <v>4.1000000000000003E-3</v>
      </c>
      <c r="F71" s="9">
        <v>4.5999999999999999E-3</v>
      </c>
      <c r="G71" s="9">
        <v>3.3E-3</v>
      </c>
      <c r="H71" s="9">
        <v>4.0000000000000001E-3</v>
      </c>
      <c r="I71" s="9">
        <v>6.6E-3</v>
      </c>
      <c r="J71" s="9">
        <v>4.3E-3</v>
      </c>
      <c r="K71" s="9"/>
      <c r="L71" s="9">
        <v>3.3999999999999998E-3</v>
      </c>
      <c r="M71" s="9">
        <v>5.1999999999999998E-3</v>
      </c>
      <c r="N71" s="9">
        <v>3.7000000000000002E-3</v>
      </c>
      <c r="O71" s="9"/>
      <c r="P71" s="9">
        <v>1.89E-2</v>
      </c>
      <c r="Q71" s="9">
        <v>7.1999999999999998E-3</v>
      </c>
      <c r="R71" s="9"/>
      <c r="S71" s="9">
        <v>1.8E-3</v>
      </c>
      <c r="T71" s="9">
        <v>1.9E-3</v>
      </c>
      <c r="U71" s="9">
        <v>3.0999999999999999E-3</v>
      </c>
      <c r="V71" s="9">
        <v>4.4000000000000003E-3</v>
      </c>
      <c r="W71" s="9">
        <v>2.8999999999999998E-3</v>
      </c>
      <c r="X71" s="9">
        <v>2.5000000000000001E-3</v>
      </c>
      <c r="Y71" s="9">
        <v>1.23E-2</v>
      </c>
      <c r="Z71" s="9">
        <v>3.5999999999999999E-3</v>
      </c>
      <c r="AA71" s="9"/>
      <c r="AB71" s="9"/>
      <c r="AC71" s="9">
        <v>4.5999999999999999E-3</v>
      </c>
      <c r="AD71" s="9">
        <v>1.6999999999999999E-3</v>
      </c>
      <c r="AE71" s="9">
        <v>3.3E-3</v>
      </c>
    </row>
    <row r="72" spans="2:31" x14ac:dyDescent="0.3">
      <c r="B72" s="5">
        <v>202536</v>
      </c>
      <c r="C72" s="5"/>
      <c r="D72" s="9">
        <v>4.1999999999999997E-3</v>
      </c>
      <c r="E72" s="9">
        <v>3.8E-3</v>
      </c>
      <c r="F72" s="9">
        <v>4.1999999999999997E-3</v>
      </c>
      <c r="G72" s="9">
        <v>3.2000000000000002E-3</v>
      </c>
      <c r="H72" s="9">
        <v>3.2000000000000002E-3</v>
      </c>
      <c r="I72" s="9">
        <v>6.4000000000000003E-3</v>
      </c>
      <c r="J72" s="9">
        <v>3.0000000000000001E-3</v>
      </c>
      <c r="K72" s="9"/>
      <c r="L72" s="9">
        <v>4.5999999999999999E-3</v>
      </c>
      <c r="M72" s="9">
        <v>2.2000000000000001E-3</v>
      </c>
      <c r="N72" s="9">
        <v>3.3999999999999998E-3</v>
      </c>
      <c r="O72" s="9">
        <v>5.9999999999999995E-4</v>
      </c>
      <c r="P72" s="9">
        <v>1.3899999999999999E-2</v>
      </c>
      <c r="Q72" s="9">
        <v>5.4999999999999997E-3</v>
      </c>
      <c r="R72" s="9"/>
      <c r="S72" s="9">
        <v>1.5E-3</v>
      </c>
      <c r="T72" s="9">
        <v>1.6000000000000001E-3</v>
      </c>
      <c r="U72" s="9">
        <v>4.0000000000000001E-3</v>
      </c>
      <c r="V72" s="9">
        <v>3.5999999999999999E-3</v>
      </c>
      <c r="W72" s="9">
        <v>3.7000000000000002E-3</v>
      </c>
      <c r="X72" s="9">
        <v>3.0000000000000001E-3</v>
      </c>
      <c r="Y72" s="9">
        <v>1.23E-2</v>
      </c>
      <c r="Z72" s="9">
        <v>5.1999999999999998E-3</v>
      </c>
      <c r="AA72" s="9"/>
      <c r="AB72" s="9"/>
      <c r="AC72" s="9">
        <v>4.0000000000000001E-3</v>
      </c>
      <c r="AD72" s="9">
        <v>2.0999999999999999E-3</v>
      </c>
      <c r="AE72" s="9">
        <v>3.0999999999999999E-3</v>
      </c>
    </row>
    <row r="73" spans="2:31" x14ac:dyDescent="0.3">
      <c r="B73" s="5">
        <v>202537</v>
      </c>
      <c r="C73" s="5"/>
      <c r="D73" s="9">
        <v>4.8999999999999998E-3</v>
      </c>
      <c r="E73" s="9">
        <v>4.7000000000000002E-3</v>
      </c>
      <c r="F73" s="9">
        <v>4.8999999999999998E-3</v>
      </c>
      <c r="G73" s="9">
        <v>4.0000000000000001E-3</v>
      </c>
      <c r="H73" s="9">
        <v>3.2000000000000002E-3</v>
      </c>
      <c r="I73" s="9">
        <v>9.2999999999999992E-3</v>
      </c>
      <c r="J73" s="9">
        <v>6.3E-3</v>
      </c>
      <c r="K73" s="9"/>
      <c r="L73" s="9">
        <v>4.1999999999999997E-3</v>
      </c>
      <c r="M73" s="9"/>
      <c r="N73" s="9">
        <v>3.3999999999999998E-3</v>
      </c>
      <c r="O73" s="9">
        <v>1.11E-2</v>
      </c>
      <c r="P73" s="9">
        <v>1.14E-2</v>
      </c>
      <c r="Q73" s="9">
        <v>1.0500000000000001E-2</v>
      </c>
      <c r="R73" s="9"/>
      <c r="S73" s="9">
        <v>1.6000000000000001E-3</v>
      </c>
      <c r="T73" s="9">
        <v>1.6999999999999999E-3</v>
      </c>
      <c r="U73" s="9">
        <v>3.5999999999999999E-3</v>
      </c>
      <c r="V73" s="9">
        <v>4.4999999999999997E-3</v>
      </c>
      <c r="W73" s="9">
        <v>3.8999999999999998E-3</v>
      </c>
      <c r="X73" s="9">
        <v>4.1999999999999997E-3</v>
      </c>
      <c r="Y73" s="9">
        <v>1.1599999999999999E-2</v>
      </c>
      <c r="Z73" s="9">
        <v>3.7000000000000002E-3</v>
      </c>
      <c r="AA73" s="9"/>
      <c r="AB73" s="9"/>
      <c r="AC73" s="9">
        <v>4.4000000000000003E-3</v>
      </c>
      <c r="AD73" s="9">
        <v>3.3999999999999998E-3</v>
      </c>
      <c r="AE73" s="9">
        <v>3.3E-3</v>
      </c>
    </row>
    <row r="74" spans="2:31" x14ac:dyDescent="0.3">
      <c r="B74" s="5">
        <v>202538</v>
      </c>
      <c r="C74" s="5"/>
      <c r="D74" s="9">
        <v>4.5999999999999999E-3</v>
      </c>
      <c r="E74" s="9">
        <v>4.7000000000000002E-3</v>
      </c>
      <c r="F74" s="9">
        <v>4.5999999999999999E-3</v>
      </c>
      <c r="G74" s="9">
        <v>4.0000000000000001E-3</v>
      </c>
      <c r="H74" s="9">
        <v>3.7000000000000002E-3</v>
      </c>
      <c r="I74" s="9">
        <v>8.2000000000000007E-3</v>
      </c>
      <c r="J74" s="9">
        <v>6.1000000000000004E-3</v>
      </c>
      <c r="K74" s="9"/>
      <c r="L74" s="9">
        <v>3.5000000000000001E-3</v>
      </c>
      <c r="M74" s="9"/>
      <c r="N74" s="9">
        <v>3.8999999999999998E-3</v>
      </c>
      <c r="O74" s="9">
        <v>6.0000000000000001E-3</v>
      </c>
      <c r="P74" s="9">
        <v>1.0200000000000001E-2</v>
      </c>
      <c r="Q74" s="9">
        <v>8.5000000000000006E-3</v>
      </c>
      <c r="R74" s="9"/>
      <c r="S74" s="9">
        <v>1.8E-3</v>
      </c>
      <c r="T74" s="9">
        <v>1.2999999999999999E-3</v>
      </c>
      <c r="U74" s="9">
        <v>3.8E-3</v>
      </c>
      <c r="V74" s="9">
        <v>3.3999999999999998E-3</v>
      </c>
      <c r="W74" s="9">
        <v>6.4000000000000003E-3</v>
      </c>
      <c r="X74" s="9">
        <v>7.9000000000000008E-3</v>
      </c>
      <c r="Y74" s="9">
        <v>9.7999999999999997E-3</v>
      </c>
      <c r="Z74" s="9">
        <v>3.0000000000000001E-3</v>
      </c>
      <c r="AA74" s="9"/>
      <c r="AB74" s="9"/>
      <c r="AC74" s="9">
        <v>4.3E-3</v>
      </c>
      <c r="AD74" s="9">
        <v>3.0999999999999999E-3</v>
      </c>
      <c r="AE74" s="9">
        <v>3.2000000000000002E-3</v>
      </c>
    </row>
    <row r="75" spans="2:31" x14ac:dyDescent="0.3">
      <c r="B75" s="5">
        <v>202539</v>
      </c>
      <c r="C75" s="5"/>
      <c r="D75" s="9">
        <v>4.1999999999999997E-3</v>
      </c>
      <c r="E75" s="9">
        <v>5.1000000000000004E-3</v>
      </c>
      <c r="F75" s="9">
        <v>4.1999999999999997E-3</v>
      </c>
      <c r="G75" s="9">
        <v>3.3E-3</v>
      </c>
      <c r="H75" s="9">
        <v>3.3E-3</v>
      </c>
      <c r="I75" s="9">
        <v>1.1299999999999999E-2</v>
      </c>
      <c r="J75" s="9">
        <v>6.6E-3</v>
      </c>
      <c r="K75" s="9"/>
      <c r="L75" s="9">
        <v>6.1000000000000004E-3</v>
      </c>
      <c r="M75" s="9"/>
      <c r="N75" s="9">
        <v>3.0000000000000001E-3</v>
      </c>
      <c r="O75" s="9">
        <v>6.6E-3</v>
      </c>
      <c r="P75" s="9">
        <v>1.15E-2</v>
      </c>
      <c r="Q75" s="9">
        <v>3.5000000000000001E-3</v>
      </c>
      <c r="R75" s="9"/>
      <c r="S75" s="9">
        <v>1.6000000000000001E-3</v>
      </c>
      <c r="T75" s="9">
        <v>1.6000000000000001E-3</v>
      </c>
      <c r="U75" s="9">
        <v>3.2000000000000002E-3</v>
      </c>
      <c r="V75" s="9">
        <v>4.5999999999999999E-3</v>
      </c>
      <c r="W75" s="9">
        <v>8.6E-3</v>
      </c>
      <c r="X75" s="9">
        <v>1.15E-2</v>
      </c>
      <c r="Y75" s="9">
        <v>8.8000000000000005E-3</v>
      </c>
      <c r="Z75" s="9">
        <v>2.8E-3</v>
      </c>
      <c r="AA75" s="9"/>
      <c r="AB75" s="9"/>
      <c r="AC75" s="9">
        <v>3.8999999999999998E-3</v>
      </c>
      <c r="AD75" s="9">
        <v>3.5000000000000001E-3</v>
      </c>
      <c r="AE75" s="9">
        <v>3.8E-3</v>
      </c>
    </row>
    <row r="76" spans="2:31" x14ac:dyDescent="0.3">
      <c r="B76" s="5">
        <v>202540</v>
      </c>
      <c r="C76" s="5"/>
      <c r="D76" s="9">
        <v>3.7000000000000002E-3</v>
      </c>
      <c r="E76" s="9">
        <v>4.8999999999999998E-3</v>
      </c>
      <c r="F76" s="9">
        <v>3.5999999999999999E-3</v>
      </c>
      <c r="G76" s="9">
        <v>3.8999999999999998E-3</v>
      </c>
      <c r="H76" s="9">
        <v>4.1000000000000003E-3</v>
      </c>
      <c r="I76" s="9">
        <v>9.9000000000000008E-3</v>
      </c>
      <c r="J76" s="9">
        <v>7.0000000000000001E-3</v>
      </c>
      <c r="K76" s="9">
        <v>0</v>
      </c>
      <c r="L76" s="9">
        <v>6.6E-3</v>
      </c>
      <c r="M76" s="9">
        <v>1.6999999999999999E-3</v>
      </c>
      <c r="N76" s="9">
        <v>2.2000000000000001E-3</v>
      </c>
      <c r="O76" s="9">
        <v>4.8999999999999998E-3</v>
      </c>
      <c r="P76" s="9">
        <v>1.09E-2</v>
      </c>
      <c r="Q76" s="9">
        <v>2.3999999999999998E-3</v>
      </c>
      <c r="R76" s="9"/>
      <c r="S76" s="9">
        <v>1.6999999999999999E-3</v>
      </c>
      <c r="T76" s="9">
        <v>1.8E-3</v>
      </c>
      <c r="U76" s="9">
        <v>3.5000000000000001E-3</v>
      </c>
      <c r="V76" s="9">
        <v>3.8E-3</v>
      </c>
      <c r="W76" s="9">
        <v>1.11E-2</v>
      </c>
      <c r="X76" s="9">
        <v>1.9E-2</v>
      </c>
      <c r="Y76" s="9">
        <v>8.0999999999999996E-3</v>
      </c>
      <c r="Z76" s="9">
        <v>2.7000000000000001E-3</v>
      </c>
      <c r="AA76" s="9">
        <v>5.0000000000000001E-4</v>
      </c>
      <c r="AB76" s="9"/>
      <c r="AC76" s="9">
        <v>3.3999999999999998E-3</v>
      </c>
      <c r="AD76" s="9">
        <v>3.8999999999999998E-3</v>
      </c>
      <c r="AE76" s="9">
        <v>3.3999999999999998E-3</v>
      </c>
    </row>
    <row r="77" spans="2:31" ht="15" thickBot="1" x14ac:dyDescent="0.35">
      <c r="B77" s="5">
        <v>202541</v>
      </c>
      <c r="C77" s="5"/>
      <c r="D77" s="9">
        <v>3.8E-3</v>
      </c>
      <c r="E77" s="9">
        <v>4.7000000000000002E-3</v>
      </c>
      <c r="F77" s="9">
        <v>3.8E-3</v>
      </c>
      <c r="G77" s="9">
        <v>4.0000000000000001E-3</v>
      </c>
      <c r="H77" s="9">
        <v>3.0999999999999999E-3</v>
      </c>
      <c r="I77" s="9">
        <v>1.12E-2</v>
      </c>
      <c r="J77" s="9">
        <v>5.7000000000000002E-3</v>
      </c>
      <c r="K77" s="9">
        <v>5.0000000000000001E-4</v>
      </c>
      <c r="L77" s="9">
        <v>6.1999999999999998E-3</v>
      </c>
      <c r="M77" s="9">
        <v>1.4E-3</v>
      </c>
      <c r="N77" s="9">
        <v>1.9E-3</v>
      </c>
      <c r="O77" s="9">
        <v>8.2000000000000007E-3</v>
      </c>
      <c r="P77" s="9">
        <v>8.2000000000000007E-3</v>
      </c>
      <c r="Q77" s="9">
        <v>2.2000000000000001E-3</v>
      </c>
      <c r="R77" s="9"/>
      <c r="S77" s="9">
        <v>1.6000000000000001E-3</v>
      </c>
      <c r="T77" s="9">
        <v>1.6999999999999999E-3</v>
      </c>
      <c r="U77" s="9">
        <v>3.2000000000000002E-3</v>
      </c>
      <c r="V77" s="9">
        <v>6.3E-3</v>
      </c>
      <c r="W77" s="9">
        <v>8.3999999999999995E-3</v>
      </c>
      <c r="X77" s="9">
        <v>1.14E-2</v>
      </c>
      <c r="Y77" s="9">
        <v>1.03E-2</v>
      </c>
      <c r="Z77" s="9">
        <v>2.8E-3</v>
      </c>
      <c r="AA77" s="9">
        <v>8.9999999999999998E-4</v>
      </c>
      <c r="AB77" s="9"/>
      <c r="AC77" s="9">
        <v>5.1999999999999998E-3</v>
      </c>
      <c r="AD77" s="9">
        <v>3.5999999999999999E-3</v>
      </c>
      <c r="AE77" s="9">
        <v>3.5000000000000001E-3</v>
      </c>
    </row>
    <row r="78" spans="2:31" ht="15" thickBot="1" x14ac:dyDescent="0.35">
      <c r="B78" s="22" t="s">
        <v>82</v>
      </c>
      <c r="C78" s="22"/>
      <c r="D78" s="24">
        <f t="shared" ref="D78:AE78" si="23">AVERAGE(D37:D77)</f>
        <v>3.3097560975609759E-3</v>
      </c>
      <c r="E78" s="24">
        <f t="shared" si="23"/>
        <v>3.7682926829268291E-3</v>
      </c>
      <c r="F78" s="24">
        <f t="shared" si="23"/>
        <v>3.263414634146341E-3</v>
      </c>
      <c r="G78" s="24">
        <f t="shared" si="23"/>
        <v>4.4731707317073183E-3</v>
      </c>
      <c r="H78" s="24">
        <f t="shared" si="23"/>
        <v>3.2902439024390241E-3</v>
      </c>
      <c r="I78" s="24">
        <f t="shared" si="23"/>
        <v>5.5707317073170727E-3</v>
      </c>
      <c r="J78" s="24">
        <f t="shared" si="23"/>
        <v>3.404878048780488E-3</v>
      </c>
      <c r="K78" s="24">
        <f t="shared" si="23"/>
        <v>3.0888888888888884E-3</v>
      </c>
      <c r="L78" s="24">
        <f t="shared" si="23"/>
        <v>3.0097560975609751E-3</v>
      </c>
      <c r="M78" s="24">
        <f t="shared" si="23"/>
        <v>3.4342105263157905E-3</v>
      </c>
      <c r="N78" s="24">
        <f t="shared" si="23"/>
        <v>2.9916666666666663E-3</v>
      </c>
      <c r="O78" s="24">
        <f t="shared" si="23"/>
        <v>6.2333333333333338E-3</v>
      </c>
      <c r="P78" s="24">
        <f t="shared" si="23"/>
        <v>9.4000000000000021E-3</v>
      </c>
      <c r="Q78" s="24">
        <f t="shared" si="23"/>
        <v>3.8390243902439026E-3</v>
      </c>
      <c r="R78" s="24">
        <f t="shared" si="23"/>
        <v>-6.7871428571428569E-2</v>
      </c>
      <c r="S78" s="24">
        <f t="shared" si="23"/>
        <v>2.9487804878048783E-3</v>
      </c>
      <c r="T78" s="24">
        <f t="shared" si="23"/>
        <v>1.7347826086956527E-3</v>
      </c>
      <c r="U78" s="24">
        <f t="shared" si="23"/>
        <v>2.8222222222222216E-3</v>
      </c>
      <c r="V78" s="24">
        <f t="shared" si="23"/>
        <v>3.7317073170731693E-3</v>
      </c>
      <c r="W78" s="24">
        <f t="shared" si="23"/>
        <v>3.8542857142857142E-3</v>
      </c>
      <c r="X78" s="24">
        <f t="shared" si="23"/>
        <v>3.7571428571428573E-3</v>
      </c>
      <c r="Y78" s="24">
        <f t="shared" si="23"/>
        <v>5.3878048780487808E-3</v>
      </c>
      <c r="Z78" s="24">
        <f t="shared" si="23"/>
        <v>1.88780487804878E-3</v>
      </c>
      <c r="AA78" s="24">
        <f t="shared" si="23"/>
        <v>4.1085714285714293E-3</v>
      </c>
      <c r="AB78" s="24">
        <f t="shared" si="23"/>
        <v>2.3757575757575762E-3</v>
      </c>
      <c r="AC78" s="24">
        <f t="shared" si="23"/>
        <v>2.9416666666666666E-3</v>
      </c>
      <c r="AD78" s="24">
        <f t="shared" si="23"/>
        <v>1.7527777777777776E-3</v>
      </c>
      <c r="AE78" s="24">
        <f t="shared" si="23"/>
        <v>1.9853658536585364E-3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T79"/>
  <sheetViews>
    <sheetView tabSelected="1" workbookViewId="0">
      <pane xSplit="2" ySplit="5" topLeftCell="E6" activePane="bottomRight" state="frozenSplit"/>
      <selection pane="topRight" activeCell="C1" sqref="C1"/>
      <selection pane="bottomLeft" activeCell="A6" sqref="A6"/>
      <selection pane="bottomRight" activeCell="R6" sqref="R6"/>
    </sheetView>
  </sheetViews>
  <sheetFormatPr baseColWidth="10" defaultRowHeight="14.4" x14ac:dyDescent="0.3"/>
  <cols>
    <col min="1" max="1" width="27" bestFit="1" customWidth="1"/>
    <col min="3" max="3" width="3.88671875" bestFit="1" customWidth="1"/>
    <col min="4" max="4" width="10.109375" bestFit="1" customWidth="1"/>
    <col min="5" max="5" width="8.5546875" bestFit="1" customWidth="1"/>
    <col min="6" max="6" width="12.109375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1.33203125" bestFit="1" customWidth="1"/>
    <col min="11" max="11" width="9.6640625" bestFit="1" customWidth="1"/>
    <col min="12" max="12" width="7.109375" bestFit="1" customWidth="1"/>
    <col min="13" max="13" width="11.33203125" bestFit="1" customWidth="1"/>
    <col min="14" max="14" width="12.33203125" bestFit="1" customWidth="1"/>
    <col min="15" max="15" width="7.33203125" bestFit="1" customWidth="1"/>
    <col min="16" max="16" width="11.109375" bestFit="1" customWidth="1"/>
    <col min="17" max="17" width="8.6640625" bestFit="1" customWidth="1"/>
    <col min="18" max="18" width="11.33203125" bestFit="1" customWidth="1"/>
    <col min="19" max="19" width="7.6640625" bestFit="1" customWidth="1"/>
    <col min="20" max="20" width="7.33203125" bestFit="1" customWidth="1"/>
    <col min="21" max="21" width="9.5546875" bestFit="1" customWidth="1"/>
    <col min="22" max="22" width="7.44140625" bestFit="1" customWidth="1"/>
    <col min="23" max="23" width="8.6640625" bestFit="1" customWidth="1"/>
    <col min="24" max="24" width="10.6640625" bestFit="1" customWidth="1"/>
    <col min="25" max="25" width="8.33203125" bestFit="1" customWidth="1"/>
    <col min="26" max="26" width="11.33203125" bestFit="1" customWidth="1"/>
    <col min="27" max="27" width="9.109375" bestFit="1" customWidth="1"/>
    <col min="28" max="28" width="11.109375" bestFit="1" customWidth="1"/>
    <col min="30" max="30" width="11.109375" bestFit="1" customWidth="1"/>
    <col min="31" max="31" width="7.44140625" bestFit="1" customWidth="1"/>
    <col min="32" max="32" width="6.33203125" bestFit="1" customWidth="1"/>
    <col min="33" max="33" width="8.10937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6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2" t="s">
        <v>1</v>
      </c>
      <c r="B2" s="3">
        <v>45942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x14ac:dyDescent="0.3">
      <c r="A3" s="2" t="s">
        <v>2</v>
      </c>
      <c r="B3" s="3">
        <v>45948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5" thickBot="1" x14ac:dyDescent="0.35"/>
    <row r="5" spans="1:46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19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30" t="s">
        <v>48</v>
      </c>
    </row>
    <row r="6" spans="1:46" x14ac:dyDescent="0.3">
      <c r="A6" s="5" t="s">
        <v>49</v>
      </c>
      <c r="B6" s="5">
        <v>144</v>
      </c>
      <c r="C6" s="7"/>
      <c r="D6" s="7">
        <v>7</v>
      </c>
      <c r="E6" s="7">
        <v>4590</v>
      </c>
      <c r="F6" s="7">
        <v>5126</v>
      </c>
      <c r="G6" s="7">
        <v>64</v>
      </c>
      <c r="H6" s="9">
        <f t="shared" ref="H6:H12" si="0">IFERROR(G6/F6,0)</f>
        <v>1.2485368708544674E-2</v>
      </c>
      <c r="I6" s="9">
        <f>IFERROR((4590-F6)/4590,0)</f>
        <v>-0.11677559912854031</v>
      </c>
      <c r="J6" s="7">
        <v>20280</v>
      </c>
      <c r="K6" s="11">
        <f t="shared" ref="K6:K12" si="1">IFERROR(J6/D6/F6*100,0)</f>
        <v>56.51858870742992</v>
      </c>
      <c r="L6" s="11">
        <f>K6-57.6383</f>
        <v>-1.1197112925700807</v>
      </c>
      <c r="M6" s="11">
        <v>0</v>
      </c>
      <c r="N6" s="11">
        <f t="shared" ref="N6:N12" si="2">K6-M6</f>
        <v>56.51858870742992</v>
      </c>
      <c r="O6" s="11">
        <f>IFERROR(192540/4590,0)</f>
        <v>41.947712418300654</v>
      </c>
      <c r="P6" s="11">
        <v>0</v>
      </c>
      <c r="Q6" s="11">
        <f t="shared" ref="Q6:Q11" si="3">IFERROR(O6-P6,0)</f>
        <v>41.947712418300654</v>
      </c>
      <c r="R6" s="7">
        <v>4270</v>
      </c>
      <c r="S6" s="11">
        <f t="shared" ref="S6:S11" si="4">IFERROR(R6/D6/F6*1000,0)</f>
        <v>119.00117050331642</v>
      </c>
      <c r="T6" s="13">
        <f>IFERROR(J6/R6,0)</f>
        <v>4.7494145199063231</v>
      </c>
      <c r="U6" s="7">
        <v>0</v>
      </c>
      <c r="V6" s="11">
        <f t="shared" ref="V6:V11" si="5">IFERROR(U6/D6/F6*1000,0)</f>
        <v>0</v>
      </c>
      <c r="W6" s="11">
        <f t="shared" ref="W6:W12" si="6">IFERROR(V6/S6,0)</f>
        <v>0</v>
      </c>
      <c r="X6" s="11">
        <v>296.88</v>
      </c>
      <c r="Y6" s="11">
        <f t="shared" ref="Y6:Y11" si="7">IFERROR((F6*S6)/(F6*K6)*100,0)</f>
        <v>210.55226824457586</v>
      </c>
      <c r="Z6" s="11">
        <f t="shared" ref="Z6:Z12" si="8">IFERROR(Y6*X6/1000,0)</f>
        <v>62.508757396449674</v>
      </c>
      <c r="AA6" s="7">
        <v>0</v>
      </c>
      <c r="AB6" s="15">
        <f>IFERROR(AA6/0,0)</f>
        <v>0</v>
      </c>
      <c r="AC6" s="11">
        <v>0</v>
      </c>
      <c r="AD6" s="15">
        <f>IFERROR(AC6/0,0)</f>
        <v>0</v>
      </c>
      <c r="AE6" s="11">
        <v>0</v>
      </c>
      <c r="AF6" s="11">
        <v>31</v>
      </c>
      <c r="AG6" s="7">
        <f t="shared" ref="AG6:AG11" si="9">IF(M6=0,0,IFERROR(N6/100*7*F6,0))</f>
        <v>0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>
        <f t="shared" ref="AO6:AO11" si="10">IFERROR(0/F6,0)</f>
        <v>0</v>
      </c>
      <c r="AP6" s="11">
        <v>0</v>
      </c>
      <c r="AQ6" s="7"/>
      <c r="AR6" s="7"/>
      <c r="AS6" s="7">
        <v>15</v>
      </c>
      <c r="AT6" s="7"/>
    </row>
    <row r="7" spans="1:46" x14ac:dyDescent="0.3">
      <c r="A7" s="5" t="s">
        <v>50</v>
      </c>
      <c r="B7" s="5">
        <v>104</v>
      </c>
      <c r="C7" s="7">
        <v>34</v>
      </c>
      <c r="D7" s="7">
        <v>7</v>
      </c>
      <c r="E7" s="7">
        <v>14440</v>
      </c>
      <c r="F7" s="7">
        <v>10550</v>
      </c>
      <c r="G7" s="7">
        <v>46</v>
      </c>
      <c r="H7" s="9">
        <f t="shared" si="0"/>
        <v>4.3601895734597159E-3</v>
      </c>
      <c r="I7" s="9">
        <f>IFERROR((14440-F7)/14440,0)</f>
        <v>0.2693905817174515</v>
      </c>
      <c r="J7" s="7">
        <v>48750</v>
      </c>
      <c r="K7" s="11">
        <f t="shared" si="1"/>
        <v>66.012186865267438</v>
      </c>
      <c r="L7" s="11">
        <f>K7-67.3839</f>
        <v>-1.3717131347325591</v>
      </c>
      <c r="M7" s="11">
        <v>72</v>
      </c>
      <c r="N7" s="11">
        <f t="shared" si="2"/>
        <v>-5.987813134732562</v>
      </c>
      <c r="O7" s="11">
        <f>IFERROR(5749510/14440,0)</f>
        <v>398.16551246537398</v>
      </c>
      <c r="P7" s="11">
        <v>0</v>
      </c>
      <c r="Q7" s="11">
        <f t="shared" si="3"/>
        <v>398.16551246537398</v>
      </c>
      <c r="R7" s="7">
        <v>8750</v>
      </c>
      <c r="S7" s="11">
        <f t="shared" si="4"/>
        <v>118.48341232227489</v>
      </c>
      <c r="T7" s="13">
        <f t="shared" ref="T6:T12" si="11">IFERROR(J7/R7,0)</f>
        <v>5.5714285714285712</v>
      </c>
      <c r="U7" s="7">
        <v>0</v>
      </c>
      <c r="V7" s="11">
        <f t="shared" si="5"/>
        <v>0</v>
      </c>
      <c r="W7" s="11">
        <f t="shared" si="6"/>
        <v>0</v>
      </c>
      <c r="X7" s="11">
        <v>373.15</v>
      </c>
      <c r="Y7" s="11">
        <f t="shared" si="7"/>
        <v>179.48717948717947</v>
      </c>
      <c r="Z7" s="11">
        <f t="shared" si="8"/>
        <v>66.975641025641011</v>
      </c>
      <c r="AA7" s="7">
        <v>2092</v>
      </c>
      <c r="AB7" s="15">
        <f>IFERROR(AA7/0,0)</f>
        <v>0</v>
      </c>
      <c r="AC7" s="11">
        <v>0</v>
      </c>
      <c r="AD7" s="15">
        <f>IFERROR(AC7/0,0)</f>
        <v>0</v>
      </c>
      <c r="AE7" s="11">
        <v>0</v>
      </c>
      <c r="AF7" s="11">
        <v>31</v>
      </c>
      <c r="AG7" s="7">
        <f t="shared" si="9"/>
        <v>-4421.9999999999973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>
        <f t="shared" si="10"/>
        <v>0</v>
      </c>
      <c r="AP7" s="11">
        <v>0</v>
      </c>
      <c r="AQ7" s="7"/>
      <c r="AR7" s="7"/>
      <c r="AS7" s="7">
        <v>0</v>
      </c>
      <c r="AT7" s="7"/>
    </row>
    <row r="8" spans="1:46" x14ac:dyDescent="0.3">
      <c r="A8" s="5" t="s">
        <v>51</v>
      </c>
      <c r="B8" s="5">
        <v>104</v>
      </c>
      <c r="C8" s="7">
        <v>34</v>
      </c>
      <c r="D8" s="7">
        <v>7</v>
      </c>
      <c r="E8" s="7">
        <v>16063</v>
      </c>
      <c r="F8" s="7">
        <v>12480</v>
      </c>
      <c r="G8" s="7">
        <v>35</v>
      </c>
      <c r="H8" s="9">
        <f t="shared" si="0"/>
        <v>2.8044871794871795E-3</v>
      </c>
      <c r="I8" s="9">
        <f>IFERROR((16063-F8)/16063,0)</f>
        <v>0.22305920438274296</v>
      </c>
      <c r="J8" s="7">
        <v>53040</v>
      </c>
      <c r="K8" s="11">
        <f t="shared" si="1"/>
        <v>60.714285714285708</v>
      </c>
      <c r="L8" s="11">
        <f>K8-61.2294</f>
        <v>-0.51511428571429008</v>
      </c>
      <c r="M8" s="11">
        <v>70</v>
      </c>
      <c r="N8" s="11">
        <f t="shared" si="2"/>
        <v>-9.2857142857142918</v>
      </c>
      <c r="O8" s="11">
        <f>IFERROR(6008760/16063,0)</f>
        <v>374.07458133598954</v>
      </c>
      <c r="P8" s="11">
        <v>0</v>
      </c>
      <c r="Q8" s="11">
        <f t="shared" si="3"/>
        <v>374.07458133598954</v>
      </c>
      <c r="R8" s="7">
        <v>9590</v>
      </c>
      <c r="S8" s="11">
        <f t="shared" si="4"/>
        <v>109.77564102564102</v>
      </c>
      <c r="T8" s="13">
        <f t="shared" si="11"/>
        <v>5.5307612095933267</v>
      </c>
      <c r="U8" s="7">
        <v>0</v>
      </c>
      <c r="V8" s="11">
        <f t="shared" si="5"/>
        <v>0</v>
      </c>
      <c r="W8" s="11">
        <f t="shared" si="6"/>
        <v>0</v>
      </c>
      <c r="X8" s="11">
        <v>370</v>
      </c>
      <c r="Y8" s="11">
        <f t="shared" si="7"/>
        <v>180.80693815987934</v>
      </c>
      <c r="Z8" s="11">
        <f t="shared" si="8"/>
        <v>66.898567119155359</v>
      </c>
      <c r="AA8" s="7">
        <v>1741</v>
      </c>
      <c r="AB8" s="15">
        <f>IFERROR(AA8/0,0)</f>
        <v>0</v>
      </c>
      <c r="AC8" s="11">
        <v>0</v>
      </c>
      <c r="AD8" s="15">
        <f>IFERROR(AC8/0,0)</f>
        <v>0</v>
      </c>
      <c r="AE8" s="11">
        <v>12</v>
      </c>
      <c r="AF8" s="11">
        <v>31</v>
      </c>
      <c r="AG8" s="7">
        <f t="shared" si="9"/>
        <v>-8112.0000000000045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>
        <f t="shared" si="10"/>
        <v>0</v>
      </c>
      <c r="AP8" s="11">
        <v>0</v>
      </c>
      <c r="AQ8" s="7"/>
      <c r="AR8" s="7"/>
      <c r="AS8" s="7">
        <v>0</v>
      </c>
      <c r="AT8" s="7"/>
    </row>
    <row r="9" spans="1:46" x14ac:dyDescent="0.3">
      <c r="A9" s="5" t="s">
        <v>52</v>
      </c>
      <c r="B9" s="5">
        <v>65</v>
      </c>
      <c r="C9" s="7"/>
      <c r="D9" s="7">
        <v>7</v>
      </c>
      <c r="E9" s="7">
        <v>4686</v>
      </c>
      <c r="F9" s="7">
        <v>3841</v>
      </c>
      <c r="G9" s="7">
        <v>20</v>
      </c>
      <c r="H9" s="9">
        <f t="shared" si="0"/>
        <v>5.2069773496485287E-3</v>
      </c>
      <c r="I9" s="9">
        <f>IFERROR((4686-F9)/4686,0)</f>
        <v>0.18032437046521554</v>
      </c>
      <c r="J9" s="7">
        <v>25920</v>
      </c>
      <c r="K9" s="11">
        <f t="shared" si="1"/>
        <v>96.403466359207044</v>
      </c>
      <c r="L9" s="11">
        <f>K9-97.6801</f>
        <v>-1.2766336407929515</v>
      </c>
      <c r="M9" s="11">
        <v>84</v>
      </c>
      <c r="N9" s="11">
        <f t="shared" si="2"/>
        <v>12.403466359207044</v>
      </c>
      <c r="O9" s="11">
        <f>IFERROR(1293461/4686,0)</f>
        <v>276.02667520273155</v>
      </c>
      <c r="P9" s="11">
        <v>286</v>
      </c>
      <c r="Q9" s="11">
        <f t="shared" si="3"/>
        <v>-9.9733247972684467</v>
      </c>
      <c r="R9" s="7">
        <v>4357</v>
      </c>
      <c r="S9" s="11">
        <f t="shared" si="4"/>
        <v>162.04857366013314</v>
      </c>
      <c r="T9" s="13">
        <f t="shared" si="11"/>
        <v>5.9490475097544184</v>
      </c>
      <c r="U9" s="7">
        <v>5040</v>
      </c>
      <c r="V9" s="11">
        <f t="shared" si="5"/>
        <v>187.45118458734706</v>
      </c>
      <c r="W9" s="11">
        <f t="shared" si="6"/>
        <v>1.1567592380078036</v>
      </c>
      <c r="X9" s="11">
        <v>362.76</v>
      </c>
      <c r="Y9" s="11">
        <f t="shared" si="7"/>
        <v>168.09413580246911</v>
      </c>
      <c r="Z9" s="11">
        <f t="shared" si="8"/>
        <v>60.977828703703693</v>
      </c>
      <c r="AA9" s="7">
        <v>2038</v>
      </c>
      <c r="AB9" s="15">
        <f>IFERROR(AA9/1960,0)</f>
        <v>1.0397959183673469</v>
      </c>
      <c r="AC9" s="11">
        <v>0</v>
      </c>
      <c r="AD9" s="15">
        <f>IFERROR(AC9/64,0)</f>
        <v>0</v>
      </c>
      <c r="AE9" s="11">
        <v>13</v>
      </c>
      <c r="AF9" s="11">
        <v>31</v>
      </c>
      <c r="AG9" s="7">
        <f t="shared" si="9"/>
        <v>3334.9199999999983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>
        <f t="shared" si="10"/>
        <v>0</v>
      </c>
      <c r="AP9" s="11">
        <v>0</v>
      </c>
      <c r="AQ9" s="7"/>
      <c r="AR9" s="7"/>
      <c r="AS9" s="7">
        <v>0</v>
      </c>
      <c r="AT9" s="7"/>
    </row>
    <row r="10" spans="1:46" x14ac:dyDescent="0.3">
      <c r="A10" s="5" t="s">
        <v>53</v>
      </c>
      <c r="B10" s="5">
        <v>21</v>
      </c>
      <c r="C10" s="7"/>
      <c r="D10" s="7">
        <v>7</v>
      </c>
      <c r="E10" s="7">
        <v>5000</v>
      </c>
      <c r="F10" s="7">
        <v>3966</v>
      </c>
      <c r="G10" s="7">
        <v>4</v>
      </c>
      <c r="H10" s="9">
        <f t="shared" si="0"/>
        <v>1.0085728693898135E-3</v>
      </c>
      <c r="I10" s="9">
        <f>IFERROR((5000-F10)/5000,0)</f>
        <v>0.20680000000000001</v>
      </c>
      <c r="J10" s="7">
        <v>13470</v>
      </c>
      <c r="K10" s="11">
        <f t="shared" si="1"/>
        <v>48.519559109574232</v>
      </c>
      <c r="L10" s="11">
        <f>K10-9.176</f>
        <v>39.34355910957423</v>
      </c>
      <c r="M10" s="11">
        <v>80.5</v>
      </c>
      <c r="N10" s="11">
        <f t="shared" si="2"/>
        <v>-31.980440890425768</v>
      </c>
      <c r="O10" s="11">
        <f>IFERROR(2004030/5000,0)</f>
        <v>400.80599999999998</v>
      </c>
      <c r="P10" s="11">
        <v>13</v>
      </c>
      <c r="Q10" s="11">
        <f t="shared" si="3"/>
        <v>387.80599999999998</v>
      </c>
      <c r="R10" s="7">
        <v>3769</v>
      </c>
      <c r="S10" s="11">
        <f t="shared" si="4"/>
        <v>135.76111231179311</v>
      </c>
      <c r="T10" s="13">
        <f t="shared" si="11"/>
        <v>3.5738922791191299</v>
      </c>
      <c r="U10" s="7">
        <v>5040</v>
      </c>
      <c r="V10" s="11">
        <f t="shared" si="5"/>
        <v>181.54311649016643</v>
      </c>
      <c r="W10" s="11">
        <f t="shared" si="6"/>
        <v>1.3372247280445742</v>
      </c>
      <c r="X10" s="11">
        <v>374.81</v>
      </c>
      <c r="Y10" s="11">
        <f t="shared" si="7"/>
        <v>279.80697847067563</v>
      </c>
      <c r="Z10" s="11">
        <f t="shared" si="8"/>
        <v>104.87445360059392</v>
      </c>
      <c r="AA10" s="7">
        <v>1771</v>
      </c>
      <c r="AB10" s="15">
        <f>IFERROR(AA10/1720,0)</f>
        <v>1.0296511627906977</v>
      </c>
      <c r="AC10" s="11">
        <v>0</v>
      </c>
      <c r="AD10" s="15">
        <f>IFERROR(AC10/52.55,0)</f>
        <v>0</v>
      </c>
      <c r="AE10" s="11">
        <v>14</v>
      </c>
      <c r="AF10" s="11">
        <v>31</v>
      </c>
      <c r="AG10" s="7">
        <f t="shared" si="9"/>
        <v>-8878.4100000000035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>
        <f t="shared" si="10"/>
        <v>0</v>
      </c>
      <c r="AP10" s="11">
        <v>0</v>
      </c>
      <c r="AQ10" s="7"/>
      <c r="AR10" s="7"/>
      <c r="AS10" s="7">
        <v>0</v>
      </c>
      <c r="AT10" s="7"/>
    </row>
    <row r="11" spans="1:46" ht="15" thickBot="1" x14ac:dyDescent="0.35">
      <c r="A11" s="5" t="s">
        <v>54</v>
      </c>
      <c r="B11" s="5">
        <v>65</v>
      </c>
      <c r="C11" s="7"/>
      <c r="D11" s="7">
        <v>7</v>
      </c>
      <c r="E11" s="7">
        <v>4819</v>
      </c>
      <c r="F11" s="7">
        <v>4203</v>
      </c>
      <c r="G11" s="7">
        <v>20</v>
      </c>
      <c r="H11" s="9">
        <f t="shared" si="0"/>
        <v>4.7585058291696406E-3</v>
      </c>
      <c r="I11" s="9">
        <f>IFERROR((4819-F11)/4819,0)</f>
        <v>0.12782735007262919</v>
      </c>
      <c r="J11" s="7">
        <v>25590</v>
      </c>
      <c r="K11" s="11">
        <f t="shared" si="1"/>
        <v>86.97868869175079</v>
      </c>
      <c r="L11" s="11">
        <f>K11-87.7846</f>
        <v>-0.80591130824920754</v>
      </c>
      <c r="M11" s="11">
        <v>84</v>
      </c>
      <c r="N11" s="11">
        <f t="shared" si="2"/>
        <v>2.97868869175079</v>
      </c>
      <c r="O11" s="11">
        <f>IFERROR(1330396/4819,0)</f>
        <v>276.07304420004152</v>
      </c>
      <c r="P11" s="11">
        <v>286</v>
      </c>
      <c r="Q11" s="11">
        <f t="shared" si="3"/>
        <v>-9.9269557999584777</v>
      </c>
      <c r="R11" s="7">
        <v>4177</v>
      </c>
      <c r="S11" s="11">
        <f t="shared" si="4"/>
        <v>141.97342034601135</v>
      </c>
      <c r="T11" s="13">
        <f t="shared" si="11"/>
        <v>6.1264065118506101</v>
      </c>
      <c r="U11" s="7">
        <v>5040</v>
      </c>
      <c r="V11" s="11">
        <f t="shared" si="5"/>
        <v>171.30620985010705</v>
      </c>
      <c r="W11" s="11">
        <f t="shared" si="6"/>
        <v>1.2066076131194636</v>
      </c>
      <c r="X11" s="11">
        <v>310.93714285710001</v>
      </c>
      <c r="Y11" s="11">
        <f t="shared" si="7"/>
        <v>163.22782336850329</v>
      </c>
      <c r="Z11" s="11">
        <f t="shared" si="8"/>
        <v>50.753593032985798</v>
      </c>
      <c r="AA11" s="7">
        <v>1883</v>
      </c>
      <c r="AB11" s="15">
        <f>IFERROR(AA11/1960,0)</f>
        <v>0.96071428571428574</v>
      </c>
      <c r="AC11" s="11">
        <v>0</v>
      </c>
      <c r="AD11" s="15">
        <f>IFERROR(AC11/64,0)</f>
        <v>0</v>
      </c>
      <c r="AE11" s="11">
        <v>14</v>
      </c>
      <c r="AF11" s="11">
        <v>32</v>
      </c>
      <c r="AG11" s="7">
        <f t="shared" si="9"/>
        <v>876.3599999999999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>
        <f t="shared" si="10"/>
        <v>0</v>
      </c>
      <c r="AP11" s="11">
        <v>0</v>
      </c>
      <c r="AQ11" s="7"/>
      <c r="AR11" s="7"/>
      <c r="AS11" s="7">
        <v>0</v>
      </c>
      <c r="AT11" s="7"/>
    </row>
    <row r="12" spans="1:46" ht="15" thickBot="1" x14ac:dyDescent="0.35">
      <c r="A12" s="16" t="s">
        <v>55</v>
      </c>
      <c r="B12" s="16"/>
      <c r="C12" s="17"/>
      <c r="D12" s="17">
        <f>AVERAGE(D6:D11)</f>
        <v>7</v>
      </c>
      <c r="E12" s="17">
        <f>SUM(E6:E11)</f>
        <v>49598</v>
      </c>
      <c r="F12" s="17">
        <f>SUM(F6:F11)</f>
        <v>40166</v>
      </c>
      <c r="G12" s="17">
        <f>SUM(G6:G11)</f>
        <v>189</v>
      </c>
      <c r="H12" s="18">
        <f t="shared" si="0"/>
        <v>4.7054722899965143E-3</v>
      </c>
      <c r="I12" s="18"/>
      <c r="J12" s="17">
        <f>SUM(J6:J11)</f>
        <v>187050</v>
      </c>
      <c r="K12" s="19">
        <f t="shared" si="1"/>
        <v>66.527482376708093</v>
      </c>
      <c r="L12" s="19"/>
      <c r="M12" s="19">
        <f>IFERROR(SUMPRODUCT($F6:$F11,M6:M11)/$F12, 0)</f>
        <v>65.432430413782797</v>
      </c>
      <c r="N12" s="19">
        <f t="shared" si="2"/>
        <v>1.0950519629252966</v>
      </c>
      <c r="O12" s="19">
        <f>IFERROR(SUMPRODUCT($E6:$E11,O6:O11)/$E12, 0)</f>
        <v>334.26140166942213</v>
      </c>
      <c r="P12" s="19">
        <f>IFERROR(SUMPRODUCT($E6:$E11,P6:P11)/$E12, 0)</f>
        <v>56.119803217871691</v>
      </c>
      <c r="Q12" s="19">
        <f>IFERROR(SUMPRODUCT($E6:$E11,Q6:Q11)/$E12, 0)</f>
        <v>278.14159845155046</v>
      </c>
      <c r="R12" s="17">
        <f>SUM(R6:R11)</f>
        <v>34913</v>
      </c>
      <c r="S12" s="19">
        <f>IFERROR(R12/D12/$F12*1000,0)</f>
        <v>124.17396376466236</v>
      </c>
      <c r="T12" s="20">
        <f t="shared" si="11"/>
        <v>5.3576031850600065</v>
      </c>
      <c r="U12" s="17">
        <f>SUM(U6:U11)</f>
        <v>15120</v>
      </c>
      <c r="V12" s="19">
        <f>IFERROR(U12/D12/$F12*1000,0)</f>
        <v>53.776826171388734</v>
      </c>
      <c r="W12" s="19">
        <f t="shared" si="6"/>
        <v>0.43307650445392831</v>
      </c>
      <c r="X12" s="19">
        <f>IFERROR(SUMPRODUCT(R6:R11,X6:X11)/R12,0)</f>
        <v>354.39603459210343</v>
      </c>
      <c r="Y12" s="19">
        <f>IFERROR(($F12*S12)/($F12*K12)*100,0)</f>
        <v>186.65062817428492</v>
      </c>
      <c r="Z12" s="19">
        <f t="shared" si="8"/>
        <v>66.148242479091721</v>
      </c>
      <c r="AA12" s="17"/>
      <c r="AB12" s="21">
        <f>IFERROR(SUMPRODUCT($F6:$F11,AB6:AB11)/$F12,0)</f>
        <v>0.30163159829044539</v>
      </c>
      <c r="AC12" s="19"/>
      <c r="AD12" s="21">
        <f>AVERAGE(AD6:AD11)</f>
        <v>0</v>
      </c>
      <c r="AE12" s="19"/>
      <c r="AF12" s="19"/>
      <c r="AG12" s="17">
        <f>SUM(AG6:AG11)</f>
        <v>-17201.130000000005</v>
      </c>
      <c r="AH12" s="17">
        <f>SUM(AH6:AH11)</f>
        <v>0</v>
      </c>
      <c r="AI12" s="17">
        <f>IFERROR(SUMPRODUCT(AH6:AH11,AI6:AI11)/AH12, 0)</f>
        <v>0</v>
      </c>
      <c r="AJ12" s="19">
        <f>AVERAGE(AJ6:AJ11)</f>
        <v>0</v>
      </c>
      <c r="AK12" s="19">
        <f>AVERAGE(AK6:AK11)</f>
        <v>0</v>
      </c>
      <c r="AL12" s="19">
        <f>AVERAGE(AL6:AL11)</f>
        <v>0</v>
      </c>
      <c r="AM12" s="19">
        <f>AVERAGE(AM6:AM11)</f>
        <v>0</v>
      </c>
      <c r="AN12" s="19">
        <f>AVERAGE(AN6:AN11)</f>
        <v>0</v>
      </c>
      <c r="AO12" s="20"/>
      <c r="AP12" s="19"/>
      <c r="AQ12" s="17"/>
      <c r="AR12" s="17"/>
      <c r="AS12" s="17"/>
      <c r="AT12" s="17"/>
    </row>
    <row r="14" spans="1:46" x14ac:dyDescent="0.3">
      <c r="A14" s="4" t="s">
        <v>56</v>
      </c>
      <c r="B14" s="4">
        <v>20</v>
      </c>
      <c r="C14" s="6"/>
      <c r="D14" s="6">
        <v>7</v>
      </c>
      <c r="E14" s="6">
        <v>5260</v>
      </c>
      <c r="F14" s="6">
        <v>20545</v>
      </c>
      <c r="G14" s="6">
        <v>64</v>
      </c>
      <c r="H14" s="8">
        <f t="shared" ref="H14:H31" si="12">IFERROR(G14/F14,0)</f>
        <v>3.1151131662204914E-3</v>
      </c>
      <c r="I14" s="8">
        <f>IFERROR((5260-F14)/5260,0)</f>
        <v>-2.9058935361216731</v>
      </c>
      <c r="J14" s="6">
        <v>59310</v>
      </c>
      <c r="K14" s="10">
        <f t="shared" ref="K14:K31" si="13">IFERROR(J14/D14/F14*100,0)</f>
        <v>41.24048256440566</v>
      </c>
      <c r="L14" s="10">
        <f>K14-18.6812</f>
        <v>22.55928256440566</v>
      </c>
      <c r="M14" s="10">
        <v>42.5</v>
      </c>
      <c r="N14" s="10">
        <f t="shared" ref="N14:N31" si="14">K14-M14</f>
        <v>-1.2595174355943399</v>
      </c>
      <c r="O14" s="10">
        <f>IFERROR(90670/5260,0)</f>
        <v>17.237642585551331</v>
      </c>
      <c r="P14" s="10">
        <v>4</v>
      </c>
      <c r="Q14" s="10">
        <f t="shared" ref="Q14:Q30" si="15">IFERROR(O14-P14,0)</f>
        <v>13.237642585551331</v>
      </c>
      <c r="R14" s="6">
        <v>13510</v>
      </c>
      <c r="S14" s="10">
        <f t="shared" ref="S14:S30" si="16">IFERROR(R14/D14/F14*1000,0)</f>
        <v>93.9401314188367</v>
      </c>
      <c r="T14" s="12">
        <f t="shared" ref="T14:T31" si="17">IFERROR(J14/R14,0)</f>
        <v>4.3900814211695041</v>
      </c>
      <c r="U14" s="6">
        <v>19520</v>
      </c>
      <c r="V14" s="10">
        <f t="shared" ref="V14:V30" si="18">IFERROR(U14/D14/F14*1000,0)</f>
        <v>135.72993081389285</v>
      </c>
      <c r="W14" s="10">
        <f t="shared" ref="W14:W31" si="19">IFERROR(V14/S14,0)</f>
        <v>1.4448556624722428</v>
      </c>
      <c r="X14" s="10">
        <v>246.06428571430001</v>
      </c>
      <c r="Y14" s="10">
        <f t="shared" ref="Y14:Y30" si="20">IFERROR((F14*S14)/(F14*K14)*100,0)</f>
        <v>227.78620805934918</v>
      </c>
      <c r="Z14" s="10">
        <f t="shared" ref="Z14:Z31" si="21">IFERROR(Y14*X14/1000,0)</f>
        <v>56.05005058169268</v>
      </c>
      <c r="AA14" s="6">
        <v>1710</v>
      </c>
      <c r="AB14" s="14">
        <f>IFERROR(AA14/1375,0)</f>
        <v>1.2436363636363637</v>
      </c>
      <c r="AC14" s="10">
        <v>0</v>
      </c>
      <c r="AD14" s="14">
        <f>IFERROR(AC14/45.9,0)</f>
        <v>0</v>
      </c>
      <c r="AE14" s="10">
        <v>19</v>
      </c>
      <c r="AF14" s="10">
        <v>27</v>
      </c>
      <c r="AG14" s="6">
        <f t="shared" ref="AG14:AG30" si="22">IF(M14=0,0,IFERROR(N14/100*7*F14,0))</f>
        <v>-1811.3749999999998</v>
      </c>
      <c r="AH14" s="6">
        <v>0</v>
      </c>
      <c r="AI14" s="6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2">
        <f>IFERROR(0/F14,0)</f>
        <v>0</v>
      </c>
      <c r="AP14" s="10">
        <v>0</v>
      </c>
      <c r="AQ14" s="6"/>
      <c r="AR14" s="6"/>
      <c r="AS14" s="6">
        <v>0</v>
      </c>
      <c r="AT14" s="6"/>
    </row>
    <row r="15" spans="1:46" x14ac:dyDescent="0.3">
      <c r="A15" s="5" t="s">
        <v>57</v>
      </c>
      <c r="B15" s="5">
        <v>105</v>
      </c>
      <c r="C15" s="7">
        <v>42</v>
      </c>
      <c r="D15" s="7">
        <v>7</v>
      </c>
      <c r="E15" s="7">
        <v>3499</v>
      </c>
      <c r="F15" s="7">
        <v>3407</v>
      </c>
      <c r="G15" s="7">
        <v>24</v>
      </c>
      <c r="H15" s="9">
        <f t="shared" si="12"/>
        <v>7.0443205165835049E-3</v>
      </c>
      <c r="I15" s="9">
        <f>IFERROR((3499-F15)/3499,0)</f>
        <v>2.6293226636181766E-2</v>
      </c>
      <c r="J15" s="7">
        <v>16200</v>
      </c>
      <c r="K15" s="11">
        <f t="shared" si="13"/>
        <v>67.92737640991237</v>
      </c>
      <c r="L15" s="11">
        <f>K15-63.58</f>
        <v>4.3473764099123713</v>
      </c>
      <c r="M15" s="11">
        <v>0</v>
      </c>
      <c r="N15" s="11">
        <f t="shared" si="14"/>
        <v>67.92737640991237</v>
      </c>
      <c r="O15" s="11">
        <f>IFERROR(92590/3499,0)</f>
        <v>26.461846241783366</v>
      </c>
      <c r="P15" s="11">
        <v>0</v>
      </c>
      <c r="Q15" s="11">
        <f t="shared" si="15"/>
        <v>26.461846241783366</v>
      </c>
      <c r="R15" s="7">
        <v>2630</v>
      </c>
      <c r="S15" s="11">
        <f t="shared" si="16"/>
        <v>110.27716046794416</v>
      </c>
      <c r="T15" s="13">
        <f t="shared" si="17"/>
        <v>6.1596958174904941</v>
      </c>
      <c r="U15" s="7">
        <v>4570</v>
      </c>
      <c r="V15" s="11">
        <f t="shared" si="18"/>
        <v>191.6222902427775</v>
      </c>
      <c r="W15" s="11">
        <f t="shared" si="19"/>
        <v>1.7376425855513309</v>
      </c>
      <c r="X15" s="11">
        <v>245.41142857139999</v>
      </c>
      <c r="Y15" s="11">
        <f t="shared" si="20"/>
        <v>162.34567901234567</v>
      </c>
      <c r="Z15" s="11">
        <f t="shared" si="21"/>
        <v>39.841485008813706</v>
      </c>
      <c r="AA15" s="7">
        <v>0</v>
      </c>
      <c r="AB15" s="15">
        <f>IFERROR(AA15/0,0)</f>
        <v>0</v>
      </c>
      <c r="AC15" s="11">
        <v>0</v>
      </c>
      <c r="AD15" s="15">
        <f>IFERROR(AC15/0,0)</f>
        <v>0</v>
      </c>
      <c r="AE15" s="11">
        <v>14</v>
      </c>
      <c r="AF15" s="11">
        <v>27</v>
      </c>
      <c r="AG15" s="7">
        <f t="shared" si="22"/>
        <v>0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>
        <f>IFERROR(0/F15,0)</f>
        <v>0</v>
      </c>
      <c r="AP15" s="11">
        <v>0</v>
      </c>
      <c r="AQ15" s="7"/>
      <c r="AR15" s="7"/>
      <c r="AS15" s="7">
        <v>0</v>
      </c>
      <c r="AT15" s="7"/>
    </row>
    <row r="16" spans="1:46" x14ac:dyDescent="0.3">
      <c r="A16" s="5" t="s">
        <v>58</v>
      </c>
      <c r="B16" s="5">
        <v>65</v>
      </c>
      <c r="C16" s="7"/>
      <c r="D16" s="7">
        <v>7</v>
      </c>
      <c r="E16" s="7">
        <v>10225</v>
      </c>
      <c r="F16" s="7">
        <v>6759</v>
      </c>
      <c r="G16" s="7">
        <v>68</v>
      </c>
      <c r="H16" s="9">
        <f t="shared" si="12"/>
        <v>1.0060659860926172E-2</v>
      </c>
      <c r="I16" s="9">
        <f>IFERROR((10225-F16)/10225,0)</f>
        <v>0.33897310513447432</v>
      </c>
      <c r="J16" s="7">
        <v>35040</v>
      </c>
      <c r="K16" s="11">
        <f t="shared" si="13"/>
        <v>74.05998351404476</v>
      </c>
      <c r="L16" s="11">
        <f>K16-75.7078</f>
        <v>-1.6478164859552464</v>
      </c>
      <c r="M16" s="11">
        <v>84</v>
      </c>
      <c r="N16" s="11">
        <f t="shared" si="14"/>
        <v>-9.9400164859552405</v>
      </c>
      <c r="O16" s="11">
        <f>IFERROR(2221950/10225,0)</f>
        <v>217.30562347188265</v>
      </c>
      <c r="P16" s="11">
        <v>286</v>
      </c>
      <c r="Q16" s="11">
        <f t="shared" si="15"/>
        <v>-68.694376528117346</v>
      </c>
      <c r="R16" s="7">
        <v>6680</v>
      </c>
      <c r="S16" s="11">
        <f t="shared" si="16"/>
        <v>141.1874114936698</v>
      </c>
      <c r="T16" s="13">
        <f t="shared" si="17"/>
        <v>5.2455089820359282</v>
      </c>
      <c r="U16" s="7">
        <v>11290</v>
      </c>
      <c r="V16" s="11">
        <f t="shared" si="18"/>
        <v>238.62363409633716</v>
      </c>
      <c r="W16" s="11">
        <f t="shared" si="19"/>
        <v>1.6901197604790421</v>
      </c>
      <c r="X16" s="11">
        <v>245.3242857143</v>
      </c>
      <c r="Y16" s="11">
        <f t="shared" si="20"/>
        <v>190.63926940639269</v>
      </c>
      <c r="Z16" s="11">
        <f t="shared" si="21"/>
        <v>46.768442596219288</v>
      </c>
      <c r="AA16" s="7">
        <v>0</v>
      </c>
      <c r="AB16" s="15">
        <f>IFERROR(AA16/1960,0)</f>
        <v>0</v>
      </c>
      <c r="AC16" s="11">
        <v>0</v>
      </c>
      <c r="AD16" s="15">
        <f>IFERROR(AC16/64,0)</f>
        <v>0</v>
      </c>
      <c r="AE16" s="11">
        <v>14</v>
      </c>
      <c r="AF16" s="11">
        <v>27</v>
      </c>
      <c r="AG16" s="7">
        <f t="shared" si="22"/>
        <v>-4702.9200000000028</v>
      </c>
      <c r="AH16" s="7">
        <v>0</v>
      </c>
      <c r="AI16" s="7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>
        <f>IFERROR(0/F16,0)</f>
        <v>0</v>
      </c>
      <c r="AP16" s="11">
        <v>0</v>
      </c>
      <c r="AQ16" s="7"/>
      <c r="AR16" s="7"/>
      <c r="AS16" s="7">
        <v>0</v>
      </c>
      <c r="AT16" s="7"/>
    </row>
    <row r="17" spans="1:46" x14ac:dyDescent="0.3">
      <c r="A17" s="5" t="s">
        <v>59</v>
      </c>
      <c r="B17" s="5">
        <v>93</v>
      </c>
      <c r="C17" s="7">
        <v>6</v>
      </c>
      <c r="D17" s="7">
        <v>7</v>
      </c>
      <c r="E17" s="7">
        <v>56050</v>
      </c>
      <c r="F17" s="7">
        <v>51916</v>
      </c>
      <c r="G17" s="7">
        <v>129</v>
      </c>
      <c r="H17" s="9">
        <f t="shared" si="12"/>
        <v>2.4847831111795976E-3</v>
      </c>
      <c r="I17" s="9">
        <f>IFERROR((56050-F17)/56050,0)</f>
        <v>7.3755575379125776E-2</v>
      </c>
      <c r="J17" s="7">
        <v>226380</v>
      </c>
      <c r="K17" s="11">
        <f t="shared" si="13"/>
        <v>62.292934740735028</v>
      </c>
      <c r="L17" s="11">
        <f>K17-38.0011</f>
        <v>24.291834740735027</v>
      </c>
      <c r="M17" s="11">
        <v>37</v>
      </c>
      <c r="N17" s="11">
        <f t="shared" si="14"/>
        <v>25.292934740735028</v>
      </c>
      <c r="O17" s="11">
        <f>IFERROR(23111471/56050,0)</f>
        <v>412.33668153434434</v>
      </c>
      <c r="P17" s="11">
        <v>0</v>
      </c>
      <c r="Q17" s="11">
        <f t="shared" si="15"/>
        <v>412.33668153434434</v>
      </c>
      <c r="R17" s="7">
        <v>39880</v>
      </c>
      <c r="S17" s="11">
        <f t="shared" si="16"/>
        <v>109.73770816593837</v>
      </c>
      <c r="T17" s="13">
        <f t="shared" si="17"/>
        <v>5.6765295887662992</v>
      </c>
      <c r="U17" s="7">
        <v>65800</v>
      </c>
      <c r="V17" s="11">
        <f t="shared" si="18"/>
        <v>181.06171507820326</v>
      </c>
      <c r="W17" s="11">
        <f t="shared" si="19"/>
        <v>1.6499498495486462</v>
      </c>
      <c r="X17" s="11">
        <v>293.21571428570002</v>
      </c>
      <c r="Y17" s="11">
        <f t="shared" si="20"/>
        <v>176.16397208233943</v>
      </c>
      <c r="Z17" s="11">
        <f t="shared" si="21"/>
        <v>51.654044905529268</v>
      </c>
      <c r="AA17" s="7">
        <v>1641</v>
      </c>
      <c r="AB17" s="15">
        <f>IFERROR(AA17/1725,0)</f>
        <v>0.95130434782608697</v>
      </c>
      <c r="AC17" s="11">
        <v>0</v>
      </c>
      <c r="AD17" s="15">
        <f>IFERROR(AC17/64.75,0)</f>
        <v>0</v>
      </c>
      <c r="AE17" s="11">
        <v>21</v>
      </c>
      <c r="AF17" s="11">
        <v>26</v>
      </c>
      <c r="AG17" s="7">
        <f t="shared" si="22"/>
        <v>91917.559999999983</v>
      </c>
      <c r="AH17" s="7">
        <v>78</v>
      </c>
      <c r="AI17" s="7">
        <v>6.6666666667000003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>
        <f>IFERROR(728/F17,0)</f>
        <v>1.4022651976269358E-2</v>
      </c>
      <c r="AP17" s="11">
        <v>0</v>
      </c>
      <c r="AQ17" s="7"/>
      <c r="AR17" s="7"/>
      <c r="AS17" s="7">
        <v>0</v>
      </c>
      <c r="AT17" s="7"/>
    </row>
    <row r="18" spans="1:46" x14ac:dyDescent="0.3">
      <c r="A18" s="5" t="s">
        <v>60</v>
      </c>
      <c r="B18" s="5">
        <v>86</v>
      </c>
      <c r="C18" s="7">
        <v>13</v>
      </c>
      <c r="D18" s="7">
        <v>7</v>
      </c>
      <c r="E18" s="7">
        <v>51536</v>
      </c>
      <c r="F18" s="7">
        <v>47399</v>
      </c>
      <c r="G18" s="7">
        <v>72</v>
      </c>
      <c r="H18" s="9">
        <f t="shared" si="12"/>
        <v>1.5190193885946961E-3</v>
      </c>
      <c r="I18" s="9">
        <f>IFERROR((51536-F18)/51536,0)</f>
        <v>8.0273983235020177E-2</v>
      </c>
      <c r="J18" s="7">
        <v>290660</v>
      </c>
      <c r="K18" s="11">
        <f t="shared" si="13"/>
        <v>87.602812597010796</v>
      </c>
      <c r="L18" s="11">
        <f>K18-88.8433</f>
        <v>-1.2404874029892028</v>
      </c>
      <c r="M18" s="11">
        <v>83</v>
      </c>
      <c r="N18" s="11">
        <f t="shared" si="14"/>
        <v>4.6028125970107965</v>
      </c>
      <c r="O18" s="11">
        <f>IFERROR(19059422/51536,0)</f>
        <v>369.82734399254889</v>
      </c>
      <c r="P18" s="11">
        <v>0</v>
      </c>
      <c r="Q18" s="11">
        <f t="shared" si="15"/>
        <v>369.82734399254889</v>
      </c>
      <c r="R18" s="7">
        <v>38640</v>
      </c>
      <c r="S18" s="11">
        <f t="shared" si="16"/>
        <v>116.45815312559337</v>
      </c>
      <c r="T18" s="13">
        <f t="shared" si="17"/>
        <v>7.5222567287784683</v>
      </c>
      <c r="U18" s="7">
        <v>68426</v>
      </c>
      <c r="V18" s="11">
        <f t="shared" si="18"/>
        <v>206.23099342059655</v>
      </c>
      <c r="W18" s="11">
        <f t="shared" si="19"/>
        <v>1.7708592132505172</v>
      </c>
      <c r="X18" s="11">
        <v>296.14999999999998</v>
      </c>
      <c r="Y18" s="11">
        <f t="shared" si="20"/>
        <v>132.93882887222185</v>
      </c>
      <c r="Z18" s="11">
        <f t="shared" si="21"/>
        <v>39.369834170508497</v>
      </c>
      <c r="AA18" s="7">
        <v>1757</v>
      </c>
      <c r="AB18" s="15">
        <f>IFERROR(AA18/1725,0)</f>
        <v>1.0185507246376813</v>
      </c>
      <c r="AC18" s="11">
        <v>0</v>
      </c>
      <c r="AD18" s="15">
        <f>IFERROR(AC18/64.4,0)</f>
        <v>0</v>
      </c>
      <c r="AE18" s="11">
        <v>23</v>
      </c>
      <c r="AF18" s="11">
        <v>26</v>
      </c>
      <c r="AG18" s="7">
        <f t="shared" si="22"/>
        <v>15271.81000000003</v>
      </c>
      <c r="AH18" s="7">
        <v>98</v>
      </c>
      <c r="AI18" s="7">
        <v>10</v>
      </c>
      <c r="AJ18" s="11">
        <v>14</v>
      </c>
      <c r="AK18" s="11">
        <v>14</v>
      </c>
      <c r="AL18" s="11">
        <v>0</v>
      </c>
      <c r="AM18" s="11">
        <v>0</v>
      </c>
      <c r="AN18" s="11">
        <v>0</v>
      </c>
      <c r="AO18" s="13">
        <f>IFERROR(1050/F18,0)</f>
        <v>2.2152366083672652E-2</v>
      </c>
      <c r="AP18" s="11">
        <v>1500</v>
      </c>
      <c r="AQ18" s="7"/>
      <c r="AR18" s="7"/>
      <c r="AS18" s="7">
        <v>14</v>
      </c>
      <c r="AT18" s="7"/>
    </row>
    <row r="19" spans="1:46" x14ac:dyDescent="0.3">
      <c r="A19" s="5" t="s">
        <v>61</v>
      </c>
      <c r="B19" s="5">
        <v>33</v>
      </c>
      <c r="C19" s="7"/>
      <c r="D19" s="7">
        <v>7</v>
      </c>
      <c r="E19" s="7">
        <v>49067</v>
      </c>
      <c r="F19" s="7">
        <v>47126</v>
      </c>
      <c r="G19" s="7">
        <v>150</v>
      </c>
      <c r="H19" s="9">
        <f t="shared" si="12"/>
        <v>3.1829563298391545E-3</v>
      </c>
      <c r="I19" s="9">
        <f>IFERROR((49067-F19)/49067,0)</f>
        <v>3.9558155175576253E-2</v>
      </c>
      <c r="J19" s="7">
        <v>321320</v>
      </c>
      <c r="K19" s="11">
        <f t="shared" si="13"/>
        <v>97.40452646703973</v>
      </c>
      <c r="L19" s="11">
        <f>K19-97.1499</f>
        <v>0.2546264670397278</v>
      </c>
      <c r="M19" s="11">
        <v>95.75</v>
      </c>
      <c r="N19" s="11">
        <f t="shared" si="14"/>
        <v>1.6545264670397302</v>
      </c>
      <c r="O19" s="11">
        <f>IFERROR(4215830/49067,0)</f>
        <v>85.919864674832368</v>
      </c>
      <c r="P19" s="11">
        <v>86</v>
      </c>
      <c r="Q19" s="11">
        <f t="shared" si="15"/>
        <v>-8.0135325167631777E-2</v>
      </c>
      <c r="R19" s="7">
        <v>39840</v>
      </c>
      <c r="S19" s="11">
        <f t="shared" si="16"/>
        <v>120.77045731503992</v>
      </c>
      <c r="T19" s="13">
        <f t="shared" si="17"/>
        <v>8.0652610441767063</v>
      </c>
      <c r="U19" s="7">
        <v>59730</v>
      </c>
      <c r="V19" s="11">
        <f t="shared" si="18"/>
        <v>181.0647443631359</v>
      </c>
      <c r="W19" s="11">
        <f t="shared" si="19"/>
        <v>1.4992469879518071</v>
      </c>
      <c r="X19" s="11">
        <v>293.57857142860001</v>
      </c>
      <c r="Y19" s="11">
        <f t="shared" si="20"/>
        <v>123.98854724262416</v>
      </c>
      <c r="Z19" s="11">
        <f t="shared" si="21"/>
        <v>36.400380572997086</v>
      </c>
      <c r="AA19" s="7">
        <v>1630</v>
      </c>
      <c r="AB19" s="15">
        <f>IFERROR(AA19/1685,0)</f>
        <v>0.96735905044510384</v>
      </c>
      <c r="AC19" s="11">
        <v>0</v>
      </c>
      <c r="AD19" s="15">
        <f>IFERROR(AC19/60.3,0)</f>
        <v>0</v>
      </c>
      <c r="AE19" s="11">
        <v>23</v>
      </c>
      <c r="AF19" s="11">
        <v>26</v>
      </c>
      <c r="AG19" s="7">
        <f t="shared" si="22"/>
        <v>5457.9850000000024</v>
      </c>
      <c r="AH19" s="7">
        <v>45</v>
      </c>
      <c r="AI19" s="7">
        <v>13.333333333300001</v>
      </c>
      <c r="AJ19" s="11">
        <v>12</v>
      </c>
      <c r="AK19" s="11">
        <v>12</v>
      </c>
      <c r="AL19" s="11">
        <v>0</v>
      </c>
      <c r="AM19" s="11">
        <v>0</v>
      </c>
      <c r="AN19" s="11">
        <v>0</v>
      </c>
      <c r="AO19" s="13">
        <f>IFERROR(0/F19,0)</f>
        <v>0</v>
      </c>
      <c r="AP19" s="11">
        <v>1500</v>
      </c>
      <c r="AQ19" s="7"/>
      <c r="AR19" s="7"/>
      <c r="AS19" s="7">
        <v>14</v>
      </c>
      <c r="AT19" s="7"/>
    </row>
    <row r="20" spans="1:46" x14ac:dyDescent="0.3">
      <c r="A20" s="5" t="s">
        <v>62</v>
      </c>
      <c r="B20" s="5">
        <v>65</v>
      </c>
      <c r="C20" s="7">
        <v>1</v>
      </c>
      <c r="D20" s="7">
        <v>7</v>
      </c>
      <c r="E20" s="7">
        <v>52424</v>
      </c>
      <c r="F20" s="7">
        <v>41268</v>
      </c>
      <c r="G20" s="7">
        <v>435</v>
      </c>
      <c r="H20" s="9">
        <f t="shared" si="12"/>
        <v>1.054085489968014E-2</v>
      </c>
      <c r="I20" s="9">
        <f>IFERROR((52424-F20)/52424,0)</f>
        <v>0.21280329620021365</v>
      </c>
      <c r="J20" s="7">
        <v>123060</v>
      </c>
      <c r="K20" s="11">
        <f t="shared" si="13"/>
        <v>42.599592904914218</v>
      </c>
      <c r="L20" s="11">
        <f>K20-88.846</f>
        <v>-46.246407095085786</v>
      </c>
      <c r="M20" s="11">
        <v>28</v>
      </c>
      <c r="N20" s="11">
        <f t="shared" si="14"/>
        <v>14.599592904914218</v>
      </c>
      <c r="O20" s="11">
        <f>IFERROR(13533000/52424,0)</f>
        <v>258.14512437051729</v>
      </c>
      <c r="P20" s="11">
        <v>0</v>
      </c>
      <c r="Q20" s="11">
        <f t="shared" si="15"/>
        <v>258.14512437051729</v>
      </c>
      <c r="R20" s="7">
        <v>7859</v>
      </c>
      <c r="S20" s="11">
        <f t="shared" si="16"/>
        <v>27.205444550603026</v>
      </c>
      <c r="T20" s="13">
        <f t="shared" si="17"/>
        <v>15.658480722738261</v>
      </c>
      <c r="U20" s="7">
        <v>23632</v>
      </c>
      <c r="V20" s="11">
        <f t="shared" si="18"/>
        <v>81.806726761655526</v>
      </c>
      <c r="W20" s="11">
        <f t="shared" si="19"/>
        <v>3.0069983458455276</v>
      </c>
      <c r="X20" s="11">
        <v>297.36333333329998</v>
      </c>
      <c r="Y20" s="11">
        <f t="shared" si="20"/>
        <v>63.863156183975292</v>
      </c>
      <c r="Z20" s="11">
        <f t="shared" si="21"/>
        <v>18.990561000052043</v>
      </c>
      <c r="AA20" s="7">
        <v>0</v>
      </c>
      <c r="AB20" s="15">
        <f>IFERROR(AA20/1725,0)</f>
        <v>0</v>
      </c>
      <c r="AC20" s="11">
        <v>0</v>
      </c>
      <c r="AD20" s="15">
        <f>IFERROR(AC20/63.4,0)</f>
        <v>0</v>
      </c>
      <c r="AE20" s="11">
        <v>20</v>
      </c>
      <c r="AF20" s="11">
        <v>26</v>
      </c>
      <c r="AG20" s="7">
        <f t="shared" si="22"/>
        <v>42174.720000000001</v>
      </c>
      <c r="AH20" s="7">
        <v>54</v>
      </c>
      <c r="AI20" s="7">
        <v>7.7777777777999999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>
        <f>IFERROR(0/F20,0)</f>
        <v>0</v>
      </c>
      <c r="AP20" s="11">
        <v>0</v>
      </c>
      <c r="AQ20" s="7"/>
      <c r="AR20" s="7"/>
      <c r="AS20" s="7">
        <v>0</v>
      </c>
      <c r="AT20" s="7"/>
    </row>
    <row r="21" spans="1:46" x14ac:dyDescent="0.3">
      <c r="A21" s="5" t="s">
        <v>63</v>
      </c>
      <c r="B21" s="5">
        <v>55</v>
      </c>
      <c r="C21" s="7"/>
      <c r="D21" s="7">
        <v>7</v>
      </c>
      <c r="E21" s="7">
        <v>50525</v>
      </c>
      <c r="F21" s="7">
        <v>45084</v>
      </c>
      <c r="G21" s="7">
        <v>264</v>
      </c>
      <c r="H21" s="9">
        <f t="shared" si="12"/>
        <v>5.8557359595421878E-3</v>
      </c>
      <c r="I21" s="9">
        <f>IFERROR((50525-F21)/50525,0)</f>
        <v>0.10768926274121722</v>
      </c>
      <c r="J21" s="7">
        <v>271500</v>
      </c>
      <c r="K21" s="11">
        <f t="shared" si="13"/>
        <v>86.029887067949346</v>
      </c>
      <c r="L21" s="11">
        <f>K21-93.7386</f>
        <v>-7.7087129320506591</v>
      </c>
      <c r="M21" s="11">
        <v>89</v>
      </c>
      <c r="N21" s="11">
        <f t="shared" si="14"/>
        <v>-2.9701129320506539</v>
      </c>
      <c r="O21" s="11">
        <f>IFERROR(10540970/50525,0)</f>
        <v>208.62879762493816</v>
      </c>
      <c r="P21" s="11">
        <v>226</v>
      </c>
      <c r="Q21" s="11">
        <f t="shared" si="15"/>
        <v>-17.371202375061841</v>
      </c>
      <c r="R21" s="7">
        <v>37420</v>
      </c>
      <c r="S21" s="11">
        <f t="shared" si="16"/>
        <v>118.5723158041497</v>
      </c>
      <c r="T21" s="13">
        <f t="shared" si="17"/>
        <v>7.255478353821486</v>
      </c>
      <c r="U21" s="7">
        <v>64377</v>
      </c>
      <c r="V21" s="11">
        <f t="shared" si="18"/>
        <v>203.99064603216854</v>
      </c>
      <c r="W21" s="11">
        <f t="shared" si="19"/>
        <v>1.7203901656867988</v>
      </c>
      <c r="X21" s="11">
        <v>310.7671428571</v>
      </c>
      <c r="Y21" s="11">
        <f t="shared" si="20"/>
        <v>137.8268876611418</v>
      </c>
      <c r="Z21" s="11">
        <f t="shared" si="21"/>
        <v>42.832068087339522</v>
      </c>
      <c r="AA21" s="7">
        <v>1627</v>
      </c>
      <c r="AB21" s="15">
        <f>IFERROR(AA21/1580,0)</f>
        <v>1.0297468354430379</v>
      </c>
      <c r="AC21" s="11">
        <v>61.22</v>
      </c>
      <c r="AD21" s="15">
        <f>IFERROR(AC21/62.7,0)</f>
        <v>0.97639553429027104</v>
      </c>
      <c r="AE21" s="11">
        <v>22</v>
      </c>
      <c r="AF21" s="11">
        <v>26</v>
      </c>
      <c r="AG21" s="7">
        <f t="shared" si="22"/>
        <v>-9373.3200000000179</v>
      </c>
      <c r="AH21" s="7">
        <v>51</v>
      </c>
      <c r="AI21" s="7">
        <v>10.980392156900001</v>
      </c>
      <c r="AJ21" s="11">
        <v>11</v>
      </c>
      <c r="AK21" s="11">
        <v>10</v>
      </c>
      <c r="AL21" s="11">
        <v>0</v>
      </c>
      <c r="AM21" s="11">
        <v>0</v>
      </c>
      <c r="AN21" s="11">
        <v>0</v>
      </c>
      <c r="AO21" s="13">
        <f>IFERROR(1400/F21,0)</f>
        <v>3.1053145239996451E-2</v>
      </c>
      <c r="AP21" s="11">
        <v>1800</v>
      </c>
      <c r="AQ21" s="7"/>
      <c r="AR21" s="7"/>
      <c r="AS21" s="7">
        <v>14.45</v>
      </c>
      <c r="AT21" s="7"/>
    </row>
    <row r="22" spans="1:46" x14ac:dyDescent="0.3">
      <c r="A22" s="5" t="s">
        <v>64</v>
      </c>
      <c r="B22" s="5">
        <v>74</v>
      </c>
      <c r="C22" s="7"/>
      <c r="D22" s="7">
        <v>7</v>
      </c>
      <c r="E22" s="7">
        <v>50845</v>
      </c>
      <c r="F22" s="7">
        <v>45974</v>
      </c>
      <c r="G22" s="7">
        <v>153</v>
      </c>
      <c r="H22" s="9">
        <f t="shared" si="12"/>
        <v>3.3279679819028145E-3</v>
      </c>
      <c r="I22" s="9">
        <f>IFERROR((50845-F22)/50845,0)</f>
        <v>9.5800963713246146E-2</v>
      </c>
      <c r="J22" s="7">
        <v>270400</v>
      </c>
      <c r="K22" s="11">
        <f t="shared" si="13"/>
        <v>84.022646340478161</v>
      </c>
      <c r="L22" s="11">
        <f>K22-83.7997</f>
        <v>0.22294634047815975</v>
      </c>
      <c r="M22" s="11">
        <v>87.1</v>
      </c>
      <c r="N22" s="11">
        <f t="shared" si="14"/>
        <v>-3.0773536595218332</v>
      </c>
      <c r="O22" s="11">
        <f>IFERROR(16859130/50845,0)</f>
        <v>331.57891631428851</v>
      </c>
      <c r="P22" s="11">
        <v>338</v>
      </c>
      <c r="Q22" s="11">
        <f t="shared" si="15"/>
        <v>-6.4210836857114941</v>
      </c>
      <c r="R22" s="7">
        <v>37654</v>
      </c>
      <c r="S22" s="11">
        <f t="shared" si="16"/>
        <v>117.0040209062265</v>
      </c>
      <c r="T22" s="13">
        <f t="shared" si="17"/>
        <v>7.1811759706804059</v>
      </c>
      <c r="U22" s="7">
        <v>66933</v>
      </c>
      <c r="V22" s="11">
        <f t="shared" si="18"/>
        <v>207.98401581017842</v>
      </c>
      <c r="W22" s="11">
        <f t="shared" si="19"/>
        <v>1.7775800711743772</v>
      </c>
      <c r="X22" s="11">
        <v>271.7042857143</v>
      </c>
      <c r="Y22" s="11">
        <f t="shared" si="20"/>
        <v>139.25295857988164</v>
      </c>
      <c r="Z22" s="11">
        <f t="shared" si="21"/>
        <v>37.835625644549744</v>
      </c>
      <c r="AA22" s="7">
        <v>1673</v>
      </c>
      <c r="AB22" s="15">
        <f>IFERROR(AA22/1725,0)</f>
        <v>0.96985507246376812</v>
      </c>
      <c r="AC22" s="11">
        <v>61.92</v>
      </c>
      <c r="AD22" s="15">
        <f>IFERROR(AC22/63.85,0)</f>
        <v>0.96977290524667192</v>
      </c>
      <c r="AE22" s="11">
        <v>22</v>
      </c>
      <c r="AF22" s="11">
        <v>26</v>
      </c>
      <c r="AG22" s="7">
        <f t="shared" si="22"/>
        <v>-9903.4779999999719</v>
      </c>
      <c r="AH22" s="7">
        <v>57</v>
      </c>
      <c r="AI22" s="7">
        <v>9.4736842105000001</v>
      </c>
      <c r="AJ22" s="11">
        <v>10</v>
      </c>
      <c r="AK22" s="11">
        <v>15</v>
      </c>
      <c r="AL22" s="11">
        <v>0</v>
      </c>
      <c r="AM22" s="11">
        <v>0</v>
      </c>
      <c r="AN22" s="11">
        <v>0</v>
      </c>
      <c r="AO22" s="13">
        <f>IFERROR(1400/F22,0)</f>
        <v>3.0451994605646671E-2</v>
      </c>
      <c r="AP22" s="11">
        <v>1800</v>
      </c>
      <c r="AQ22" s="7"/>
      <c r="AR22" s="7"/>
      <c r="AS22" s="7">
        <v>0</v>
      </c>
      <c r="AT22" s="7"/>
    </row>
    <row r="23" spans="1:46" x14ac:dyDescent="0.3">
      <c r="A23" s="5" t="s">
        <v>65</v>
      </c>
      <c r="B23" s="5">
        <v>41</v>
      </c>
      <c r="C23" s="7"/>
      <c r="D23" s="7">
        <v>7</v>
      </c>
      <c r="E23" s="7">
        <v>21024</v>
      </c>
      <c r="F23" s="7">
        <v>19613</v>
      </c>
      <c r="G23" s="7">
        <v>42</v>
      </c>
      <c r="H23" s="9">
        <f t="shared" si="12"/>
        <v>2.1414368021210424E-3</v>
      </c>
      <c r="I23" s="9">
        <f>IFERROR((21024-F23)/21024,0)</f>
        <v>6.7113774733637749E-2</v>
      </c>
      <c r="J23" s="7">
        <v>95680</v>
      </c>
      <c r="K23" s="11">
        <f t="shared" si="13"/>
        <v>69.691385451340579</v>
      </c>
      <c r="L23" s="11">
        <f>K23-74.652</f>
        <v>-4.9606145486594215</v>
      </c>
      <c r="M23" s="11">
        <v>92</v>
      </c>
      <c r="N23" s="11">
        <f t="shared" si="14"/>
        <v>-22.308614548659421</v>
      </c>
      <c r="O23" s="11">
        <f>IFERROR(1949511/21024,0)</f>
        <v>92.727882420091319</v>
      </c>
      <c r="P23" s="11">
        <v>143</v>
      </c>
      <c r="Q23" s="11">
        <f t="shared" si="15"/>
        <v>-50.272117579908681</v>
      </c>
      <c r="R23" s="7">
        <v>17710</v>
      </c>
      <c r="S23" s="11">
        <f t="shared" si="16"/>
        <v>128.99607403252944</v>
      </c>
      <c r="T23" s="13">
        <f t="shared" si="17"/>
        <v>5.4025974025974026</v>
      </c>
      <c r="U23" s="7">
        <v>22920</v>
      </c>
      <c r="V23" s="11">
        <f t="shared" si="18"/>
        <v>166.94466498168126</v>
      </c>
      <c r="W23" s="11">
        <f t="shared" si="19"/>
        <v>1.2941840767927726</v>
      </c>
      <c r="X23" s="11">
        <v>246.06428571430001</v>
      </c>
      <c r="Y23" s="11">
        <f t="shared" si="20"/>
        <v>185.09615384615387</v>
      </c>
      <c r="Z23" s="11">
        <f t="shared" si="21"/>
        <v>45.54555288461804</v>
      </c>
      <c r="AA23" s="7">
        <v>1970</v>
      </c>
      <c r="AB23" s="15">
        <f>IFERROR(AA23/1930,0)</f>
        <v>1.0207253886010363</v>
      </c>
      <c r="AC23" s="11">
        <v>0</v>
      </c>
      <c r="AD23" s="15">
        <f>IFERROR(AC23/62.4,0)</f>
        <v>0</v>
      </c>
      <c r="AE23" s="11">
        <v>19</v>
      </c>
      <c r="AF23" s="11">
        <v>27</v>
      </c>
      <c r="AG23" s="7">
        <f t="shared" si="22"/>
        <v>-30627.720000000005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>
        <f>IFERROR(0/F23,0)</f>
        <v>0</v>
      </c>
      <c r="AP23" s="11">
        <v>0</v>
      </c>
      <c r="AQ23" s="7"/>
      <c r="AR23" s="7"/>
      <c r="AS23" s="7">
        <v>0</v>
      </c>
      <c r="AT23" s="7"/>
    </row>
    <row r="24" spans="1:46" x14ac:dyDescent="0.3">
      <c r="A24" s="5" t="s">
        <v>66</v>
      </c>
      <c r="B24" s="5">
        <v>65</v>
      </c>
      <c r="C24" s="7">
        <v>1</v>
      </c>
      <c r="D24" s="7">
        <v>7</v>
      </c>
      <c r="E24" s="7">
        <v>21875</v>
      </c>
      <c r="F24" s="7">
        <v>19862</v>
      </c>
      <c r="G24" s="7">
        <v>186</v>
      </c>
      <c r="H24" s="9">
        <f t="shared" si="12"/>
        <v>9.3646158493605886E-3</v>
      </c>
      <c r="I24" s="9">
        <f>IFERROR((21875-F24)/21875,0)</f>
        <v>9.2022857142857142E-2</v>
      </c>
      <c r="J24" s="7">
        <v>53080</v>
      </c>
      <c r="K24" s="11">
        <f t="shared" si="13"/>
        <v>38.177711926579114</v>
      </c>
      <c r="L24" s="11">
        <f>K24-83.1006</f>
        <v>-44.922888073420886</v>
      </c>
      <c r="M24" s="11">
        <v>28</v>
      </c>
      <c r="N24" s="11">
        <f t="shared" si="14"/>
        <v>10.177711926579114</v>
      </c>
      <c r="O24" s="11">
        <f>IFERROR(6293840/21875,0)</f>
        <v>287.71839999999997</v>
      </c>
      <c r="P24" s="11">
        <v>0</v>
      </c>
      <c r="Q24" s="11">
        <f t="shared" si="15"/>
        <v>287.71839999999997</v>
      </c>
      <c r="R24" s="7">
        <v>2400</v>
      </c>
      <c r="S24" s="11">
        <f t="shared" si="16"/>
        <v>17.261964699282188</v>
      </c>
      <c r="T24" s="13">
        <f t="shared" si="17"/>
        <v>22.116666666666667</v>
      </c>
      <c r="U24" s="7">
        <v>9466</v>
      </c>
      <c r="V24" s="11">
        <f t="shared" si="18"/>
        <v>68.084065768085495</v>
      </c>
      <c r="W24" s="11">
        <f t="shared" si="19"/>
        <v>3.9441666666666664</v>
      </c>
      <c r="X24" s="11">
        <v>298.01</v>
      </c>
      <c r="Y24" s="11">
        <f t="shared" si="20"/>
        <v>45.214770158251696</v>
      </c>
      <c r="Z24" s="11">
        <f t="shared" si="21"/>
        <v>13.474453654860588</v>
      </c>
      <c r="AA24" s="7">
        <v>0</v>
      </c>
      <c r="AB24" s="15">
        <f>IFERROR(AA24/1960,0)</f>
        <v>0</v>
      </c>
      <c r="AC24" s="11">
        <v>0</v>
      </c>
      <c r="AD24" s="15">
        <f>IFERROR(AC24/64,0)</f>
        <v>0</v>
      </c>
      <c r="AE24" s="11">
        <v>20</v>
      </c>
      <c r="AF24" s="11">
        <v>26</v>
      </c>
      <c r="AG24" s="7">
        <f t="shared" si="22"/>
        <v>14150.480000000005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>
        <f>IFERROR(0/F24,0)</f>
        <v>0</v>
      </c>
      <c r="AP24" s="11">
        <v>0</v>
      </c>
      <c r="AQ24" s="7"/>
      <c r="AR24" s="7"/>
      <c r="AS24" s="7">
        <v>0</v>
      </c>
      <c r="AT24" s="7"/>
    </row>
    <row r="25" spans="1:46" x14ac:dyDescent="0.3">
      <c r="A25" s="5" t="s">
        <v>67</v>
      </c>
      <c r="B25" s="5">
        <v>21</v>
      </c>
      <c r="C25" s="7"/>
      <c r="D25" s="7">
        <v>7</v>
      </c>
      <c r="E25" s="7">
        <v>77078</v>
      </c>
      <c r="F25" s="7">
        <v>76878</v>
      </c>
      <c r="G25" s="7">
        <v>90</v>
      </c>
      <c r="H25" s="9">
        <f t="shared" si="12"/>
        <v>1.1706860220088973E-3</v>
      </c>
      <c r="I25" s="9">
        <f>IFERROR((77078-F25)/77078,0)</f>
        <v>2.5947741249124265E-3</v>
      </c>
      <c r="J25" s="7">
        <v>366940</v>
      </c>
      <c r="K25" s="11">
        <f t="shared" si="13"/>
        <v>68.185956970784872</v>
      </c>
      <c r="L25" s="11">
        <f>K25-51.8471</f>
        <v>16.338856970784875</v>
      </c>
      <c r="M25" s="11">
        <v>80.5</v>
      </c>
      <c r="N25" s="11">
        <f t="shared" si="14"/>
        <v>-12.314043029215128</v>
      </c>
      <c r="O25" s="11">
        <f>IFERROR(703600/77078,0)</f>
        <v>9.1284153714419158</v>
      </c>
      <c r="P25" s="11">
        <v>13</v>
      </c>
      <c r="Q25" s="11">
        <f t="shared" si="15"/>
        <v>-3.8715846285580842</v>
      </c>
      <c r="R25" s="7">
        <v>53692</v>
      </c>
      <c r="S25" s="11">
        <f t="shared" si="16"/>
        <v>99.772180783653511</v>
      </c>
      <c r="T25" s="13">
        <f t="shared" si="17"/>
        <v>6.8341652387692768</v>
      </c>
      <c r="U25" s="7">
        <v>94487</v>
      </c>
      <c r="V25" s="11">
        <f t="shared" si="18"/>
        <v>175.578746288182</v>
      </c>
      <c r="W25" s="11">
        <f t="shared" si="19"/>
        <v>1.7597966177456603</v>
      </c>
      <c r="X25" s="11">
        <v>297.87571428569998</v>
      </c>
      <c r="Y25" s="11">
        <f t="shared" si="20"/>
        <v>146.32364964299342</v>
      </c>
      <c r="Z25" s="11">
        <f t="shared" si="21"/>
        <v>43.586261654297175</v>
      </c>
      <c r="AA25" s="7">
        <v>1464</v>
      </c>
      <c r="AB25" s="15">
        <f>IFERROR(AA25/1720,0)</f>
        <v>0.85116279069767442</v>
      </c>
      <c r="AC25" s="11">
        <v>46.82</v>
      </c>
      <c r="AD25" s="15">
        <f>IFERROR(AC25/52.55,0)</f>
        <v>0.89096098953377745</v>
      </c>
      <c r="AE25" s="11">
        <v>22</v>
      </c>
      <c r="AF25" s="11">
        <v>26</v>
      </c>
      <c r="AG25" s="7">
        <f t="shared" si="22"/>
        <v>-66267.530000000042</v>
      </c>
      <c r="AH25" s="7">
        <v>35</v>
      </c>
      <c r="AI25" s="7">
        <v>10.285714285699999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>
        <f>IFERROR(0/F25,0)</f>
        <v>0</v>
      </c>
      <c r="AP25" s="11">
        <v>1800</v>
      </c>
      <c r="AQ25" s="7"/>
      <c r="AR25" s="7"/>
      <c r="AS25" s="7">
        <v>12.3</v>
      </c>
      <c r="AT25" s="7"/>
    </row>
    <row r="26" spans="1:46" x14ac:dyDescent="0.3">
      <c r="A26" s="5" t="s">
        <v>68</v>
      </c>
      <c r="B26" s="5">
        <v>55</v>
      </c>
      <c r="C26" s="7"/>
      <c r="D26" s="7">
        <v>7</v>
      </c>
      <c r="E26" s="7">
        <v>21339</v>
      </c>
      <c r="F26" s="7">
        <v>19875</v>
      </c>
      <c r="G26" s="7">
        <v>80</v>
      </c>
      <c r="H26" s="9">
        <f t="shared" si="12"/>
        <v>4.0251572327044023E-3</v>
      </c>
      <c r="I26" s="9">
        <f>IFERROR((21339-F26)/21339,0)</f>
        <v>6.8606776325038657E-2</v>
      </c>
      <c r="J26" s="7">
        <v>117640</v>
      </c>
      <c r="K26" s="11">
        <f t="shared" si="13"/>
        <v>84.557053009883205</v>
      </c>
      <c r="L26" s="11">
        <f>K26-87.8119</f>
        <v>-3.2548469901167891</v>
      </c>
      <c r="M26" s="11">
        <v>87</v>
      </c>
      <c r="N26" s="11">
        <f t="shared" si="14"/>
        <v>-2.4429469901167948</v>
      </c>
      <c r="O26" s="11">
        <f>IFERROR(4662490/21339,0)</f>
        <v>218.49618070200103</v>
      </c>
      <c r="P26" s="11">
        <v>228</v>
      </c>
      <c r="Q26" s="11">
        <f t="shared" si="15"/>
        <v>-9.5038192979989731</v>
      </c>
      <c r="R26" s="7">
        <v>17450</v>
      </c>
      <c r="S26" s="11">
        <f t="shared" si="16"/>
        <v>125.42677448337824</v>
      </c>
      <c r="T26" s="13">
        <f t="shared" si="17"/>
        <v>6.741547277936963</v>
      </c>
      <c r="U26" s="7">
        <v>32189</v>
      </c>
      <c r="V26" s="11">
        <f t="shared" si="18"/>
        <v>231.3674752920036</v>
      </c>
      <c r="W26" s="11">
        <f t="shared" si="19"/>
        <v>1.8446418338108885</v>
      </c>
      <c r="X26" s="11">
        <v>297.64857142860001</v>
      </c>
      <c r="Y26" s="11">
        <f t="shared" si="20"/>
        <v>148.33390003400203</v>
      </c>
      <c r="Z26" s="11">
        <f t="shared" si="21"/>
        <v>44.15137343955346</v>
      </c>
      <c r="AA26" s="7">
        <v>1955</v>
      </c>
      <c r="AB26" s="15">
        <f>IFERROR(AA26/1960,0)</f>
        <v>0.99744897959183676</v>
      </c>
      <c r="AC26" s="11">
        <v>65.06</v>
      </c>
      <c r="AD26" s="15">
        <f>IFERROR(AC26/63.5,0)</f>
        <v>1.0245669291338584</v>
      </c>
      <c r="AE26" s="11">
        <v>22</v>
      </c>
      <c r="AF26" s="11">
        <v>26</v>
      </c>
      <c r="AG26" s="7">
        <f t="shared" si="22"/>
        <v>-3398.7499999999905</v>
      </c>
      <c r="AH26" s="7">
        <v>0</v>
      </c>
      <c r="AI26" s="7">
        <v>0</v>
      </c>
      <c r="AJ26" s="11">
        <v>7</v>
      </c>
      <c r="AK26" s="11">
        <v>9</v>
      </c>
      <c r="AL26" s="11">
        <v>0</v>
      </c>
      <c r="AM26" s="11">
        <v>0</v>
      </c>
      <c r="AN26" s="11">
        <v>0</v>
      </c>
      <c r="AO26" s="13">
        <f>IFERROR(490/F26,0)</f>
        <v>2.4654088050314465E-2</v>
      </c>
      <c r="AP26" s="11">
        <v>1800</v>
      </c>
      <c r="AQ26" s="7"/>
      <c r="AR26" s="7"/>
      <c r="AS26" s="7">
        <v>14.45</v>
      </c>
      <c r="AT26" s="7"/>
    </row>
    <row r="27" spans="1:46" x14ac:dyDescent="0.3">
      <c r="A27" s="5" t="s">
        <v>69</v>
      </c>
      <c r="B27" s="5">
        <v>42</v>
      </c>
      <c r="C27" s="7"/>
      <c r="D27" s="7">
        <v>7</v>
      </c>
      <c r="E27" s="7">
        <v>64976</v>
      </c>
      <c r="F27" s="7">
        <v>62305</v>
      </c>
      <c r="G27" s="7">
        <v>107</v>
      </c>
      <c r="H27" s="9">
        <f t="shared" si="12"/>
        <v>1.717358157451248E-3</v>
      </c>
      <c r="I27" s="9">
        <f>IFERROR((64976-F27)/64976,0)</f>
        <v>4.1107485840925884E-2</v>
      </c>
      <c r="J27" s="7">
        <v>422960</v>
      </c>
      <c r="K27" s="11">
        <f t="shared" si="13"/>
        <v>96.979146365230946</v>
      </c>
      <c r="L27" s="11">
        <f>K27-97.4217</f>
        <v>-0.44255363476905529</v>
      </c>
      <c r="M27" s="11">
        <v>93</v>
      </c>
      <c r="N27" s="11">
        <f t="shared" si="14"/>
        <v>3.979146365230946</v>
      </c>
      <c r="O27" s="11">
        <f>IFERROR(9505170/64976,0)</f>
        <v>146.28739842403348</v>
      </c>
      <c r="P27" s="11">
        <v>146</v>
      </c>
      <c r="Q27" s="11">
        <f t="shared" si="15"/>
        <v>0.28739842403348348</v>
      </c>
      <c r="R27" s="7">
        <v>50320</v>
      </c>
      <c r="S27" s="11">
        <f t="shared" si="16"/>
        <v>115.37711946988891</v>
      </c>
      <c r="T27" s="13">
        <f t="shared" si="17"/>
        <v>8.4054054054054053</v>
      </c>
      <c r="U27" s="7">
        <v>98870</v>
      </c>
      <c r="V27" s="11">
        <f t="shared" si="18"/>
        <v>226.69586251963267</v>
      </c>
      <c r="W27" s="11">
        <f t="shared" si="19"/>
        <v>1.9648251192368837</v>
      </c>
      <c r="X27" s="11">
        <v>294.87142857139997</v>
      </c>
      <c r="Y27" s="11">
        <f t="shared" si="20"/>
        <v>118.97106109324757</v>
      </c>
      <c r="Z27" s="11">
        <f t="shared" si="21"/>
        <v>35.08116674322121</v>
      </c>
      <c r="AA27" s="7">
        <v>1641</v>
      </c>
      <c r="AB27" s="15">
        <f>IFERROR(AA27/1580,0)</f>
        <v>1.0386075949367088</v>
      </c>
      <c r="AC27" s="11">
        <v>0</v>
      </c>
      <c r="AD27" s="15">
        <f>IFERROR(AC27/61.3,0)</f>
        <v>0</v>
      </c>
      <c r="AE27" s="11">
        <v>23</v>
      </c>
      <c r="AF27" s="11">
        <v>29</v>
      </c>
      <c r="AG27" s="7">
        <f t="shared" si="22"/>
        <v>17354.449999999986</v>
      </c>
      <c r="AH27" s="7">
        <v>50</v>
      </c>
      <c r="AI27" s="7">
        <v>14.4</v>
      </c>
      <c r="AJ27" s="11">
        <v>16</v>
      </c>
      <c r="AK27" s="11">
        <v>16</v>
      </c>
      <c r="AL27" s="11">
        <v>0</v>
      </c>
      <c r="AM27" s="11">
        <v>0</v>
      </c>
      <c r="AN27" s="11">
        <v>0</v>
      </c>
      <c r="AO27" s="13">
        <f>IFERROR(1050/F27,0)</f>
        <v>1.6852580049755237E-2</v>
      </c>
      <c r="AP27" s="11">
        <v>1500</v>
      </c>
      <c r="AQ27" s="7"/>
      <c r="AR27" s="7"/>
      <c r="AS27" s="7">
        <v>14</v>
      </c>
      <c r="AT27" s="7"/>
    </row>
    <row r="28" spans="1:46" x14ac:dyDescent="0.3">
      <c r="A28" s="5" t="s">
        <v>70</v>
      </c>
      <c r="B28" s="5">
        <v>113</v>
      </c>
      <c r="C28" s="7">
        <v>41</v>
      </c>
      <c r="D28" s="7">
        <v>7</v>
      </c>
      <c r="E28" s="7">
        <v>47224</v>
      </c>
      <c r="F28" s="7">
        <v>38687</v>
      </c>
      <c r="G28" s="7">
        <v>125</v>
      </c>
      <c r="H28" s="9">
        <f t="shared" si="12"/>
        <v>3.2310595290407631E-3</v>
      </c>
      <c r="I28" s="9">
        <f>IFERROR((47224-F28)/47224,0)</f>
        <v>0.18077672369981365</v>
      </c>
      <c r="J28" s="7">
        <v>158020</v>
      </c>
      <c r="K28" s="11">
        <f t="shared" si="13"/>
        <v>58.3510887747453</v>
      </c>
      <c r="L28" s="11">
        <f>K28-58.0443</f>
        <v>0.30678877474529997</v>
      </c>
      <c r="M28" s="11">
        <v>68</v>
      </c>
      <c r="N28" s="11">
        <f t="shared" si="14"/>
        <v>-9.6489112252547002</v>
      </c>
      <c r="O28" s="11">
        <f>IFERROR(19849970/47224,0)</f>
        <v>420.33648145011011</v>
      </c>
      <c r="P28" s="11">
        <v>0</v>
      </c>
      <c r="Q28" s="11">
        <f t="shared" si="15"/>
        <v>420.33648145011011</v>
      </c>
      <c r="R28" s="7">
        <v>34050</v>
      </c>
      <c r="S28" s="11">
        <f t="shared" si="16"/>
        <v>125.7343736729577</v>
      </c>
      <c r="T28" s="13">
        <f t="shared" si="17"/>
        <v>4.6408223201174739</v>
      </c>
      <c r="U28" s="7">
        <v>59500</v>
      </c>
      <c r="V28" s="11">
        <f t="shared" si="18"/>
        <v>219.71204797477191</v>
      </c>
      <c r="W28" s="11">
        <f t="shared" si="19"/>
        <v>1.7474302496328928</v>
      </c>
      <c r="X28" s="11">
        <v>302.9714285714</v>
      </c>
      <c r="Y28" s="11">
        <f t="shared" si="20"/>
        <v>215.47905328439438</v>
      </c>
      <c r="Z28" s="11">
        <f t="shared" si="21"/>
        <v>65.283996600785784</v>
      </c>
      <c r="AA28" s="7">
        <v>1660</v>
      </c>
      <c r="AB28" s="15">
        <f>IFERROR(AA28/0,0)</f>
        <v>0</v>
      </c>
      <c r="AC28" s="11">
        <v>0</v>
      </c>
      <c r="AD28" s="15">
        <f>IFERROR(AC28/0,0)</f>
        <v>0</v>
      </c>
      <c r="AE28" s="11">
        <v>17</v>
      </c>
      <c r="AF28" s="11">
        <v>31</v>
      </c>
      <c r="AG28" s="7">
        <f t="shared" si="22"/>
        <v>-26130.120000000003</v>
      </c>
      <c r="AH28" s="7">
        <v>54</v>
      </c>
      <c r="AI28" s="7">
        <v>15.1851851852</v>
      </c>
      <c r="AJ28" s="11">
        <v>14</v>
      </c>
      <c r="AK28" s="11">
        <v>0</v>
      </c>
      <c r="AL28" s="11">
        <v>0</v>
      </c>
      <c r="AM28" s="11">
        <v>0</v>
      </c>
      <c r="AN28" s="11">
        <v>0</v>
      </c>
      <c r="AO28" s="13">
        <f>IFERROR(1400/F28,0)</f>
        <v>3.6187866725256548E-2</v>
      </c>
      <c r="AP28" s="11">
        <v>0</v>
      </c>
      <c r="AQ28" s="7"/>
      <c r="AR28" s="7"/>
      <c r="AS28" s="7">
        <v>0</v>
      </c>
      <c r="AT28" s="7"/>
    </row>
    <row r="29" spans="1:46" x14ac:dyDescent="0.3">
      <c r="A29" s="5" t="s">
        <v>71</v>
      </c>
      <c r="B29" s="5">
        <v>33</v>
      </c>
      <c r="C29" s="7"/>
      <c r="D29" s="7">
        <v>7</v>
      </c>
      <c r="E29" s="7">
        <v>24546</v>
      </c>
      <c r="F29" s="7">
        <v>23005</v>
      </c>
      <c r="G29" s="7">
        <v>106</v>
      </c>
      <c r="H29" s="9">
        <f t="shared" si="12"/>
        <v>4.6076939795696584E-3</v>
      </c>
      <c r="I29" s="9">
        <f>IFERROR((24546-F29)/24546,0)</f>
        <v>6.2780086368451074E-2</v>
      </c>
      <c r="J29" s="7">
        <v>152820</v>
      </c>
      <c r="K29" s="11">
        <f t="shared" si="13"/>
        <v>94.898624522619315</v>
      </c>
      <c r="L29" s="11">
        <f>K29-91.4592</f>
        <v>3.4394245226193192</v>
      </c>
      <c r="M29" s="11">
        <v>95</v>
      </c>
      <c r="N29" s="11">
        <f t="shared" si="14"/>
        <v>-0.1013754773806852</v>
      </c>
      <c r="O29" s="11">
        <f>IFERROR(1991110/24546,0)</f>
        <v>81.117493685325513</v>
      </c>
      <c r="P29" s="11">
        <v>87</v>
      </c>
      <c r="Q29" s="11">
        <f t="shared" si="15"/>
        <v>-5.8825063146744867</v>
      </c>
      <c r="R29" s="7">
        <v>19600</v>
      </c>
      <c r="S29" s="11">
        <f t="shared" si="16"/>
        <v>121.71267115844383</v>
      </c>
      <c r="T29" s="13">
        <f t="shared" si="17"/>
        <v>7.7969387755102044</v>
      </c>
      <c r="U29" s="7">
        <v>30300</v>
      </c>
      <c r="V29" s="11">
        <f t="shared" si="18"/>
        <v>188.15785388269629</v>
      </c>
      <c r="W29" s="11">
        <f t="shared" si="19"/>
        <v>1.5459183673469385</v>
      </c>
      <c r="X29" s="11">
        <v>293.43714285710001</v>
      </c>
      <c r="Y29" s="11">
        <f t="shared" si="20"/>
        <v>128.25546394450987</v>
      </c>
      <c r="Z29" s="11">
        <f t="shared" si="21"/>
        <v>37.634916895688782</v>
      </c>
      <c r="AA29" s="7">
        <v>1574</v>
      </c>
      <c r="AB29" s="15">
        <f>IFERROR(AA29/1550,0)</f>
        <v>1.0154838709677418</v>
      </c>
      <c r="AC29" s="11">
        <v>0</v>
      </c>
      <c r="AD29" s="15">
        <f>IFERROR(AC29/59,0)</f>
        <v>0</v>
      </c>
      <c r="AE29" s="11">
        <v>16</v>
      </c>
      <c r="AF29" s="11">
        <v>30</v>
      </c>
      <c r="AG29" s="7">
        <f t="shared" si="22"/>
        <v>-163.24999999998639</v>
      </c>
      <c r="AH29" s="7">
        <v>27</v>
      </c>
      <c r="AI29" s="7">
        <v>20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>
        <f>IFERROR(0/F29,0)</f>
        <v>0</v>
      </c>
      <c r="AP29" s="11">
        <v>0</v>
      </c>
      <c r="AQ29" s="7"/>
      <c r="AR29" s="7"/>
      <c r="AS29" s="7">
        <v>0</v>
      </c>
      <c r="AT29" s="7"/>
    </row>
    <row r="30" spans="1:46" ht="15" thickBot="1" x14ac:dyDescent="0.35">
      <c r="A30" s="5" t="s">
        <v>72</v>
      </c>
      <c r="B30" s="5">
        <v>33</v>
      </c>
      <c r="C30" s="7"/>
      <c r="D30" s="7">
        <v>7</v>
      </c>
      <c r="E30" s="7">
        <v>12056</v>
      </c>
      <c r="F30" s="7">
        <v>11131</v>
      </c>
      <c r="G30" s="7">
        <v>70</v>
      </c>
      <c r="H30" s="9">
        <f t="shared" si="12"/>
        <v>6.2887431497619262E-3</v>
      </c>
      <c r="I30" s="9">
        <f>IFERROR((12056-F30)/12056,0)</f>
        <v>7.6725282017252816E-2</v>
      </c>
      <c r="J30" s="7">
        <v>72320</v>
      </c>
      <c r="K30" s="11">
        <f t="shared" si="13"/>
        <v>92.816715222608664</v>
      </c>
      <c r="L30" s="11">
        <f>K30-92.5683</f>
        <v>0.24841522260867066</v>
      </c>
      <c r="M30" s="11">
        <v>94.5</v>
      </c>
      <c r="N30" s="11">
        <f t="shared" si="14"/>
        <v>-1.6832847773913358</v>
      </c>
      <c r="O30" s="11">
        <f>IFERROR(1069830/12056,0)</f>
        <v>88.738387524883876</v>
      </c>
      <c r="P30" s="11">
        <v>91</v>
      </c>
      <c r="Q30" s="11">
        <f t="shared" si="15"/>
        <v>-2.2616124751161237</v>
      </c>
      <c r="R30" s="7">
        <v>10460</v>
      </c>
      <c r="S30" s="11">
        <f t="shared" si="16"/>
        <v>134.24541499287704</v>
      </c>
      <c r="T30" s="13">
        <f t="shared" si="17"/>
        <v>6.9139579349904396</v>
      </c>
      <c r="U30" s="7">
        <v>14800</v>
      </c>
      <c r="V30" s="11">
        <f t="shared" si="18"/>
        <v>189.94571146219693</v>
      </c>
      <c r="W30" s="11">
        <f t="shared" si="19"/>
        <v>1.4149139579349901</v>
      </c>
      <c r="X30" s="11">
        <v>294.24428571430002</v>
      </c>
      <c r="Y30" s="11">
        <f t="shared" si="20"/>
        <v>144.63495575221242</v>
      </c>
      <c r="Z30" s="11">
        <f t="shared" si="21"/>
        <v>42.558009244629133</v>
      </c>
      <c r="AA30" s="7">
        <v>1842</v>
      </c>
      <c r="AB30" s="15">
        <f>IFERROR(AA30/1910,0)</f>
        <v>0.96439790575916229</v>
      </c>
      <c r="AC30" s="11">
        <v>0</v>
      </c>
      <c r="AD30" s="15">
        <f>IFERROR(AC30/61.5,0)</f>
        <v>0</v>
      </c>
      <c r="AE30" s="11">
        <v>16</v>
      </c>
      <c r="AF30" s="11">
        <v>30</v>
      </c>
      <c r="AG30" s="7">
        <f t="shared" si="22"/>
        <v>-1311.5650000000071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>
        <f>IFERROR(0/F30,0)</f>
        <v>0</v>
      </c>
      <c r="AP30" s="11">
        <v>0</v>
      </c>
      <c r="AQ30" s="7"/>
      <c r="AR30" s="7"/>
      <c r="AS30" s="7">
        <v>0</v>
      </c>
      <c r="AT30" s="7"/>
    </row>
    <row r="31" spans="1:46" ht="15" thickBot="1" x14ac:dyDescent="0.35">
      <c r="A31" s="16" t="s">
        <v>73</v>
      </c>
      <c r="B31" s="16"/>
      <c r="C31" s="17"/>
      <c r="D31" s="17">
        <f>AVERAGE(D14:D30)</f>
        <v>7</v>
      </c>
      <c r="E31" s="17">
        <f>SUM(E14:E30)</f>
        <v>619549</v>
      </c>
      <c r="F31" s="17">
        <f>SUM(F14:F30)</f>
        <v>580834</v>
      </c>
      <c r="G31" s="17">
        <f>SUM(G14:G30)</f>
        <v>2165</v>
      </c>
      <c r="H31" s="18">
        <f t="shared" si="12"/>
        <v>3.7273988781648458E-3</v>
      </c>
      <c r="I31" s="18"/>
      <c r="J31" s="17">
        <f>SUM(J14:J30)</f>
        <v>3053330</v>
      </c>
      <c r="K31" s="19">
        <f t="shared" si="13"/>
        <v>75.097187836800188</v>
      </c>
      <c r="L31" s="19"/>
      <c r="M31" s="19">
        <f>IFERROR(SUMPRODUCT($F14:$F30,M14:M30)/$F31, 0)</f>
        <v>73.896033806560908</v>
      </c>
      <c r="N31" s="19">
        <f t="shared" si="14"/>
        <v>1.2011540302392802</v>
      </c>
      <c r="O31" s="19">
        <f>IFERROR(SUMPRODUCT($E14:$E30,O14:O30)/$E31, 0)</f>
        <v>219.11189268322602</v>
      </c>
      <c r="P31" s="19">
        <f>IFERROR(SUMPRODUCT($E14:$E30,P14:P30)/$E31, 0)</f>
        <v>92.587098034215217</v>
      </c>
      <c r="Q31" s="19">
        <f>IFERROR(SUMPRODUCT($E14:$E30,Q14:Q30)/$E31, 0)</f>
        <v>126.52479464901081</v>
      </c>
      <c r="R31" s="17">
        <f>SUM(R14:R30)</f>
        <v>429795</v>
      </c>
      <c r="S31" s="19">
        <f>IFERROR(R31/D31/$F31*1000,0)</f>
        <v>105.70883542334938</v>
      </c>
      <c r="T31" s="20">
        <f t="shared" si="17"/>
        <v>7.1041543061226866</v>
      </c>
      <c r="U31" s="17">
        <f>SUM(U14:U30)</f>
        <v>746810</v>
      </c>
      <c r="V31" s="19">
        <f>IFERROR(U31/D31/$F31*1000,0)</f>
        <v>183.67923168606322</v>
      </c>
      <c r="W31" s="19">
        <f t="shared" si="19"/>
        <v>1.737595830570388</v>
      </c>
      <c r="X31" s="19">
        <f>IFERROR(SUMPRODUCT(R14:R30,X14:X30)/R31,0)</f>
        <v>290.56135467794155</v>
      </c>
      <c r="Y31" s="19">
        <f>IFERROR(($F31*S31)/($F31*K31)*100,0)</f>
        <v>140.76270825623172</v>
      </c>
      <c r="Z31" s="19">
        <f t="shared" si="21"/>
        <v>40.900203199066553</v>
      </c>
      <c r="AA31" s="17"/>
      <c r="AB31" s="21">
        <f>IFERROR(SUMPRODUCT($F14:$F30,AB14:AB30)/$F31,0)</f>
        <v>0.79868523835383975</v>
      </c>
      <c r="AC31" s="19"/>
      <c r="AD31" s="21">
        <f>AVERAGE(AD14:AD30)</f>
        <v>0.2271586093061517</v>
      </c>
      <c r="AE31" s="19"/>
      <c r="AF31" s="19"/>
      <c r="AG31" s="17">
        <f>SUM(AG14:AG30)</f>
        <v>32636.977000000017</v>
      </c>
      <c r="AH31" s="17">
        <f>SUM(AH14:AH30)</f>
        <v>549</v>
      </c>
      <c r="AI31" s="17">
        <f>IFERROR(SUMPRODUCT(AH14:AH30,AI14:AI30)/AH31, 0)</f>
        <v>11.038251366125683</v>
      </c>
      <c r="AJ31" s="19">
        <f>AVERAGE(AJ14:AJ30)</f>
        <v>4.9411764705882355</v>
      </c>
      <c r="AK31" s="19">
        <f>AVERAGE(AK14:AK30)</f>
        <v>4.4705882352941178</v>
      </c>
      <c r="AL31" s="19">
        <f>AVERAGE(AL14:AL30)</f>
        <v>0</v>
      </c>
      <c r="AM31" s="19">
        <f>AVERAGE(AM14:AM30)</f>
        <v>0</v>
      </c>
      <c r="AN31" s="19">
        <f>AVERAGE(AN14:AN30)</f>
        <v>0</v>
      </c>
      <c r="AO31" s="20"/>
      <c r="AP31" s="19"/>
      <c r="AQ31" s="17"/>
      <c r="AR31" s="17"/>
      <c r="AS31" s="17"/>
      <c r="AT31" s="17"/>
    </row>
    <row r="32" spans="1:46" ht="15" thickBot="1" x14ac:dyDescent="0.35"/>
    <row r="33" spans="1:46" ht="15" thickBot="1" x14ac:dyDescent="0.35">
      <c r="A33" s="23" t="s">
        <v>74</v>
      </c>
      <c r="B33" s="23"/>
      <c r="C33" s="23"/>
      <c r="D33" s="23">
        <f>IFERROR($F$12/$F33*D$12,0)+IFERROR($F$31/$F33*D$31,0)</f>
        <v>7</v>
      </c>
      <c r="E33" s="23">
        <f>E12+E31</f>
        <v>669147</v>
      </c>
      <c r="F33" s="23">
        <f>F12+F31</f>
        <v>621000</v>
      </c>
      <c r="G33" s="23">
        <f>G12+G31</f>
        <v>2354</v>
      </c>
      <c r="H33" s="24">
        <f>IFERROR(G33/F33,0)</f>
        <v>3.7906602254428341E-3</v>
      </c>
      <c r="I33" s="23"/>
      <c r="J33" s="23">
        <f>J12+J31</f>
        <v>3240380</v>
      </c>
      <c r="K33" s="25">
        <f>IFERROR(J33/D33/F33*100,0)</f>
        <v>74.542903151598807</v>
      </c>
      <c r="L33" s="23"/>
      <c r="M33" s="25">
        <f>IFERROR($F$12/$F33*M$12,0)+IFERROR($F$31/$F33*M$31,0)</f>
        <v>73.348611755233492</v>
      </c>
      <c r="N33" s="25">
        <f>K33-M33</f>
        <v>1.1942913963653154</v>
      </c>
      <c r="O33" s="23">
        <f>IFERROR($E$12/$E33*O$12,0)+IFERROR($E$31/$E33*O$31,0)</f>
        <v>227.64691614846961</v>
      </c>
      <c r="P33" s="23">
        <f>IFERROR($E$12/$E33*P$12,0)+IFERROR($E$31/$E33*P$31,0)</f>
        <v>89.884097216306742</v>
      </c>
      <c r="Q33" s="23">
        <f>IFERROR($E$12/$E33*Q$12,0)+IFERROR($E$31/$E33*Q$31,0)</f>
        <v>137.7628189321629</v>
      </c>
      <c r="R33" s="23">
        <f>R12+R31</f>
        <v>464708</v>
      </c>
      <c r="S33" s="25">
        <f>IFERROR(R33/D33/$F33*1000,0)</f>
        <v>106.90315159880377</v>
      </c>
      <c r="T33" s="26">
        <f>IFERROR(J33/R33,0)</f>
        <v>6.9729378448402004</v>
      </c>
      <c r="U33" s="23">
        <f>U12+U31</f>
        <v>761930</v>
      </c>
      <c r="V33" s="25">
        <f>IFERROR(U33/D33/$F33*1000,0)</f>
        <v>175.27720266850702</v>
      </c>
      <c r="W33" s="25">
        <f>IFERROR(V33/S33,0)</f>
        <v>1.6395887309880612</v>
      </c>
      <c r="X33" s="25">
        <f>IFERROR($F$12/$F33*X$12,0)+IFERROR($F$31/$F33*X$31,0)</f>
        <v>294.6901529926472</v>
      </c>
      <c r="Y33" s="25">
        <f>IFERROR(($F33*S33)/($F33*K33)*100,0)</f>
        <v>143.41157518562636</v>
      </c>
      <c r="Z33" s="25">
        <f>IFERROR(Y33*X33/1000,0)</f>
        <v>42.261979032368757</v>
      </c>
      <c r="AA33" s="23"/>
      <c r="AB33" s="27"/>
      <c r="AC33" s="23"/>
      <c r="AD33" s="27"/>
      <c r="AE33" s="23"/>
      <c r="AF33" s="23"/>
      <c r="AG33" s="23">
        <f>AG12+AG31</f>
        <v>15435.847000000012</v>
      </c>
      <c r="AH33" s="23">
        <f>AH12+AH31</f>
        <v>549</v>
      </c>
      <c r="AI33" s="23">
        <f>IFERROR(AH$12/AH33*AI$12,0)+IFERROR(AH$31/AH33*AI$31,0)</f>
        <v>11.038251366125683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</row>
    <row r="35" spans="1:46" x14ac:dyDescent="0.3">
      <c r="A35" s="31" t="s">
        <v>75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46" x14ac:dyDescent="0.3">
      <c r="A36" s="32"/>
      <c r="B36" s="32" t="s">
        <v>76</v>
      </c>
      <c r="C36" s="32"/>
      <c r="D36" s="32" t="s">
        <v>77</v>
      </c>
      <c r="E36" s="32" t="s">
        <v>78</v>
      </c>
      <c r="F36" s="32" t="s">
        <v>79</v>
      </c>
      <c r="G36" s="32" t="s">
        <v>50</v>
      </c>
      <c r="H36" s="32" t="s">
        <v>51</v>
      </c>
      <c r="I36" s="32" t="s">
        <v>49</v>
      </c>
      <c r="J36" s="32" t="s">
        <v>52</v>
      </c>
      <c r="K36" s="32" t="s">
        <v>53</v>
      </c>
      <c r="L36" s="32" t="s">
        <v>54</v>
      </c>
      <c r="M36" s="32" t="s">
        <v>56</v>
      </c>
      <c r="N36" s="32" t="s">
        <v>65</v>
      </c>
      <c r="O36" s="32" t="s">
        <v>57</v>
      </c>
      <c r="P36" s="32" t="s">
        <v>58</v>
      </c>
      <c r="Q36" s="32" t="s">
        <v>59</v>
      </c>
      <c r="R36" s="32" t="s">
        <v>80</v>
      </c>
      <c r="S36" s="32" t="s">
        <v>60</v>
      </c>
      <c r="T36" s="32" t="s">
        <v>69</v>
      </c>
      <c r="U36" s="32" t="s">
        <v>61</v>
      </c>
      <c r="V36" s="32" t="s">
        <v>70</v>
      </c>
      <c r="W36" s="32" t="s">
        <v>71</v>
      </c>
      <c r="X36" s="32" t="s">
        <v>72</v>
      </c>
      <c r="Y36" s="32" t="s">
        <v>62</v>
      </c>
      <c r="Z36" s="32" t="s">
        <v>66</v>
      </c>
      <c r="AA36" s="32" t="s">
        <v>67</v>
      </c>
      <c r="AB36" s="32" t="s">
        <v>81</v>
      </c>
      <c r="AC36" s="32" t="s">
        <v>63</v>
      </c>
      <c r="AD36" s="32" t="s">
        <v>68</v>
      </c>
      <c r="AE36" s="32" t="s">
        <v>64</v>
      </c>
    </row>
    <row r="37" spans="1:46" x14ac:dyDescent="0.3">
      <c r="B37" s="4">
        <v>202501</v>
      </c>
      <c r="C37" s="4"/>
      <c r="D37" s="8">
        <v>2.8E-3</v>
      </c>
      <c r="E37" s="8">
        <v>5.1000000000000004E-3</v>
      </c>
      <c r="F37" s="8">
        <v>2.5999999999999999E-3</v>
      </c>
      <c r="G37" s="8">
        <v>7.7999999999999996E-3</v>
      </c>
      <c r="H37" s="8">
        <v>4.4999999999999997E-3</v>
      </c>
      <c r="I37" s="8">
        <v>3.5000000000000001E-3</v>
      </c>
      <c r="J37" s="8">
        <v>3.2000000000000002E-3</v>
      </c>
      <c r="K37" s="8">
        <v>4.7999999999999996E-3</v>
      </c>
      <c r="L37" s="8">
        <v>1.9E-3</v>
      </c>
      <c r="M37" s="8">
        <v>2.3999999999999998E-3</v>
      </c>
      <c r="N37" s="8">
        <v>2E-3</v>
      </c>
      <c r="O37" s="8"/>
      <c r="P37" s="8">
        <v>5.7999999999999996E-3</v>
      </c>
      <c r="Q37" s="8">
        <v>2.3999999999999998E-3</v>
      </c>
      <c r="R37" s="8">
        <v>3.3999999999999998E-3</v>
      </c>
      <c r="S37" s="8">
        <v>1.6999999999999999E-3</v>
      </c>
      <c r="T37" s="8"/>
      <c r="U37" s="8">
        <v>2.5000000000000001E-3</v>
      </c>
      <c r="V37" s="8">
        <v>5.3E-3</v>
      </c>
      <c r="W37" s="8">
        <v>6.3E-3</v>
      </c>
      <c r="X37" s="8">
        <v>2.7000000000000001E-3</v>
      </c>
      <c r="Y37" s="8">
        <v>1.5E-3</v>
      </c>
      <c r="Z37" s="8">
        <v>1.4E-3</v>
      </c>
      <c r="AA37" s="8">
        <v>2.8E-3</v>
      </c>
      <c r="AB37" s="8">
        <v>1.6999999999999999E-3</v>
      </c>
      <c r="AC37" s="8"/>
      <c r="AD37" s="8"/>
      <c r="AE37" s="8">
        <v>6.9999999999999999E-4</v>
      </c>
    </row>
    <row r="38" spans="1:46" x14ac:dyDescent="0.3">
      <c r="B38" s="5">
        <v>202502</v>
      </c>
      <c r="C38" s="5"/>
      <c r="D38" s="9">
        <v>2.8999999999999998E-3</v>
      </c>
      <c r="E38" s="9">
        <v>4.4000000000000003E-3</v>
      </c>
      <c r="F38" s="9">
        <v>2.7000000000000001E-3</v>
      </c>
      <c r="G38" s="9">
        <v>6.3E-3</v>
      </c>
      <c r="H38" s="9">
        <v>4.4999999999999997E-3</v>
      </c>
      <c r="I38" s="9">
        <v>4.4000000000000003E-3</v>
      </c>
      <c r="J38" s="9">
        <v>3.2000000000000002E-3</v>
      </c>
      <c r="K38" s="9">
        <v>2.7000000000000001E-3</v>
      </c>
      <c r="L38" s="9">
        <v>2.0999999999999999E-3</v>
      </c>
      <c r="M38" s="9">
        <v>3.3999999999999998E-3</v>
      </c>
      <c r="N38" s="9">
        <v>1.9E-3</v>
      </c>
      <c r="O38" s="9"/>
      <c r="P38" s="9">
        <v>1.32E-2</v>
      </c>
      <c r="Q38" s="9">
        <v>2.3999999999999998E-3</v>
      </c>
      <c r="R38" s="9">
        <v>4.1999999999999997E-3</v>
      </c>
      <c r="S38" s="9">
        <v>1.6999999999999999E-3</v>
      </c>
      <c r="T38" s="9"/>
      <c r="U38" s="9">
        <v>2.5000000000000001E-3</v>
      </c>
      <c r="V38" s="9">
        <v>5.7999999999999996E-3</v>
      </c>
      <c r="W38" s="9">
        <v>3.5999999999999999E-3</v>
      </c>
      <c r="X38" s="9">
        <v>2.3E-3</v>
      </c>
      <c r="Y38" s="9">
        <v>1.5E-3</v>
      </c>
      <c r="Z38" s="9">
        <v>1E-3</v>
      </c>
      <c r="AA38" s="9">
        <v>3.0000000000000001E-3</v>
      </c>
      <c r="AB38" s="9">
        <v>1.8E-3</v>
      </c>
      <c r="AC38" s="9"/>
      <c r="AD38" s="9"/>
      <c r="AE38" s="9">
        <v>1E-3</v>
      </c>
    </row>
    <row r="39" spans="1:46" x14ac:dyDescent="0.3">
      <c r="B39" s="5">
        <v>202503</v>
      </c>
      <c r="C39" s="5"/>
      <c r="D39" s="9">
        <v>2.8E-3</v>
      </c>
      <c r="E39" s="9">
        <v>4.8999999999999998E-3</v>
      </c>
      <c r="F39" s="9">
        <v>2.5999999999999999E-3</v>
      </c>
      <c r="G39" s="9">
        <v>5.8999999999999999E-3</v>
      </c>
      <c r="H39" s="9">
        <v>5.8999999999999999E-3</v>
      </c>
      <c r="I39" s="9">
        <v>3.5999999999999999E-3</v>
      </c>
      <c r="J39" s="9">
        <v>3.3999999999999998E-3</v>
      </c>
      <c r="K39" s="9">
        <v>3.2000000000000002E-3</v>
      </c>
      <c r="L39" s="9">
        <v>3.0000000000000001E-3</v>
      </c>
      <c r="M39" s="9">
        <v>2.2000000000000001E-3</v>
      </c>
      <c r="N39" s="9">
        <v>1.6000000000000001E-3</v>
      </c>
      <c r="O39" s="9"/>
      <c r="P39" s="9">
        <v>9.7999999999999997E-3</v>
      </c>
      <c r="Q39" s="9">
        <v>2.5000000000000001E-3</v>
      </c>
      <c r="R39" s="9">
        <v>3.3E-3</v>
      </c>
      <c r="S39" s="9">
        <v>1.8E-3</v>
      </c>
      <c r="T39" s="9"/>
      <c r="U39" s="9">
        <v>2.5000000000000001E-3</v>
      </c>
      <c r="V39" s="9">
        <v>5.4999999999999997E-3</v>
      </c>
      <c r="W39" s="9">
        <v>3.5000000000000001E-3</v>
      </c>
      <c r="X39" s="9">
        <v>2.5000000000000001E-3</v>
      </c>
      <c r="Y39" s="9">
        <v>1.6999999999999999E-3</v>
      </c>
      <c r="Z39" s="9">
        <v>6.9999999999999999E-4</v>
      </c>
      <c r="AA39" s="9">
        <v>2.8E-3</v>
      </c>
      <c r="AB39" s="9">
        <v>1.4E-3</v>
      </c>
      <c r="AC39" s="9"/>
      <c r="AD39" s="9"/>
      <c r="AE39" s="9">
        <v>1.6000000000000001E-3</v>
      </c>
    </row>
    <row r="40" spans="1:46" x14ac:dyDescent="0.3">
      <c r="B40" s="5">
        <v>202504</v>
      </c>
      <c r="C40" s="5"/>
      <c r="D40" s="9">
        <v>2.5999999999999999E-3</v>
      </c>
      <c r="E40" s="9">
        <v>5.1000000000000004E-3</v>
      </c>
      <c r="F40" s="9">
        <v>2.3999999999999998E-3</v>
      </c>
      <c r="G40" s="9">
        <v>5.8999999999999999E-3</v>
      </c>
      <c r="H40" s="9">
        <v>5.7999999999999996E-3</v>
      </c>
      <c r="I40" s="9">
        <v>6.3E-3</v>
      </c>
      <c r="J40" s="9">
        <v>5.0000000000000001E-3</v>
      </c>
      <c r="K40" s="9">
        <v>4.1000000000000003E-3</v>
      </c>
      <c r="L40" s="9">
        <v>1.9E-3</v>
      </c>
      <c r="M40" s="9">
        <v>2.3999999999999998E-3</v>
      </c>
      <c r="N40" s="9">
        <v>2.2000000000000001E-3</v>
      </c>
      <c r="O40" s="9"/>
      <c r="P40" s="9">
        <v>7.3000000000000001E-3</v>
      </c>
      <c r="Q40" s="9">
        <v>2.5000000000000001E-3</v>
      </c>
      <c r="R40" s="9">
        <v>4.1000000000000003E-3</v>
      </c>
      <c r="S40" s="9">
        <v>1.6999999999999999E-3</v>
      </c>
      <c r="T40" s="9"/>
      <c r="U40" s="9">
        <v>2.5999999999999999E-3</v>
      </c>
      <c r="V40" s="9">
        <v>3.2000000000000002E-3</v>
      </c>
      <c r="W40" s="9">
        <v>3.7000000000000002E-3</v>
      </c>
      <c r="X40" s="9">
        <v>2.5000000000000001E-3</v>
      </c>
      <c r="Y40" s="9">
        <v>1.6000000000000001E-3</v>
      </c>
      <c r="Z40" s="9">
        <v>8.9999999999999998E-4</v>
      </c>
      <c r="AA40" s="9">
        <v>3.5000000000000001E-3</v>
      </c>
      <c r="AB40" s="9">
        <v>1.6000000000000001E-3</v>
      </c>
      <c r="AC40" s="9"/>
      <c r="AD40" s="9"/>
      <c r="AE40" s="9">
        <v>8.9999999999999998E-4</v>
      </c>
    </row>
    <row r="41" spans="1:46" x14ac:dyDescent="0.3">
      <c r="B41" s="5">
        <v>202505</v>
      </c>
      <c r="C41" s="5"/>
      <c r="D41" s="9">
        <v>2.5999999999999999E-3</v>
      </c>
      <c r="E41" s="9">
        <v>4.1000000000000003E-3</v>
      </c>
      <c r="F41" s="9">
        <v>2.5000000000000001E-3</v>
      </c>
      <c r="G41" s="9">
        <v>5.3E-3</v>
      </c>
      <c r="H41" s="9">
        <v>4.7000000000000002E-3</v>
      </c>
      <c r="I41" s="9">
        <v>2.7000000000000001E-3</v>
      </c>
      <c r="J41" s="9">
        <v>1.6000000000000001E-3</v>
      </c>
      <c r="K41" s="9">
        <v>3.0000000000000001E-3</v>
      </c>
      <c r="L41" s="9">
        <v>2.8E-3</v>
      </c>
      <c r="M41" s="9">
        <v>2.5000000000000001E-3</v>
      </c>
      <c r="N41" s="9">
        <v>2.7000000000000001E-3</v>
      </c>
      <c r="O41" s="9"/>
      <c r="P41" s="9">
        <v>4.5999999999999999E-3</v>
      </c>
      <c r="Q41" s="9">
        <v>4.1000000000000003E-3</v>
      </c>
      <c r="R41" s="9">
        <v>4.1000000000000003E-3</v>
      </c>
      <c r="S41" s="9">
        <v>1.6999999999999999E-3</v>
      </c>
      <c r="T41" s="9"/>
      <c r="U41" s="9">
        <v>2.3E-3</v>
      </c>
      <c r="V41" s="9">
        <v>2.2000000000000001E-3</v>
      </c>
      <c r="W41" s="9">
        <v>4.4000000000000003E-3</v>
      </c>
      <c r="X41" s="9">
        <v>2.3E-3</v>
      </c>
      <c r="Y41" s="9">
        <v>1.6000000000000001E-3</v>
      </c>
      <c r="Z41" s="9">
        <v>8.9999999999999998E-4</v>
      </c>
      <c r="AA41" s="9">
        <v>3.0999999999999999E-3</v>
      </c>
      <c r="AB41" s="9">
        <v>1.5E-3</v>
      </c>
      <c r="AC41" s="9"/>
      <c r="AD41" s="9"/>
      <c r="AE41" s="9">
        <v>8.9999999999999998E-4</v>
      </c>
    </row>
    <row r="42" spans="1:46" x14ac:dyDescent="0.3">
      <c r="B42" s="5">
        <v>202506</v>
      </c>
      <c r="C42" s="5"/>
      <c r="D42" s="9">
        <v>1.9E-3</v>
      </c>
      <c r="E42" s="9">
        <v>4.4999999999999997E-3</v>
      </c>
      <c r="F42" s="9">
        <v>1.6999999999999999E-3</v>
      </c>
      <c r="G42" s="9">
        <v>5.8999999999999999E-3</v>
      </c>
      <c r="H42" s="9">
        <v>5.4000000000000003E-3</v>
      </c>
      <c r="I42" s="9">
        <v>4.4999999999999997E-3</v>
      </c>
      <c r="J42" s="9">
        <v>2.5000000000000001E-3</v>
      </c>
      <c r="K42" s="9">
        <v>3.0000000000000001E-3</v>
      </c>
      <c r="L42" s="9">
        <v>1.2999999999999999E-3</v>
      </c>
      <c r="M42" s="9">
        <v>3.7000000000000002E-3</v>
      </c>
      <c r="N42" s="9">
        <v>2.5000000000000001E-3</v>
      </c>
      <c r="O42" s="9"/>
      <c r="P42" s="9">
        <v>4.0000000000000001E-3</v>
      </c>
      <c r="Q42" s="9">
        <v>2.7000000000000001E-3</v>
      </c>
      <c r="R42" s="9">
        <v>3.8E-3</v>
      </c>
      <c r="S42" s="9">
        <v>1.5E-3</v>
      </c>
      <c r="T42" s="9"/>
      <c r="U42" s="9">
        <v>1.6999999999999999E-3</v>
      </c>
      <c r="V42" s="9">
        <v>3.0000000000000001E-3</v>
      </c>
      <c r="W42" s="9">
        <v>3.5999999999999999E-3</v>
      </c>
      <c r="X42" s="9">
        <v>1.8E-3</v>
      </c>
      <c r="Y42" s="9">
        <v>8.9999999999999998E-4</v>
      </c>
      <c r="Z42" s="9">
        <v>5.9999999999999995E-4</v>
      </c>
      <c r="AA42" s="9">
        <v>1.6999999999999999E-3</v>
      </c>
      <c r="AB42" s="9">
        <v>1E-3</v>
      </c>
      <c r="AC42" s="9">
        <v>0</v>
      </c>
      <c r="AD42" s="9">
        <v>0</v>
      </c>
      <c r="AE42" s="9">
        <v>5.0000000000000001E-4</v>
      </c>
    </row>
    <row r="43" spans="1:46" x14ac:dyDescent="0.3">
      <c r="B43" s="5">
        <v>202507</v>
      </c>
      <c r="C43" s="5"/>
      <c r="D43" s="9">
        <v>2.3999999999999998E-3</v>
      </c>
      <c r="E43" s="9">
        <v>4.5999999999999999E-3</v>
      </c>
      <c r="F43" s="9">
        <v>2.2000000000000001E-3</v>
      </c>
      <c r="G43" s="9">
        <v>5.7999999999999996E-3</v>
      </c>
      <c r="H43" s="9">
        <v>4.3E-3</v>
      </c>
      <c r="I43" s="9">
        <v>4.4999999999999997E-3</v>
      </c>
      <c r="J43" s="9">
        <v>2.5000000000000001E-3</v>
      </c>
      <c r="K43" s="9">
        <v>5.1000000000000004E-3</v>
      </c>
      <c r="L43" s="9">
        <v>3.8E-3</v>
      </c>
      <c r="M43" s="9">
        <v>8.0999999999999996E-3</v>
      </c>
      <c r="N43" s="9">
        <v>2.8E-3</v>
      </c>
      <c r="O43" s="9"/>
      <c r="P43" s="9">
        <v>4.4999999999999997E-3</v>
      </c>
      <c r="Q43" s="9">
        <v>2E-3</v>
      </c>
      <c r="R43" s="9">
        <v>4.8999999999999998E-3</v>
      </c>
      <c r="S43" s="9">
        <v>1.4E-3</v>
      </c>
      <c r="T43" s="9"/>
      <c r="U43" s="9">
        <v>1.9E-3</v>
      </c>
      <c r="V43" s="9">
        <v>4.3E-3</v>
      </c>
      <c r="W43" s="9">
        <v>4.1999999999999997E-3</v>
      </c>
      <c r="X43" s="9">
        <v>4.4000000000000003E-3</v>
      </c>
      <c r="Y43" s="9">
        <v>1.1000000000000001E-3</v>
      </c>
      <c r="Z43" s="9">
        <v>5.0000000000000001E-4</v>
      </c>
      <c r="AA43" s="9">
        <v>2.0999999999999999E-3</v>
      </c>
      <c r="AB43" s="9">
        <v>1.1999999999999999E-3</v>
      </c>
      <c r="AC43" s="9">
        <v>8.9999999999999998E-4</v>
      </c>
      <c r="AD43" s="9">
        <v>8.0000000000000004E-4</v>
      </c>
      <c r="AE43" s="9">
        <v>6.9999999999999999E-4</v>
      </c>
    </row>
    <row r="44" spans="1:46" x14ac:dyDescent="0.3">
      <c r="B44" s="5">
        <v>202508</v>
      </c>
      <c r="C44" s="5"/>
      <c r="D44" s="9">
        <v>2E-3</v>
      </c>
      <c r="E44" s="9">
        <v>4.4000000000000003E-3</v>
      </c>
      <c r="F44" s="9">
        <v>1.8E-3</v>
      </c>
      <c r="G44" s="9">
        <v>6.6E-3</v>
      </c>
      <c r="H44" s="9">
        <v>3.8E-3</v>
      </c>
      <c r="I44" s="9">
        <v>2.7000000000000001E-3</v>
      </c>
      <c r="J44" s="9">
        <v>3.2000000000000002E-3</v>
      </c>
      <c r="K44" s="9">
        <v>4.1999999999999997E-3</v>
      </c>
      <c r="L44" s="9">
        <v>2.0999999999999999E-3</v>
      </c>
      <c r="M44" s="9">
        <v>2.5999999999999999E-3</v>
      </c>
      <c r="N44" s="9">
        <v>2.8999999999999998E-3</v>
      </c>
      <c r="O44" s="9"/>
      <c r="P44" s="9">
        <v>5.1999999999999998E-3</v>
      </c>
      <c r="Q44" s="9">
        <v>1.9E-3</v>
      </c>
      <c r="R44" s="9">
        <v>2.3999999999999998E-3</v>
      </c>
      <c r="S44" s="9">
        <v>1.2999999999999999E-3</v>
      </c>
      <c r="T44" s="9"/>
      <c r="U44" s="9">
        <v>1.9E-3</v>
      </c>
      <c r="V44" s="9">
        <v>3.0999999999999999E-3</v>
      </c>
      <c r="W44" s="9">
        <v>3.2000000000000002E-3</v>
      </c>
      <c r="X44" s="9">
        <v>2.3E-3</v>
      </c>
      <c r="Y44" s="9">
        <v>1.1000000000000001E-3</v>
      </c>
      <c r="Z44" s="9">
        <v>5.0000000000000001E-4</v>
      </c>
      <c r="AA44" s="9">
        <v>2.8E-3</v>
      </c>
      <c r="AB44" s="9">
        <v>1.2999999999999999E-3</v>
      </c>
      <c r="AC44" s="9">
        <v>1.1999999999999999E-3</v>
      </c>
      <c r="AD44" s="9">
        <v>6.9999999999999999E-4</v>
      </c>
      <c r="AE44" s="9">
        <v>5.9999999999999995E-4</v>
      </c>
    </row>
    <row r="45" spans="1:46" x14ac:dyDescent="0.3">
      <c r="B45" s="5">
        <v>202509</v>
      </c>
      <c r="C45" s="5"/>
      <c r="D45" s="9">
        <v>3.0000000000000001E-3</v>
      </c>
      <c r="E45" s="9">
        <v>8.8000000000000005E-3</v>
      </c>
      <c r="F45" s="9">
        <v>2.5000000000000001E-3</v>
      </c>
      <c r="G45" s="9">
        <v>1.7299999999999999E-2</v>
      </c>
      <c r="H45" s="9">
        <v>5.7000000000000002E-3</v>
      </c>
      <c r="I45" s="9">
        <v>9.1999999999999998E-3</v>
      </c>
      <c r="J45" s="9">
        <v>5.1000000000000004E-3</v>
      </c>
      <c r="K45" s="9">
        <v>4.4000000000000003E-3</v>
      </c>
      <c r="L45" s="9">
        <v>3.8999999999999998E-3</v>
      </c>
      <c r="M45" s="9">
        <v>2.0999999999999999E-3</v>
      </c>
      <c r="N45" s="9">
        <v>5.1999999999999998E-3</v>
      </c>
      <c r="O45" s="9"/>
      <c r="P45" s="9">
        <v>5.0000000000000001E-3</v>
      </c>
      <c r="Q45" s="9">
        <v>2.7000000000000001E-3</v>
      </c>
      <c r="R45" s="9">
        <v>4.8999999999999998E-3</v>
      </c>
      <c r="S45" s="9">
        <v>2E-3</v>
      </c>
      <c r="T45" s="9"/>
      <c r="U45" s="9">
        <v>2.5000000000000001E-3</v>
      </c>
      <c r="V45" s="9">
        <v>3.0999999999999999E-3</v>
      </c>
      <c r="W45" s="9">
        <v>4.5999999999999999E-3</v>
      </c>
      <c r="X45" s="9">
        <v>2.8E-3</v>
      </c>
      <c r="Y45" s="9">
        <v>1.6999999999999999E-3</v>
      </c>
      <c r="Z45" s="9">
        <v>1E-3</v>
      </c>
      <c r="AA45" s="9">
        <v>3.5999999999999999E-3</v>
      </c>
      <c r="AB45" s="9">
        <v>1.6000000000000001E-3</v>
      </c>
      <c r="AC45" s="9">
        <v>2.3E-3</v>
      </c>
      <c r="AD45" s="9">
        <v>1.1999999999999999E-3</v>
      </c>
      <c r="AE45" s="9">
        <v>1.1999999999999999E-3</v>
      </c>
    </row>
    <row r="46" spans="1:46" x14ac:dyDescent="0.3">
      <c r="B46" s="5">
        <v>202510</v>
      </c>
      <c r="C46" s="5"/>
      <c r="D46" s="9">
        <v>2.8E-3</v>
      </c>
      <c r="E46" s="9">
        <v>8.0000000000000002E-3</v>
      </c>
      <c r="F46" s="9">
        <v>2.3999999999999998E-3</v>
      </c>
      <c r="G46" s="9">
        <v>1.47E-2</v>
      </c>
      <c r="H46" s="9">
        <v>7.1000000000000004E-3</v>
      </c>
      <c r="I46" s="9">
        <v>1.12E-2</v>
      </c>
      <c r="J46" s="9">
        <v>2.8E-3</v>
      </c>
      <c r="K46" s="9">
        <v>2.0999999999999999E-3</v>
      </c>
      <c r="L46" s="9">
        <v>3.0000000000000001E-3</v>
      </c>
      <c r="M46" s="9">
        <v>2.5000000000000001E-3</v>
      </c>
      <c r="N46" s="9">
        <v>3.3999999999999998E-3</v>
      </c>
      <c r="O46" s="9"/>
      <c r="P46" s="9">
        <v>5.5999999999999999E-3</v>
      </c>
      <c r="Q46" s="9">
        <v>2.8999999999999998E-3</v>
      </c>
      <c r="R46" s="9">
        <v>4.1999999999999997E-3</v>
      </c>
      <c r="S46" s="9">
        <v>2.3E-3</v>
      </c>
      <c r="T46" s="9"/>
      <c r="U46" s="9">
        <v>2.5000000000000001E-3</v>
      </c>
      <c r="V46" s="9">
        <v>2.5999999999999999E-3</v>
      </c>
      <c r="W46" s="9">
        <v>3.3999999999999998E-3</v>
      </c>
      <c r="X46" s="9">
        <v>2.5000000000000001E-3</v>
      </c>
      <c r="Y46" s="9">
        <v>2E-3</v>
      </c>
      <c r="Z46" s="9">
        <v>1E-3</v>
      </c>
      <c r="AA46" s="9">
        <v>3.5000000000000001E-3</v>
      </c>
      <c r="AB46" s="9">
        <v>1.6999999999999999E-3</v>
      </c>
      <c r="AC46" s="9">
        <v>1.6999999999999999E-3</v>
      </c>
      <c r="AD46" s="9">
        <v>1.6000000000000001E-3</v>
      </c>
      <c r="AE46" s="9">
        <v>1.2999999999999999E-3</v>
      </c>
    </row>
    <row r="47" spans="1:46" x14ac:dyDescent="0.3">
      <c r="B47" s="5">
        <v>202511</v>
      </c>
      <c r="C47" s="5"/>
      <c r="D47" s="9">
        <v>2.3E-3</v>
      </c>
      <c r="E47" s="9">
        <v>3.5999999999999999E-3</v>
      </c>
      <c r="F47" s="9">
        <v>2.2000000000000001E-3</v>
      </c>
      <c r="G47" s="9">
        <v>5.0000000000000001E-3</v>
      </c>
      <c r="H47" s="9">
        <v>4.1000000000000003E-3</v>
      </c>
      <c r="I47" s="9">
        <v>6.6E-3</v>
      </c>
      <c r="J47" s="9">
        <v>1.9E-3</v>
      </c>
      <c r="K47" s="9">
        <v>2.0999999999999999E-3</v>
      </c>
      <c r="L47" s="9">
        <v>1.2999999999999999E-3</v>
      </c>
      <c r="M47" s="9">
        <v>2E-3</v>
      </c>
      <c r="N47" s="9">
        <v>2.5999999999999999E-3</v>
      </c>
      <c r="O47" s="9"/>
      <c r="P47" s="9">
        <v>3.5000000000000001E-3</v>
      </c>
      <c r="Q47" s="9">
        <v>2.5000000000000001E-3</v>
      </c>
      <c r="R47" s="9">
        <v>3.5000000000000001E-3</v>
      </c>
      <c r="S47" s="9">
        <v>2.3E-3</v>
      </c>
      <c r="T47" s="9"/>
      <c r="U47" s="9">
        <v>3.0000000000000001E-3</v>
      </c>
      <c r="V47" s="9">
        <v>2.3E-3</v>
      </c>
      <c r="W47" s="9">
        <v>3.0999999999999999E-3</v>
      </c>
      <c r="X47" s="9">
        <v>2.8E-3</v>
      </c>
      <c r="Y47" s="9">
        <v>1.9E-3</v>
      </c>
      <c r="Z47" s="9">
        <v>8.9999999999999998E-4</v>
      </c>
      <c r="AA47" s="9">
        <v>3.5000000000000001E-3</v>
      </c>
      <c r="AB47" s="9">
        <v>1.5E-3</v>
      </c>
      <c r="AC47" s="9">
        <v>1.1000000000000001E-3</v>
      </c>
      <c r="AD47" s="9">
        <v>1.1999999999999999E-3</v>
      </c>
      <c r="AE47" s="9">
        <v>1.4E-3</v>
      </c>
    </row>
    <row r="48" spans="1:46" x14ac:dyDescent="0.3">
      <c r="B48" s="5">
        <v>202512</v>
      </c>
      <c r="C48" s="5"/>
      <c r="D48" s="9">
        <v>2.5000000000000001E-3</v>
      </c>
      <c r="E48" s="9">
        <v>3.0999999999999999E-3</v>
      </c>
      <c r="F48" s="9">
        <v>2.3999999999999998E-3</v>
      </c>
      <c r="G48" s="9">
        <v>3.3999999999999998E-3</v>
      </c>
      <c r="H48" s="9">
        <v>3.2000000000000002E-3</v>
      </c>
      <c r="I48" s="9">
        <v>4.7000000000000002E-3</v>
      </c>
      <c r="J48" s="9">
        <v>8.9999999999999998E-4</v>
      </c>
      <c r="K48" s="9">
        <v>4.1999999999999997E-3</v>
      </c>
      <c r="L48" s="9">
        <v>2.5999999999999999E-3</v>
      </c>
      <c r="M48" s="9">
        <v>1.9E-3</v>
      </c>
      <c r="N48" s="9">
        <v>3.2000000000000002E-3</v>
      </c>
      <c r="O48" s="9"/>
      <c r="P48" s="9">
        <v>4.4000000000000003E-3</v>
      </c>
      <c r="Q48" s="9">
        <v>3.7000000000000002E-3</v>
      </c>
      <c r="R48" s="9">
        <v>3.2000000000000002E-3</v>
      </c>
      <c r="S48" s="9">
        <v>2.5999999999999999E-3</v>
      </c>
      <c r="T48" s="9"/>
      <c r="U48" s="9">
        <v>3.3999999999999998E-3</v>
      </c>
      <c r="V48" s="9">
        <v>2.5000000000000001E-3</v>
      </c>
      <c r="W48" s="9">
        <v>3.0999999999999999E-3</v>
      </c>
      <c r="X48" s="9">
        <v>3.2000000000000002E-3</v>
      </c>
      <c r="Y48" s="9">
        <v>1.5E-3</v>
      </c>
      <c r="Z48" s="9">
        <v>8.0000000000000004E-4</v>
      </c>
      <c r="AA48" s="9">
        <v>3.8999999999999998E-3</v>
      </c>
      <c r="AB48" s="9">
        <v>3.5999999999999999E-3</v>
      </c>
      <c r="AC48" s="9">
        <v>1.1000000000000001E-3</v>
      </c>
      <c r="AD48" s="9">
        <v>1E-3</v>
      </c>
      <c r="AE48" s="9">
        <v>8.9999999999999998E-4</v>
      </c>
    </row>
    <row r="49" spans="2:31" x14ac:dyDescent="0.3">
      <c r="B49" s="5">
        <v>202513</v>
      </c>
      <c r="C49" s="5"/>
      <c r="D49" s="9">
        <v>2.5000000000000001E-3</v>
      </c>
      <c r="E49" s="9">
        <v>3.0000000000000001E-3</v>
      </c>
      <c r="F49" s="9">
        <v>2.5000000000000001E-3</v>
      </c>
      <c r="G49" s="9">
        <v>3.0000000000000001E-3</v>
      </c>
      <c r="H49" s="9">
        <v>2.8999999999999998E-3</v>
      </c>
      <c r="I49" s="9">
        <v>4.7000000000000002E-3</v>
      </c>
      <c r="J49" s="9">
        <v>2.5999999999999999E-3</v>
      </c>
      <c r="K49" s="9">
        <v>4.4999999999999997E-3</v>
      </c>
      <c r="L49" s="9">
        <v>1.6999999999999999E-3</v>
      </c>
      <c r="M49" s="9">
        <v>2E-3</v>
      </c>
      <c r="N49" s="9">
        <v>3.5999999999999999E-3</v>
      </c>
      <c r="O49" s="9"/>
      <c r="P49" s="9">
        <v>5.3E-3</v>
      </c>
      <c r="Q49" s="9">
        <v>2.5000000000000001E-3</v>
      </c>
      <c r="R49" s="9">
        <v>3.8E-3</v>
      </c>
      <c r="S49" s="9">
        <v>3.0000000000000001E-3</v>
      </c>
      <c r="T49" s="9"/>
      <c r="U49" s="9">
        <v>3.5999999999999999E-3</v>
      </c>
      <c r="V49" s="9">
        <v>2.5000000000000001E-3</v>
      </c>
      <c r="W49" s="9">
        <v>3.5000000000000001E-3</v>
      </c>
      <c r="X49" s="9">
        <v>3.0999999999999999E-3</v>
      </c>
      <c r="Y49" s="9">
        <v>2E-3</v>
      </c>
      <c r="Z49" s="9">
        <v>1.1000000000000001E-3</v>
      </c>
      <c r="AA49" s="9">
        <v>3.7000000000000002E-3</v>
      </c>
      <c r="AB49" s="9">
        <v>1.8E-3</v>
      </c>
      <c r="AC49" s="9">
        <v>1.6999999999999999E-3</v>
      </c>
      <c r="AD49" s="9">
        <v>8.9999999999999998E-4</v>
      </c>
      <c r="AE49" s="9">
        <v>1E-3</v>
      </c>
    </row>
    <row r="50" spans="2:31" x14ac:dyDescent="0.3">
      <c r="B50" s="5">
        <v>202514</v>
      </c>
      <c r="C50" s="5"/>
      <c r="D50" s="9">
        <v>2.5999999999999999E-3</v>
      </c>
      <c r="E50" s="9">
        <v>4.1999999999999997E-3</v>
      </c>
      <c r="F50" s="9">
        <v>2.5000000000000001E-3</v>
      </c>
      <c r="G50" s="9">
        <v>4.8999999999999998E-3</v>
      </c>
      <c r="H50" s="9">
        <v>3.2000000000000002E-3</v>
      </c>
      <c r="I50" s="9">
        <v>2.8E-3</v>
      </c>
      <c r="J50" s="9">
        <v>6.1000000000000004E-3</v>
      </c>
      <c r="K50" s="9">
        <v>7.1000000000000004E-3</v>
      </c>
      <c r="L50" s="9">
        <v>8.9999999999999998E-4</v>
      </c>
      <c r="M50" s="9">
        <v>2.0999999999999999E-3</v>
      </c>
      <c r="N50" s="9">
        <v>3.7000000000000002E-3</v>
      </c>
      <c r="O50" s="9"/>
      <c r="P50" s="9">
        <v>3.8999999999999998E-3</v>
      </c>
      <c r="Q50" s="9">
        <v>2.5000000000000001E-3</v>
      </c>
      <c r="R50" s="9">
        <v>-1</v>
      </c>
      <c r="S50" s="9">
        <v>2.8E-3</v>
      </c>
      <c r="T50" s="9"/>
      <c r="U50" s="9">
        <v>3.5999999999999999E-3</v>
      </c>
      <c r="V50" s="9">
        <v>2.0999999999999999E-3</v>
      </c>
      <c r="W50" s="9">
        <v>3.2000000000000002E-3</v>
      </c>
      <c r="X50" s="9">
        <v>3.2000000000000002E-3</v>
      </c>
      <c r="Y50" s="9">
        <v>2.3999999999999998E-3</v>
      </c>
      <c r="Z50" s="9">
        <v>1.1999999999999999E-3</v>
      </c>
      <c r="AA50" s="9">
        <v>4.7999999999999996E-3</v>
      </c>
      <c r="AB50" s="9">
        <v>1.6999999999999999E-3</v>
      </c>
      <c r="AC50" s="9">
        <v>1.6999999999999999E-3</v>
      </c>
      <c r="AD50" s="9">
        <v>1.1000000000000001E-3</v>
      </c>
      <c r="AE50" s="9">
        <v>1.1000000000000001E-3</v>
      </c>
    </row>
    <row r="51" spans="2:31" x14ac:dyDescent="0.3">
      <c r="B51" s="5">
        <v>202515</v>
      </c>
      <c r="C51" s="5"/>
      <c r="D51" s="9">
        <v>2.5000000000000001E-3</v>
      </c>
      <c r="E51" s="9">
        <v>3.3E-3</v>
      </c>
      <c r="F51" s="9">
        <v>2.3999999999999998E-3</v>
      </c>
      <c r="G51" s="9">
        <v>5.1000000000000004E-3</v>
      </c>
      <c r="H51" s="9">
        <v>2.8E-3</v>
      </c>
      <c r="I51" s="9">
        <v>1.9E-3</v>
      </c>
      <c r="J51" s="9">
        <v>2.3999999999999998E-3</v>
      </c>
      <c r="K51" s="9">
        <v>3.0999999999999999E-3</v>
      </c>
      <c r="L51" s="9">
        <v>1.5E-3</v>
      </c>
      <c r="M51" s="9">
        <v>1.8E-3</v>
      </c>
      <c r="N51" s="9"/>
      <c r="O51" s="9"/>
      <c r="P51" s="9">
        <v>5.3E-3</v>
      </c>
      <c r="Q51" s="9">
        <v>2.5000000000000001E-3</v>
      </c>
      <c r="R51" s="9"/>
      <c r="S51" s="9">
        <v>2.5000000000000001E-3</v>
      </c>
      <c r="T51" s="9"/>
      <c r="U51" s="9">
        <v>3.7000000000000002E-3</v>
      </c>
      <c r="V51" s="9">
        <v>2.5999999999999999E-3</v>
      </c>
      <c r="W51" s="9">
        <v>2.8999999999999998E-3</v>
      </c>
      <c r="X51" s="9">
        <v>3.5999999999999999E-3</v>
      </c>
      <c r="Y51" s="9">
        <v>2.5999999999999999E-3</v>
      </c>
      <c r="Z51" s="9">
        <v>8.0000000000000004E-4</v>
      </c>
      <c r="AA51" s="9">
        <v>3.7000000000000002E-3</v>
      </c>
      <c r="AB51" s="9">
        <v>1.9E-3</v>
      </c>
      <c r="AC51" s="9">
        <v>1.4E-3</v>
      </c>
      <c r="AD51" s="9">
        <v>8.9999999999999998E-4</v>
      </c>
      <c r="AE51" s="9">
        <v>1.4E-3</v>
      </c>
    </row>
    <row r="52" spans="2:31" x14ac:dyDescent="0.3">
      <c r="B52" s="5">
        <v>202516</v>
      </c>
      <c r="C52" s="5"/>
      <c r="D52" s="9">
        <v>2.7000000000000001E-3</v>
      </c>
      <c r="E52" s="9">
        <v>2.8E-3</v>
      </c>
      <c r="F52" s="9">
        <v>2.5999999999999999E-3</v>
      </c>
      <c r="G52" s="9">
        <v>3.8999999999999998E-3</v>
      </c>
      <c r="H52" s="9">
        <v>2.5000000000000001E-3</v>
      </c>
      <c r="I52" s="9">
        <v>2.8999999999999998E-3</v>
      </c>
      <c r="J52" s="9">
        <v>1.9E-3</v>
      </c>
      <c r="K52" s="9">
        <v>2.2000000000000001E-3</v>
      </c>
      <c r="L52" s="9">
        <v>2.5999999999999999E-3</v>
      </c>
      <c r="M52" s="9">
        <v>1.9E-3</v>
      </c>
      <c r="N52" s="9"/>
      <c r="O52" s="9"/>
      <c r="P52" s="9">
        <v>5.0000000000000001E-3</v>
      </c>
      <c r="Q52" s="9">
        <v>2.5000000000000001E-3</v>
      </c>
      <c r="R52" s="9"/>
      <c r="S52" s="9">
        <v>2.8E-3</v>
      </c>
      <c r="T52" s="9"/>
      <c r="U52" s="9">
        <v>4.0000000000000001E-3</v>
      </c>
      <c r="V52" s="9">
        <v>2.3E-3</v>
      </c>
      <c r="W52" s="9">
        <v>3.0999999999999999E-3</v>
      </c>
      <c r="X52" s="9">
        <v>3.5999999999999999E-3</v>
      </c>
      <c r="Y52" s="9">
        <v>3.3999999999999998E-3</v>
      </c>
      <c r="Z52" s="9">
        <v>1.1999999999999999E-3</v>
      </c>
      <c r="AA52" s="9">
        <v>4.3E-3</v>
      </c>
      <c r="AB52" s="9">
        <v>2.2000000000000001E-3</v>
      </c>
      <c r="AC52" s="9">
        <v>1.6000000000000001E-3</v>
      </c>
      <c r="AD52" s="9">
        <v>1.2999999999999999E-3</v>
      </c>
      <c r="AE52" s="9">
        <v>1.2999999999999999E-3</v>
      </c>
    </row>
    <row r="53" spans="2:31" x14ac:dyDescent="0.3">
      <c r="B53" s="5">
        <v>202517</v>
      </c>
      <c r="C53" s="5"/>
      <c r="D53" s="9">
        <v>2.8E-3</v>
      </c>
      <c r="E53" s="9">
        <v>2.5999999999999999E-3</v>
      </c>
      <c r="F53" s="9">
        <v>2.8E-3</v>
      </c>
      <c r="G53" s="9">
        <v>2.8E-3</v>
      </c>
      <c r="H53" s="9">
        <v>2.8999999999999998E-3</v>
      </c>
      <c r="I53" s="9">
        <v>3.8E-3</v>
      </c>
      <c r="J53" s="9">
        <v>1.4E-3</v>
      </c>
      <c r="K53" s="9">
        <v>2.3999999999999998E-3</v>
      </c>
      <c r="L53" s="9">
        <v>1.6999999999999999E-3</v>
      </c>
      <c r="M53" s="9">
        <v>1.2999999999999999E-3</v>
      </c>
      <c r="N53" s="9"/>
      <c r="O53" s="9"/>
      <c r="P53" s="9">
        <v>8.2000000000000007E-3</v>
      </c>
      <c r="Q53" s="9">
        <v>3.0999999999999999E-3</v>
      </c>
      <c r="R53" s="9"/>
      <c r="S53" s="9">
        <v>2.8E-3</v>
      </c>
      <c r="T53" s="9"/>
      <c r="U53" s="9">
        <v>3.8999999999999998E-3</v>
      </c>
      <c r="V53" s="9">
        <v>2.8999999999999998E-3</v>
      </c>
      <c r="W53" s="9">
        <v>3.5999999999999999E-3</v>
      </c>
      <c r="X53" s="9">
        <v>2.7000000000000001E-3</v>
      </c>
      <c r="Y53" s="9">
        <v>3.3E-3</v>
      </c>
      <c r="Z53" s="9">
        <v>8.9999999999999998E-4</v>
      </c>
      <c r="AA53" s="9">
        <v>4.1999999999999997E-3</v>
      </c>
      <c r="AB53" s="9">
        <v>2E-3</v>
      </c>
      <c r="AC53" s="9">
        <v>2.2000000000000001E-3</v>
      </c>
      <c r="AD53" s="9">
        <v>8.9999999999999998E-4</v>
      </c>
      <c r="AE53" s="9">
        <v>1.2999999999999999E-3</v>
      </c>
    </row>
    <row r="54" spans="2:31" x14ac:dyDescent="0.3">
      <c r="B54" s="5">
        <v>202518</v>
      </c>
      <c r="C54" s="5"/>
      <c r="D54" s="9">
        <v>3.7000000000000002E-3</v>
      </c>
      <c r="E54" s="9">
        <v>2.5999999999999999E-3</v>
      </c>
      <c r="F54" s="9">
        <v>3.7000000000000002E-3</v>
      </c>
      <c r="G54" s="9">
        <v>3.0999999999999999E-3</v>
      </c>
      <c r="H54" s="9">
        <v>2.2000000000000001E-3</v>
      </c>
      <c r="I54" s="9">
        <v>8.6999999999999994E-3</v>
      </c>
      <c r="J54" s="9">
        <v>2.5999999999999999E-3</v>
      </c>
      <c r="K54" s="9">
        <v>2.3999999999999998E-3</v>
      </c>
      <c r="L54" s="9">
        <v>1.6999999999999999E-3</v>
      </c>
      <c r="M54" s="9">
        <v>1.4E-3</v>
      </c>
      <c r="N54" s="9"/>
      <c r="O54" s="9"/>
      <c r="P54" s="9">
        <v>4.8999999999999998E-3</v>
      </c>
      <c r="Q54" s="9">
        <v>4.1999999999999997E-3</v>
      </c>
      <c r="R54" s="9"/>
      <c r="S54" s="9">
        <v>3.0000000000000001E-3</v>
      </c>
      <c r="T54" s="9"/>
      <c r="U54" s="9">
        <v>4.1999999999999997E-3</v>
      </c>
      <c r="V54" s="9">
        <v>2.0999999999999999E-3</v>
      </c>
      <c r="W54" s="9">
        <v>3.3E-3</v>
      </c>
      <c r="X54" s="9">
        <v>3.7000000000000002E-3</v>
      </c>
      <c r="Y54" s="9">
        <v>4.1999999999999997E-3</v>
      </c>
      <c r="Z54" s="9">
        <v>9.1999999999999998E-3</v>
      </c>
      <c r="AA54" s="9">
        <v>9.4000000000000004E-3</v>
      </c>
      <c r="AB54" s="9">
        <v>1.9E-3</v>
      </c>
      <c r="AC54" s="9">
        <v>1.8E-3</v>
      </c>
      <c r="AD54" s="9">
        <v>1.6000000000000001E-3</v>
      </c>
      <c r="AE54" s="9">
        <v>1.8E-3</v>
      </c>
    </row>
    <row r="55" spans="2:31" x14ac:dyDescent="0.3">
      <c r="B55" s="5">
        <v>202519</v>
      </c>
      <c r="C55" s="5"/>
      <c r="D55" s="9">
        <v>2.8999999999999998E-3</v>
      </c>
      <c r="E55" s="9">
        <v>2.3E-3</v>
      </c>
      <c r="F55" s="9">
        <v>2.8999999999999998E-3</v>
      </c>
      <c r="G55" s="9">
        <v>2.5000000000000001E-3</v>
      </c>
      <c r="H55" s="9">
        <v>2.0999999999999999E-3</v>
      </c>
      <c r="I55" s="9">
        <v>1E-3</v>
      </c>
      <c r="J55" s="9">
        <v>2.0999999999999999E-3</v>
      </c>
      <c r="K55" s="9">
        <v>4.3E-3</v>
      </c>
      <c r="L55" s="9">
        <v>1.2999999999999999E-3</v>
      </c>
      <c r="M55" s="9">
        <v>1.6999999999999999E-3</v>
      </c>
      <c r="N55" s="9"/>
      <c r="O55" s="9"/>
      <c r="P55" s="9">
        <v>5.1999999999999998E-3</v>
      </c>
      <c r="Q55" s="9">
        <v>3.2000000000000002E-3</v>
      </c>
      <c r="R55" s="9"/>
      <c r="S55" s="9">
        <v>2.5999999999999999E-3</v>
      </c>
      <c r="T55" s="9">
        <v>1.1999999999999999E-3</v>
      </c>
      <c r="U55" s="9">
        <v>3.8999999999999998E-3</v>
      </c>
      <c r="V55" s="9">
        <v>3.3999999999999998E-3</v>
      </c>
      <c r="W55" s="9">
        <v>4.1000000000000003E-3</v>
      </c>
      <c r="X55" s="9">
        <v>3.5000000000000001E-3</v>
      </c>
      <c r="Y55" s="9">
        <v>4.4999999999999997E-3</v>
      </c>
      <c r="Z55" s="9">
        <v>2E-3</v>
      </c>
      <c r="AA55" s="9">
        <v>4.8999999999999998E-3</v>
      </c>
      <c r="AB55" s="9">
        <v>3.0000000000000001E-3</v>
      </c>
      <c r="AC55" s="9">
        <v>1.9E-3</v>
      </c>
      <c r="AD55" s="9">
        <v>1E-3</v>
      </c>
      <c r="AE55" s="9">
        <v>2E-3</v>
      </c>
    </row>
    <row r="56" spans="2:31" x14ac:dyDescent="0.3">
      <c r="B56" s="5">
        <v>202520</v>
      </c>
      <c r="C56" s="5"/>
      <c r="D56" s="9">
        <v>2.7000000000000001E-3</v>
      </c>
      <c r="E56" s="9">
        <v>2.2000000000000001E-3</v>
      </c>
      <c r="F56" s="9">
        <v>2.7000000000000001E-3</v>
      </c>
      <c r="G56" s="9">
        <v>2.8E-3</v>
      </c>
      <c r="H56" s="9">
        <v>1.8E-3</v>
      </c>
      <c r="I56" s="9">
        <v>2.8999999999999998E-3</v>
      </c>
      <c r="J56" s="9">
        <v>2.0999999999999999E-3</v>
      </c>
      <c r="K56" s="9">
        <v>3.3999999999999998E-3</v>
      </c>
      <c r="L56" s="9">
        <v>8.9999999999999998E-4</v>
      </c>
      <c r="M56" s="9">
        <v>3.5000000000000001E-3</v>
      </c>
      <c r="N56" s="9">
        <v>6.9999999999999999E-4</v>
      </c>
      <c r="O56" s="9"/>
      <c r="P56" s="9">
        <v>4.4000000000000003E-3</v>
      </c>
      <c r="Q56" s="9">
        <v>3.5999999999999999E-3</v>
      </c>
      <c r="R56" s="9"/>
      <c r="S56" s="9">
        <v>2.7000000000000001E-3</v>
      </c>
      <c r="T56" s="9">
        <v>1.1999999999999999E-3</v>
      </c>
      <c r="U56" s="9">
        <v>3.8E-3</v>
      </c>
      <c r="V56" s="9">
        <v>2.8E-3</v>
      </c>
      <c r="W56" s="9">
        <v>4.0000000000000001E-3</v>
      </c>
      <c r="X56" s="9">
        <v>2.3E-3</v>
      </c>
      <c r="Y56" s="9">
        <v>4.3E-3</v>
      </c>
      <c r="Z56" s="9">
        <v>1.1999999999999999E-3</v>
      </c>
      <c r="AA56" s="9">
        <v>4.0000000000000001E-3</v>
      </c>
      <c r="AB56" s="9">
        <v>2.5000000000000001E-3</v>
      </c>
      <c r="AC56" s="9">
        <v>1.9E-3</v>
      </c>
      <c r="AD56" s="9">
        <v>1.4E-3</v>
      </c>
      <c r="AE56" s="9">
        <v>1.8E-3</v>
      </c>
    </row>
    <row r="57" spans="2:31" x14ac:dyDescent="0.3">
      <c r="B57" s="5">
        <v>202521</v>
      </c>
      <c r="C57" s="5"/>
      <c r="D57" s="9">
        <v>3.8E-3</v>
      </c>
      <c r="E57" s="9">
        <v>2.0999999999999999E-3</v>
      </c>
      <c r="F57" s="9">
        <v>3.8999999999999998E-3</v>
      </c>
      <c r="G57" s="9">
        <v>2.8999999999999998E-3</v>
      </c>
      <c r="H57" s="9">
        <v>1.9E-3</v>
      </c>
      <c r="I57" s="9">
        <v>2.8999999999999998E-3</v>
      </c>
      <c r="J57" s="9">
        <v>2.0000000000000001E-4</v>
      </c>
      <c r="K57" s="9">
        <v>2.7000000000000001E-3</v>
      </c>
      <c r="L57" s="9">
        <v>1.5E-3</v>
      </c>
      <c r="M57" s="9">
        <v>2E-3</v>
      </c>
      <c r="N57" s="9">
        <v>8.9999999999999998E-4</v>
      </c>
      <c r="O57" s="9"/>
      <c r="P57" s="9">
        <v>5.7000000000000002E-3</v>
      </c>
      <c r="Q57" s="9">
        <v>3.7000000000000002E-3</v>
      </c>
      <c r="R57" s="9"/>
      <c r="S57" s="9">
        <v>3.0999999999999999E-3</v>
      </c>
      <c r="T57" s="9">
        <v>1.5E-3</v>
      </c>
      <c r="U57" s="9">
        <v>4.1000000000000003E-3</v>
      </c>
      <c r="V57" s="9">
        <v>2.3999999999999998E-3</v>
      </c>
      <c r="W57" s="9">
        <v>0</v>
      </c>
      <c r="X57" s="9">
        <v>0</v>
      </c>
      <c r="Y57" s="9">
        <v>1.4200000000000001E-2</v>
      </c>
      <c r="Z57" s="9">
        <v>1.4E-3</v>
      </c>
      <c r="AA57" s="9">
        <v>3.8E-3</v>
      </c>
      <c r="AB57" s="9">
        <v>1.6999999999999999E-3</v>
      </c>
      <c r="AC57" s="9">
        <v>2.0999999999999999E-3</v>
      </c>
      <c r="AD57" s="9">
        <v>1.1000000000000001E-3</v>
      </c>
      <c r="AE57" s="9">
        <v>4.4000000000000003E-3</v>
      </c>
    </row>
    <row r="58" spans="2:31" x14ac:dyDescent="0.3">
      <c r="B58" s="5">
        <v>202522</v>
      </c>
      <c r="C58" s="5"/>
      <c r="D58" s="9">
        <v>2.7000000000000001E-3</v>
      </c>
      <c r="E58" s="9">
        <v>2.2000000000000001E-3</v>
      </c>
      <c r="F58" s="9">
        <v>2.8E-3</v>
      </c>
      <c r="G58" s="9">
        <v>2.3999999999999998E-3</v>
      </c>
      <c r="H58" s="9">
        <v>2E-3</v>
      </c>
      <c r="I58" s="9">
        <v>3.8999999999999998E-3</v>
      </c>
      <c r="J58" s="9">
        <v>6.9999999999999999E-4</v>
      </c>
      <c r="K58" s="9">
        <v>3.7000000000000002E-3</v>
      </c>
      <c r="L58" s="9">
        <v>2.2000000000000001E-3</v>
      </c>
      <c r="M58" s="9">
        <v>2.5000000000000001E-3</v>
      </c>
      <c r="N58" s="9">
        <v>2.2000000000000001E-3</v>
      </c>
      <c r="O58" s="9"/>
      <c r="P58" s="9">
        <v>8.3999999999999995E-3</v>
      </c>
      <c r="Q58" s="9">
        <v>3.3999999999999998E-3</v>
      </c>
      <c r="R58" s="9"/>
      <c r="S58" s="9">
        <v>3.0000000000000001E-3</v>
      </c>
      <c r="T58" s="9">
        <v>1.6999999999999999E-3</v>
      </c>
      <c r="U58" s="9">
        <v>2.9999999999999997E-4</v>
      </c>
      <c r="V58" s="9">
        <v>3.2000000000000002E-3</v>
      </c>
      <c r="W58" s="9"/>
      <c r="X58" s="9"/>
      <c r="Y58" s="9">
        <v>5.7999999999999996E-3</v>
      </c>
      <c r="Z58" s="9">
        <v>1.2999999999999999E-3</v>
      </c>
      <c r="AA58" s="9">
        <v>4.1000000000000003E-3</v>
      </c>
      <c r="AB58" s="9">
        <v>2.5000000000000001E-3</v>
      </c>
      <c r="AC58" s="9">
        <v>1.9E-3</v>
      </c>
      <c r="AD58" s="9">
        <v>1.1999999999999999E-3</v>
      </c>
      <c r="AE58" s="9">
        <v>2.3E-3</v>
      </c>
    </row>
    <row r="59" spans="2:31" x14ac:dyDescent="0.3">
      <c r="B59" s="5">
        <v>202523</v>
      </c>
      <c r="C59" s="5"/>
      <c r="D59" s="9">
        <v>3.0000000000000001E-3</v>
      </c>
      <c r="E59" s="9">
        <v>1.9E-3</v>
      </c>
      <c r="F59" s="9">
        <v>3.0999999999999999E-3</v>
      </c>
      <c r="G59" s="9">
        <v>1.6999999999999999E-3</v>
      </c>
      <c r="H59" s="9">
        <v>1.1000000000000001E-3</v>
      </c>
      <c r="I59" s="9">
        <v>1E-3</v>
      </c>
      <c r="J59" s="9">
        <v>2.2000000000000001E-3</v>
      </c>
      <c r="K59" s="9">
        <v>1.6999999999999999E-3</v>
      </c>
      <c r="L59" s="9">
        <v>4.7999999999999996E-3</v>
      </c>
      <c r="M59" s="9">
        <v>2.5000000000000001E-3</v>
      </c>
      <c r="N59" s="9">
        <v>5.1999999999999998E-3</v>
      </c>
      <c r="O59" s="9"/>
      <c r="P59" s="9">
        <v>9.4999999999999998E-3</v>
      </c>
      <c r="Q59" s="9">
        <v>3.5000000000000001E-3</v>
      </c>
      <c r="R59" s="9"/>
      <c r="S59" s="9">
        <v>3.0000000000000001E-3</v>
      </c>
      <c r="T59" s="9">
        <v>1.9E-3</v>
      </c>
      <c r="U59" s="9"/>
      <c r="V59" s="9">
        <v>2.5999999999999999E-3</v>
      </c>
      <c r="W59" s="9"/>
      <c r="X59" s="9"/>
      <c r="Y59" s="9">
        <v>3.8E-3</v>
      </c>
      <c r="Z59" s="9">
        <v>1.6000000000000001E-3</v>
      </c>
      <c r="AA59" s="9">
        <v>6.1999999999999998E-3</v>
      </c>
      <c r="AB59" s="9">
        <v>3.5000000000000001E-3</v>
      </c>
      <c r="AC59" s="9">
        <v>1.9E-3</v>
      </c>
      <c r="AD59" s="9">
        <v>1.4E-3</v>
      </c>
      <c r="AE59" s="9">
        <v>2.3999999999999998E-3</v>
      </c>
    </row>
    <row r="60" spans="2:31" x14ac:dyDescent="0.3">
      <c r="B60" s="5">
        <v>202524</v>
      </c>
      <c r="C60" s="5"/>
      <c r="D60" s="9">
        <v>3.3E-3</v>
      </c>
      <c r="E60" s="9">
        <v>2.5999999999999999E-3</v>
      </c>
      <c r="F60" s="9">
        <v>3.3E-3</v>
      </c>
      <c r="G60" s="9">
        <v>2.3999999999999998E-3</v>
      </c>
      <c r="H60" s="9">
        <v>2.0999999999999999E-3</v>
      </c>
      <c r="I60" s="9">
        <v>5.8999999999999999E-3</v>
      </c>
      <c r="J60" s="9">
        <v>3.0999999999999999E-3</v>
      </c>
      <c r="K60" s="9">
        <v>2.3999999999999998E-3</v>
      </c>
      <c r="L60" s="9">
        <v>3.3E-3</v>
      </c>
      <c r="M60" s="9">
        <v>5.1999999999999998E-3</v>
      </c>
      <c r="N60" s="9">
        <v>5.1000000000000004E-3</v>
      </c>
      <c r="O60" s="9"/>
      <c r="P60" s="9">
        <v>8.9999999999999993E-3</v>
      </c>
      <c r="Q60" s="9">
        <v>4.1999999999999997E-3</v>
      </c>
      <c r="R60" s="9"/>
      <c r="S60" s="9">
        <v>2.8999999999999998E-3</v>
      </c>
      <c r="T60" s="9">
        <v>1.9E-3</v>
      </c>
      <c r="U60" s="9"/>
      <c r="V60" s="9">
        <v>2.5000000000000001E-3</v>
      </c>
      <c r="W60" s="9"/>
      <c r="X60" s="9"/>
      <c r="Y60" s="9">
        <v>4.1999999999999997E-3</v>
      </c>
      <c r="Z60" s="9">
        <v>1.6000000000000001E-3</v>
      </c>
      <c r="AA60" s="9">
        <v>6.3E-3</v>
      </c>
      <c r="AB60" s="9">
        <v>3.0000000000000001E-3</v>
      </c>
      <c r="AC60" s="9">
        <v>2.3E-3</v>
      </c>
      <c r="AD60" s="9">
        <v>1.8E-3</v>
      </c>
      <c r="AE60" s="9">
        <v>2.0999999999999999E-3</v>
      </c>
    </row>
    <row r="61" spans="2:31" x14ac:dyDescent="0.3">
      <c r="B61" s="5">
        <v>202525</v>
      </c>
      <c r="C61" s="5"/>
      <c r="D61" s="9">
        <v>3.2000000000000002E-3</v>
      </c>
      <c r="E61" s="9">
        <v>2.8999999999999998E-3</v>
      </c>
      <c r="F61" s="9">
        <v>3.2000000000000002E-3</v>
      </c>
      <c r="G61" s="9">
        <v>2.0999999999999999E-3</v>
      </c>
      <c r="H61" s="9">
        <v>2.0999999999999999E-3</v>
      </c>
      <c r="I61" s="9">
        <v>6.8999999999999999E-3</v>
      </c>
      <c r="J61" s="9">
        <v>4.3E-3</v>
      </c>
      <c r="K61" s="9">
        <v>3.8999999999999998E-3</v>
      </c>
      <c r="L61" s="9">
        <v>4.4000000000000003E-3</v>
      </c>
      <c r="M61" s="9">
        <v>6.4000000000000003E-3</v>
      </c>
      <c r="N61" s="9">
        <v>4.4999999999999997E-3</v>
      </c>
      <c r="O61" s="9"/>
      <c r="P61" s="9">
        <v>9.7000000000000003E-3</v>
      </c>
      <c r="Q61" s="9">
        <v>3.3999999999999998E-3</v>
      </c>
      <c r="R61" s="9"/>
      <c r="S61" s="9">
        <v>3.0000000000000001E-3</v>
      </c>
      <c r="T61" s="9">
        <v>1.9E-3</v>
      </c>
      <c r="U61" s="9"/>
      <c r="V61" s="9">
        <v>3.3999999999999998E-3</v>
      </c>
      <c r="W61" s="9"/>
      <c r="X61" s="9"/>
      <c r="Y61" s="9">
        <v>5.0000000000000001E-3</v>
      </c>
      <c r="Z61" s="9">
        <v>1.1999999999999999E-3</v>
      </c>
      <c r="AA61" s="9">
        <v>3.5999999999999999E-3</v>
      </c>
      <c r="AB61" s="9">
        <v>3.0999999999999999E-3</v>
      </c>
      <c r="AC61" s="9">
        <v>2.8E-3</v>
      </c>
      <c r="AD61" s="9">
        <v>1.6999999999999999E-3</v>
      </c>
      <c r="AE61" s="9">
        <v>1.8E-3</v>
      </c>
    </row>
    <row r="62" spans="2:31" x14ac:dyDescent="0.3">
      <c r="B62" s="5">
        <v>202526</v>
      </c>
      <c r="C62" s="5"/>
      <c r="D62" s="9">
        <v>3.5000000000000001E-3</v>
      </c>
      <c r="E62" s="9">
        <v>2.3E-3</v>
      </c>
      <c r="F62" s="9">
        <v>3.5999999999999999E-3</v>
      </c>
      <c r="G62" s="9">
        <v>2E-3</v>
      </c>
      <c r="H62" s="9">
        <v>1.6000000000000001E-3</v>
      </c>
      <c r="I62" s="9">
        <v>7.0000000000000001E-3</v>
      </c>
      <c r="J62" s="9">
        <v>3.3999999999999998E-3</v>
      </c>
      <c r="K62" s="9">
        <v>2.5000000000000001E-3</v>
      </c>
      <c r="L62" s="9">
        <v>3.3E-3</v>
      </c>
      <c r="M62" s="9">
        <v>6.0000000000000001E-3</v>
      </c>
      <c r="N62" s="9">
        <v>2.7000000000000001E-3</v>
      </c>
      <c r="O62" s="9"/>
      <c r="P62" s="9">
        <v>1.9300000000000001E-2</v>
      </c>
      <c r="Q62" s="9">
        <v>3.2000000000000002E-3</v>
      </c>
      <c r="R62" s="9"/>
      <c r="S62" s="9">
        <v>3.3E-3</v>
      </c>
      <c r="T62" s="9">
        <v>1.9E-3</v>
      </c>
      <c r="U62" s="9"/>
      <c r="V62" s="9">
        <v>3.5999999999999999E-3</v>
      </c>
      <c r="W62" s="9"/>
      <c r="X62" s="9"/>
      <c r="Y62" s="9">
        <v>5.4999999999999997E-3</v>
      </c>
      <c r="Z62" s="9">
        <v>1.1999999999999999E-3</v>
      </c>
      <c r="AA62" s="9">
        <v>5.4999999999999997E-3</v>
      </c>
      <c r="AB62" s="9">
        <v>3.3E-3</v>
      </c>
      <c r="AC62" s="9">
        <v>3.0999999999999999E-3</v>
      </c>
      <c r="AD62" s="9">
        <v>1.6999999999999999E-3</v>
      </c>
      <c r="AE62" s="9">
        <v>2.2000000000000001E-3</v>
      </c>
    </row>
    <row r="63" spans="2:31" x14ac:dyDescent="0.3">
      <c r="B63" s="5">
        <v>202527</v>
      </c>
      <c r="C63" s="5"/>
      <c r="D63" s="9">
        <v>3.5000000000000001E-3</v>
      </c>
      <c r="E63" s="9">
        <v>2.7000000000000001E-3</v>
      </c>
      <c r="F63" s="9">
        <v>3.5999999999999999E-3</v>
      </c>
      <c r="G63" s="9">
        <v>1.5E-3</v>
      </c>
      <c r="H63" s="9">
        <v>2.2000000000000001E-3</v>
      </c>
      <c r="I63" s="9">
        <v>5.0000000000000001E-3</v>
      </c>
      <c r="J63" s="9">
        <v>4.4000000000000003E-3</v>
      </c>
      <c r="K63" s="9">
        <v>4.4999999999999997E-3</v>
      </c>
      <c r="L63" s="9">
        <v>3.5999999999999999E-3</v>
      </c>
      <c r="M63" s="9">
        <v>4.4000000000000003E-3</v>
      </c>
      <c r="N63" s="9">
        <v>1.4E-3</v>
      </c>
      <c r="O63" s="9"/>
      <c r="P63" s="9">
        <v>2.12E-2</v>
      </c>
      <c r="Q63" s="9">
        <v>4.1999999999999997E-3</v>
      </c>
      <c r="R63" s="9"/>
      <c r="S63" s="9">
        <v>3.2000000000000002E-3</v>
      </c>
      <c r="T63" s="9">
        <v>1.9E-3</v>
      </c>
      <c r="U63" s="9"/>
      <c r="V63" s="9">
        <v>3.3999999999999998E-3</v>
      </c>
      <c r="W63" s="9"/>
      <c r="X63" s="9"/>
      <c r="Y63" s="9">
        <v>5.7999999999999996E-3</v>
      </c>
      <c r="Z63" s="9">
        <v>1.1999999999999999E-3</v>
      </c>
      <c r="AA63" s="9">
        <v>6.3E-3</v>
      </c>
      <c r="AB63" s="9">
        <v>3.8999999999999998E-3</v>
      </c>
      <c r="AC63" s="9">
        <v>2.7000000000000001E-3</v>
      </c>
      <c r="AD63" s="9">
        <v>1.1999999999999999E-3</v>
      </c>
      <c r="AE63" s="9">
        <v>1.9E-3</v>
      </c>
    </row>
    <row r="64" spans="2:31" x14ac:dyDescent="0.3">
      <c r="B64" s="5">
        <v>202528</v>
      </c>
      <c r="C64" s="5"/>
      <c r="D64" s="9">
        <v>3.8E-3</v>
      </c>
      <c r="E64" s="9">
        <v>2.0999999999999999E-3</v>
      </c>
      <c r="F64" s="9">
        <v>3.8999999999999998E-3</v>
      </c>
      <c r="G64" s="9">
        <v>1.8E-3</v>
      </c>
      <c r="H64" s="9">
        <v>1.8E-3</v>
      </c>
      <c r="I64" s="9">
        <v>3.0000000000000001E-3</v>
      </c>
      <c r="J64" s="9">
        <v>1.9E-3</v>
      </c>
      <c r="K64" s="9">
        <v>2.5000000000000001E-3</v>
      </c>
      <c r="L64" s="9">
        <v>3.0999999999999999E-3</v>
      </c>
      <c r="M64" s="9">
        <v>5.7999999999999996E-3</v>
      </c>
      <c r="N64" s="9">
        <v>1.5E-3</v>
      </c>
      <c r="O64" s="9"/>
      <c r="P64" s="9">
        <v>1.24E-2</v>
      </c>
      <c r="Q64" s="9">
        <v>4.7000000000000002E-3</v>
      </c>
      <c r="R64" s="9"/>
      <c r="S64" s="9">
        <v>8.6999999999999994E-3</v>
      </c>
      <c r="T64" s="9">
        <v>2.0999999999999999E-3</v>
      </c>
      <c r="U64" s="9">
        <v>1.5E-3</v>
      </c>
      <c r="V64" s="9">
        <v>4.5999999999999999E-3</v>
      </c>
      <c r="W64" s="9">
        <v>8.0000000000000004E-4</v>
      </c>
      <c r="X64" s="9">
        <v>2.2000000000000001E-3</v>
      </c>
      <c r="Y64" s="9">
        <v>6.4000000000000003E-3</v>
      </c>
      <c r="Z64" s="9">
        <v>1.8E-3</v>
      </c>
      <c r="AA64" s="9">
        <v>6.4000000000000003E-3</v>
      </c>
      <c r="AB64" s="9">
        <v>3.7000000000000002E-3</v>
      </c>
      <c r="AC64" s="9">
        <v>3.0999999999999999E-3</v>
      </c>
      <c r="AD64" s="9">
        <v>2.0999999999999999E-3</v>
      </c>
      <c r="AE64" s="9">
        <v>2.3999999999999998E-3</v>
      </c>
    </row>
    <row r="65" spans="2:31" x14ac:dyDescent="0.3">
      <c r="B65" s="5">
        <v>202529</v>
      </c>
      <c r="C65" s="5"/>
      <c r="D65" s="9">
        <v>3.3E-3</v>
      </c>
      <c r="E65" s="9">
        <v>2.8E-3</v>
      </c>
      <c r="F65" s="9">
        <v>3.3E-3</v>
      </c>
      <c r="G65" s="9">
        <v>2.8999999999999998E-3</v>
      </c>
      <c r="H65" s="9">
        <v>1.6000000000000001E-3</v>
      </c>
      <c r="I65" s="9">
        <v>6.1000000000000004E-3</v>
      </c>
      <c r="J65" s="9">
        <v>3.3999999999999998E-3</v>
      </c>
      <c r="K65" s="9">
        <v>3.2000000000000002E-3</v>
      </c>
      <c r="L65" s="9">
        <v>4.3E-3</v>
      </c>
      <c r="M65" s="9">
        <v>3.8E-3</v>
      </c>
      <c r="N65" s="9">
        <v>1.4E-3</v>
      </c>
      <c r="O65" s="9"/>
      <c r="P65" s="9">
        <v>1.5800000000000002E-2</v>
      </c>
      <c r="Q65" s="9">
        <v>3.3999999999999998E-3</v>
      </c>
      <c r="R65" s="9"/>
      <c r="S65" s="9">
        <v>3.5000000000000001E-3</v>
      </c>
      <c r="T65" s="9">
        <v>2.0999999999999999E-3</v>
      </c>
      <c r="U65" s="9">
        <v>1.6000000000000001E-3</v>
      </c>
      <c r="V65" s="9">
        <v>4.1999999999999997E-3</v>
      </c>
      <c r="W65" s="9">
        <v>1.1000000000000001E-3</v>
      </c>
      <c r="X65" s="9">
        <v>1.6999999999999999E-3</v>
      </c>
      <c r="Y65" s="9">
        <v>5.8999999999999999E-3</v>
      </c>
      <c r="Z65" s="9">
        <v>1.6999999999999999E-3</v>
      </c>
      <c r="AA65" s="9">
        <v>7.3000000000000001E-3</v>
      </c>
      <c r="AB65" s="9">
        <v>3.3999999999999998E-3</v>
      </c>
      <c r="AC65" s="9">
        <v>3.3E-3</v>
      </c>
      <c r="AD65" s="9">
        <v>1.6000000000000001E-3</v>
      </c>
      <c r="AE65" s="9">
        <v>2E-3</v>
      </c>
    </row>
    <row r="66" spans="2:31" x14ac:dyDescent="0.3">
      <c r="B66" s="5">
        <v>202530</v>
      </c>
      <c r="C66" s="5"/>
      <c r="D66" s="9">
        <v>4.0000000000000001E-3</v>
      </c>
      <c r="E66" s="9">
        <v>2.5000000000000001E-3</v>
      </c>
      <c r="F66" s="9">
        <v>4.1000000000000003E-3</v>
      </c>
      <c r="G66" s="9">
        <v>2.0999999999999999E-3</v>
      </c>
      <c r="H66" s="9">
        <v>2E-3</v>
      </c>
      <c r="I66" s="9">
        <v>4.1000000000000003E-3</v>
      </c>
      <c r="J66" s="9">
        <v>2.7000000000000001E-3</v>
      </c>
      <c r="K66" s="9">
        <v>3.0000000000000001E-3</v>
      </c>
      <c r="L66" s="9">
        <v>3.8E-3</v>
      </c>
      <c r="M66" s="9">
        <v>5.7000000000000002E-3</v>
      </c>
      <c r="N66" s="9">
        <v>1.5E-3</v>
      </c>
      <c r="O66" s="9"/>
      <c r="P66" s="9">
        <v>1.2500000000000001E-2</v>
      </c>
      <c r="Q66" s="9">
        <v>3.7000000000000002E-3</v>
      </c>
      <c r="R66" s="9"/>
      <c r="S66" s="9">
        <v>1.0800000000000001E-2</v>
      </c>
      <c r="T66" s="9">
        <v>2E-3</v>
      </c>
      <c r="U66" s="9">
        <v>1.6999999999999999E-3</v>
      </c>
      <c r="V66" s="9">
        <v>4.7000000000000002E-3</v>
      </c>
      <c r="W66" s="9">
        <v>1.1000000000000001E-3</v>
      </c>
      <c r="X66" s="9">
        <v>1.5E-3</v>
      </c>
      <c r="Y66" s="9">
        <v>7.7999999999999996E-3</v>
      </c>
      <c r="Z66" s="9">
        <v>2.3999999999999998E-3</v>
      </c>
      <c r="AA66" s="9">
        <v>5.7000000000000002E-3</v>
      </c>
      <c r="AB66" s="9">
        <v>3.0999999999999999E-3</v>
      </c>
      <c r="AC66" s="9">
        <v>3.3E-3</v>
      </c>
      <c r="AD66" s="9">
        <v>1.6000000000000001E-3</v>
      </c>
      <c r="AE66" s="9">
        <v>2.3999999999999998E-3</v>
      </c>
    </row>
    <row r="67" spans="2:31" x14ac:dyDescent="0.3">
      <c r="B67" s="5">
        <v>202531</v>
      </c>
      <c r="C67" s="5"/>
      <c r="D67" s="9">
        <v>4.7999999999999996E-3</v>
      </c>
      <c r="E67" s="9">
        <v>3.5000000000000001E-3</v>
      </c>
      <c r="F67" s="9">
        <v>4.7999999999999996E-3</v>
      </c>
      <c r="G67" s="9">
        <v>3.3E-3</v>
      </c>
      <c r="H67" s="9">
        <v>3.5999999999999999E-3</v>
      </c>
      <c r="I67" s="9">
        <v>7.1000000000000004E-3</v>
      </c>
      <c r="J67" s="9">
        <v>4.8999999999999998E-3</v>
      </c>
      <c r="K67" s="9">
        <v>1.5E-3</v>
      </c>
      <c r="L67" s="9">
        <v>3.3999999999999998E-3</v>
      </c>
      <c r="M67" s="9">
        <v>7.4999999999999997E-3</v>
      </c>
      <c r="N67" s="9">
        <v>5.7999999999999996E-3</v>
      </c>
      <c r="O67" s="9"/>
      <c r="P67" s="9">
        <v>1.3299999999999999E-2</v>
      </c>
      <c r="Q67" s="9">
        <v>4.1999999999999997E-3</v>
      </c>
      <c r="R67" s="9"/>
      <c r="S67" s="9">
        <v>1.0800000000000001E-2</v>
      </c>
      <c r="T67" s="9">
        <v>2.3999999999999998E-3</v>
      </c>
      <c r="U67" s="9">
        <v>1.8E-3</v>
      </c>
      <c r="V67" s="9">
        <v>7.7999999999999996E-3</v>
      </c>
      <c r="W67" s="9">
        <v>1.6000000000000001E-3</v>
      </c>
      <c r="X67" s="9">
        <v>2.3E-3</v>
      </c>
      <c r="Y67" s="9">
        <v>7.9000000000000008E-3</v>
      </c>
      <c r="Z67" s="9">
        <v>1.9E-3</v>
      </c>
      <c r="AA67" s="9">
        <v>6.4000000000000003E-3</v>
      </c>
      <c r="AB67" s="9">
        <v>3.5999999999999999E-3</v>
      </c>
      <c r="AC67" s="9">
        <v>4.4000000000000003E-3</v>
      </c>
      <c r="AD67" s="9">
        <v>2.5000000000000001E-3</v>
      </c>
      <c r="AE67" s="9">
        <v>2E-3</v>
      </c>
    </row>
    <row r="68" spans="2:31" x14ac:dyDescent="0.3">
      <c r="B68" s="5">
        <v>202532</v>
      </c>
      <c r="C68" s="5"/>
      <c r="D68" s="9">
        <v>4.4000000000000003E-3</v>
      </c>
      <c r="E68" s="9">
        <v>3.8E-3</v>
      </c>
      <c r="F68" s="9">
        <v>4.4999999999999997E-3</v>
      </c>
      <c r="G68" s="9">
        <v>4.7999999999999996E-3</v>
      </c>
      <c r="H68" s="9">
        <v>2.5999999999999999E-3</v>
      </c>
      <c r="I68" s="9">
        <v>8.2000000000000007E-3</v>
      </c>
      <c r="J68" s="9">
        <v>4.7000000000000002E-3</v>
      </c>
      <c r="K68" s="9">
        <v>3.8E-3</v>
      </c>
      <c r="L68" s="9">
        <v>3.2000000000000002E-3</v>
      </c>
      <c r="M68" s="9">
        <v>6.4000000000000003E-3</v>
      </c>
      <c r="N68" s="9">
        <v>4.4000000000000003E-3</v>
      </c>
      <c r="O68" s="9"/>
      <c r="P68" s="9">
        <v>1.2699999999999999E-2</v>
      </c>
      <c r="Q68" s="9">
        <v>4.8999999999999998E-3</v>
      </c>
      <c r="R68" s="9"/>
      <c r="S68" s="9">
        <v>5.0000000000000001E-3</v>
      </c>
      <c r="T68" s="9">
        <v>1.6000000000000001E-3</v>
      </c>
      <c r="U68" s="9">
        <v>1.6999999999999999E-3</v>
      </c>
      <c r="V68" s="9">
        <v>5.4000000000000003E-3</v>
      </c>
      <c r="W68" s="9">
        <v>3.2000000000000002E-3</v>
      </c>
      <c r="X68" s="9">
        <v>2.3E-3</v>
      </c>
      <c r="Y68" s="9">
        <v>9.2999999999999992E-3</v>
      </c>
      <c r="Z68" s="9">
        <v>2E-3</v>
      </c>
      <c r="AA68" s="9">
        <v>5.4999999999999997E-3</v>
      </c>
      <c r="AB68" s="9">
        <v>4.1999999999999997E-3</v>
      </c>
      <c r="AC68" s="9">
        <v>7.4000000000000003E-3</v>
      </c>
      <c r="AD68" s="9">
        <v>2.0999999999999999E-3</v>
      </c>
      <c r="AE68" s="9">
        <v>2.7000000000000001E-3</v>
      </c>
    </row>
    <row r="69" spans="2:31" x14ac:dyDescent="0.3">
      <c r="B69" s="5">
        <v>202533</v>
      </c>
      <c r="C69" s="5"/>
      <c r="D69" s="9">
        <v>5.0000000000000001E-3</v>
      </c>
      <c r="E69" s="9">
        <v>3.5999999999999999E-3</v>
      </c>
      <c r="F69" s="9">
        <v>5.1000000000000004E-3</v>
      </c>
      <c r="G69" s="9">
        <v>4.7999999999999996E-3</v>
      </c>
      <c r="H69" s="9">
        <v>3.0000000000000001E-3</v>
      </c>
      <c r="I69" s="9">
        <v>6.1999999999999998E-3</v>
      </c>
      <c r="J69" s="9">
        <v>4.1999999999999997E-3</v>
      </c>
      <c r="K69" s="9">
        <v>2E-3</v>
      </c>
      <c r="L69" s="9">
        <v>2.5000000000000001E-3</v>
      </c>
      <c r="M69" s="9">
        <v>5.3E-3</v>
      </c>
      <c r="N69" s="9">
        <v>4.7000000000000002E-3</v>
      </c>
      <c r="O69" s="9"/>
      <c r="P69" s="9">
        <v>1.66E-2</v>
      </c>
      <c r="Q69" s="9">
        <v>8.5000000000000006E-3</v>
      </c>
      <c r="R69" s="9"/>
      <c r="S69" s="9">
        <v>2.3999999999999998E-3</v>
      </c>
      <c r="T69" s="9">
        <v>1.5E-3</v>
      </c>
      <c r="U69" s="9">
        <v>1.8E-3</v>
      </c>
      <c r="V69" s="9">
        <v>6.6E-3</v>
      </c>
      <c r="W69" s="9">
        <v>2.5999999999999999E-3</v>
      </c>
      <c r="X69" s="9">
        <v>1.6999999999999999E-3</v>
      </c>
      <c r="Y69" s="9">
        <v>1.04E-2</v>
      </c>
      <c r="Z69" s="9">
        <v>3.2000000000000002E-3</v>
      </c>
      <c r="AA69" s="9">
        <v>0</v>
      </c>
      <c r="AB69" s="9">
        <v>2.5000000000000001E-3</v>
      </c>
      <c r="AC69" s="9">
        <v>8.8000000000000005E-3</v>
      </c>
      <c r="AD69" s="9">
        <v>3.3999999999999998E-3</v>
      </c>
      <c r="AE69" s="9">
        <v>3.0000000000000001E-3</v>
      </c>
    </row>
    <row r="70" spans="2:31" x14ac:dyDescent="0.3">
      <c r="B70" s="5">
        <v>202534</v>
      </c>
      <c r="C70" s="5"/>
      <c r="D70" s="9">
        <v>4.4999999999999997E-3</v>
      </c>
      <c r="E70" s="9">
        <v>3.8999999999999998E-3</v>
      </c>
      <c r="F70" s="9">
        <v>4.5999999999999999E-3</v>
      </c>
      <c r="G70" s="9">
        <v>5.0000000000000001E-3</v>
      </c>
      <c r="H70" s="9">
        <v>3.3E-3</v>
      </c>
      <c r="I70" s="9">
        <v>5.5999999999999999E-3</v>
      </c>
      <c r="J70" s="9">
        <v>4.0000000000000001E-3</v>
      </c>
      <c r="K70" s="9">
        <v>1E-3</v>
      </c>
      <c r="L70" s="9">
        <v>3.3999999999999998E-3</v>
      </c>
      <c r="M70" s="9">
        <v>5.0000000000000001E-3</v>
      </c>
      <c r="N70" s="9">
        <v>3.8999999999999998E-3</v>
      </c>
      <c r="O70" s="9"/>
      <c r="P70" s="9">
        <v>1.9199999999999998E-2</v>
      </c>
      <c r="Q70" s="9">
        <v>6.1999999999999998E-3</v>
      </c>
      <c r="R70" s="9"/>
      <c r="S70" s="9">
        <v>2.3999999999999998E-3</v>
      </c>
      <c r="T70" s="9">
        <v>1.5E-3</v>
      </c>
      <c r="U70" s="9">
        <v>2.7000000000000001E-3</v>
      </c>
      <c r="V70" s="9">
        <v>4.4000000000000003E-3</v>
      </c>
      <c r="W70" s="9">
        <v>5.1000000000000004E-3</v>
      </c>
      <c r="X70" s="9">
        <v>2.5000000000000001E-3</v>
      </c>
      <c r="Y70" s="9">
        <v>1.09E-2</v>
      </c>
      <c r="Z70" s="9">
        <v>3.3E-3</v>
      </c>
      <c r="AA70" s="9"/>
      <c r="AB70" s="9"/>
      <c r="AC70" s="9">
        <v>6.4999999999999997E-3</v>
      </c>
      <c r="AD70" s="9">
        <v>2.8E-3</v>
      </c>
      <c r="AE70" s="9">
        <v>2.8E-3</v>
      </c>
    </row>
    <row r="71" spans="2:31" x14ac:dyDescent="0.3">
      <c r="B71" s="5">
        <v>202535</v>
      </c>
      <c r="C71" s="5"/>
      <c r="D71" s="9">
        <v>4.4999999999999997E-3</v>
      </c>
      <c r="E71" s="9">
        <v>4.1000000000000003E-3</v>
      </c>
      <c r="F71" s="9">
        <v>4.5999999999999999E-3</v>
      </c>
      <c r="G71" s="9">
        <v>3.3E-3</v>
      </c>
      <c r="H71" s="9">
        <v>4.0000000000000001E-3</v>
      </c>
      <c r="I71" s="9">
        <v>6.6E-3</v>
      </c>
      <c r="J71" s="9">
        <v>4.3E-3</v>
      </c>
      <c r="K71" s="9"/>
      <c r="L71" s="9">
        <v>3.3999999999999998E-3</v>
      </c>
      <c r="M71" s="9">
        <v>5.1999999999999998E-3</v>
      </c>
      <c r="N71" s="9">
        <v>3.7000000000000002E-3</v>
      </c>
      <c r="O71" s="9"/>
      <c r="P71" s="9">
        <v>1.89E-2</v>
      </c>
      <c r="Q71" s="9">
        <v>7.1999999999999998E-3</v>
      </c>
      <c r="R71" s="9"/>
      <c r="S71" s="9">
        <v>1.8E-3</v>
      </c>
      <c r="T71" s="9">
        <v>1.9E-3</v>
      </c>
      <c r="U71" s="9">
        <v>3.0999999999999999E-3</v>
      </c>
      <c r="V71" s="9">
        <v>4.4000000000000003E-3</v>
      </c>
      <c r="W71" s="9">
        <v>2.8999999999999998E-3</v>
      </c>
      <c r="X71" s="9">
        <v>2.5000000000000001E-3</v>
      </c>
      <c r="Y71" s="9">
        <v>1.23E-2</v>
      </c>
      <c r="Z71" s="9">
        <v>3.5999999999999999E-3</v>
      </c>
      <c r="AA71" s="9"/>
      <c r="AB71" s="9"/>
      <c r="AC71" s="9">
        <v>4.5999999999999999E-3</v>
      </c>
      <c r="AD71" s="9">
        <v>1.6999999999999999E-3</v>
      </c>
      <c r="AE71" s="9">
        <v>3.3E-3</v>
      </c>
    </row>
    <row r="72" spans="2:31" x14ac:dyDescent="0.3">
      <c r="B72" s="5">
        <v>202536</v>
      </c>
      <c r="C72" s="5"/>
      <c r="D72" s="9">
        <v>4.1999999999999997E-3</v>
      </c>
      <c r="E72" s="9">
        <v>3.8E-3</v>
      </c>
      <c r="F72" s="9">
        <v>4.1999999999999997E-3</v>
      </c>
      <c r="G72" s="9">
        <v>3.2000000000000002E-3</v>
      </c>
      <c r="H72" s="9">
        <v>3.2000000000000002E-3</v>
      </c>
      <c r="I72" s="9">
        <v>6.4000000000000003E-3</v>
      </c>
      <c r="J72" s="9">
        <v>3.0000000000000001E-3</v>
      </c>
      <c r="K72" s="9"/>
      <c r="L72" s="9">
        <v>4.5999999999999999E-3</v>
      </c>
      <c r="M72" s="9">
        <v>2.2000000000000001E-3</v>
      </c>
      <c r="N72" s="9">
        <v>3.3999999999999998E-3</v>
      </c>
      <c r="O72" s="9">
        <v>5.9999999999999995E-4</v>
      </c>
      <c r="P72" s="9">
        <v>1.3899999999999999E-2</v>
      </c>
      <c r="Q72" s="9">
        <v>5.4999999999999997E-3</v>
      </c>
      <c r="R72" s="9"/>
      <c r="S72" s="9">
        <v>1.5E-3</v>
      </c>
      <c r="T72" s="9">
        <v>1.6000000000000001E-3</v>
      </c>
      <c r="U72" s="9">
        <v>4.0000000000000001E-3</v>
      </c>
      <c r="V72" s="9">
        <v>3.5999999999999999E-3</v>
      </c>
      <c r="W72" s="9">
        <v>3.7000000000000002E-3</v>
      </c>
      <c r="X72" s="9">
        <v>3.0000000000000001E-3</v>
      </c>
      <c r="Y72" s="9">
        <v>1.23E-2</v>
      </c>
      <c r="Z72" s="9">
        <v>5.1999999999999998E-3</v>
      </c>
      <c r="AA72" s="9"/>
      <c r="AB72" s="9"/>
      <c r="AC72" s="9">
        <v>4.0000000000000001E-3</v>
      </c>
      <c r="AD72" s="9">
        <v>2.0999999999999999E-3</v>
      </c>
      <c r="AE72" s="9">
        <v>3.0999999999999999E-3</v>
      </c>
    </row>
    <row r="73" spans="2:31" x14ac:dyDescent="0.3">
      <c r="B73" s="5">
        <v>202537</v>
      </c>
      <c r="C73" s="5"/>
      <c r="D73" s="9">
        <v>4.8999999999999998E-3</v>
      </c>
      <c r="E73" s="9">
        <v>4.7000000000000002E-3</v>
      </c>
      <c r="F73" s="9">
        <v>4.8999999999999998E-3</v>
      </c>
      <c r="G73" s="9">
        <v>4.0000000000000001E-3</v>
      </c>
      <c r="H73" s="9">
        <v>3.2000000000000002E-3</v>
      </c>
      <c r="I73" s="9">
        <v>9.2999999999999992E-3</v>
      </c>
      <c r="J73" s="9">
        <v>6.3E-3</v>
      </c>
      <c r="K73" s="9"/>
      <c r="L73" s="9">
        <v>4.1999999999999997E-3</v>
      </c>
      <c r="M73" s="9"/>
      <c r="N73" s="9">
        <v>3.3999999999999998E-3</v>
      </c>
      <c r="O73" s="9">
        <v>1.11E-2</v>
      </c>
      <c r="P73" s="9">
        <v>1.14E-2</v>
      </c>
      <c r="Q73" s="9">
        <v>1.0500000000000001E-2</v>
      </c>
      <c r="R73" s="9"/>
      <c r="S73" s="9">
        <v>1.6000000000000001E-3</v>
      </c>
      <c r="T73" s="9">
        <v>1.6999999999999999E-3</v>
      </c>
      <c r="U73" s="9">
        <v>3.5999999999999999E-3</v>
      </c>
      <c r="V73" s="9">
        <v>4.4999999999999997E-3</v>
      </c>
      <c r="W73" s="9">
        <v>3.8999999999999998E-3</v>
      </c>
      <c r="X73" s="9">
        <v>4.1999999999999997E-3</v>
      </c>
      <c r="Y73" s="9">
        <v>1.1599999999999999E-2</v>
      </c>
      <c r="Z73" s="9">
        <v>3.7000000000000002E-3</v>
      </c>
      <c r="AA73" s="9"/>
      <c r="AB73" s="9"/>
      <c r="AC73" s="9">
        <v>4.4000000000000003E-3</v>
      </c>
      <c r="AD73" s="9">
        <v>3.3999999999999998E-3</v>
      </c>
      <c r="AE73" s="9">
        <v>3.3E-3</v>
      </c>
    </row>
    <row r="74" spans="2:31" x14ac:dyDescent="0.3">
      <c r="B74" s="5">
        <v>202538</v>
      </c>
      <c r="C74" s="5"/>
      <c r="D74" s="9">
        <v>4.5999999999999999E-3</v>
      </c>
      <c r="E74" s="9">
        <v>4.7000000000000002E-3</v>
      </c>
      <c r="F74" s="9">
        <v>4.5999999999999999E-3</v>
      </c>
      <c r="G74" s="9">
        <v>4.0000000000000001E-3</v>
      </c>
      <c r="H74" s="9">
        <v>3.7000000000000002E-3</v>
      </c>
      <c r="I74" s="9">
        <v>8.2000000000000007E-3</v>
      </c>
      <c r="J74" s="9">
        <v>6.1000000000000004E-3</v>
      </c>
      <c r="K74" s="9"/>
      <c r="L74" s="9">
        <v>3.5000000000000001E-3</v>
      </c>
      <c r="M74" s="9"/>
      <c r="N74" s="9">
        <v>3.8999999999999998E-3</v>
      </c>
      <c r="O74" s="9">
        <v>6.0000000000000001E-3</v>
      </c>
      <c r="P74" s="9">
        <v>1.0200000000000001E-2</v>
      </c>
      <c r="Q74" s="9">
        <v>8.5000000000000006E-3</v>
      </c>
      <c r="R74" s="9"/>
      <c r="S74" s="9">
        <v>1.8E-3</v>
      </c>
      <c r="T74" s="9">
        <v>1.2999999999999999E-3</v>
      </c>
      <c r="U74" s="9">
        <v>3.8E-3</v>
      </c>
      <c r="V74" s="9">
        <v>3.3999999999999998E-3</v>
      </c>
      <c r="W74" s="9">
        <v>6.4000000000000003E-3</v>
      </c>
      <c r="X74" s="9">
        <v>7.9000000000000008E-3</v>
      </c>
      <c r="Y74" s="9">
        <v>9.7999999999999997E-3</v>
      </c>
      <c r="Z74" s="9">
        <v>3.0000000000000001E-3</v>
      </c>
      <c r="AA74" s="9"/>
      <c r="AB74" s="9"/>
      <c r="AC74" s="9">
        <v>4.3E-3</v>
      </c>
      <c r="AD74" s="9">
        <v>3.0999999999999999E-3</v>
      </c>
      <c r="AE74" s="9">
        <v>3.2000000000000002E-3</v>
      </c>
    </row>
    <row r="75" spans="2:31" x14ac:dyDescent="0.3">
      <c r="B75" s="5">
        <v>202539</v>
      </c>
      <c r="C75" s="5"/>
      <c r="D75" s="9">
        <v>4.1999999999999997E-3</v>
      </c>
      <c r="E75" s="9">
        <v>5.1000000000000004E-3</v>
      </c>
      <c r="F75" s="9">
        <v>4.1999999999999997E-3</v>
      </c>
      <c r="G75" s="9">
        <v>3.3E-3</v>
      </c>
      <c r="H75" s="9">
        <v>3.3E-3</v>
      </c>
      <c r="I75" s="9">
        <v>1.1299999999999999E-2</v>
      </c>
      <c r="J75" s="9">
        <v>6.6E-3</v>
      </c>
      <c r="K75" s="9"/>
      <c r="L75" s="9">
        <v>6.1000000000000004E-3</v>
      </c>
      <c r="M75" s="9"/>
      <c r="N75" s="9">
        <v>3.0000000000000001E-3</v>
      </c>
      <c r="O75" s="9">
        <v>6.6E-3</v>
      </c>
      <c r="P75" s="9">
        <v>1.15E-2</v>
      </c>
      <c r="Q75" s="9">
        <v>3.5000000000000001E-3</v>
      </c>
      <c r="R75" s="9"/>
      <c r="S75" s="9">
        <v>1.6000000000000001E-3</v>
      </c>
      <c r="T75" s="9">
        <v>1.6000000000000001E-3</v>
      </c>
      <c r="U75" s="9">
        <v>3.2000000000000002E-3</v>
      </c>
      <c r="V75" s="9">
        <v>4.5999999999999999E-3</v>
      </c>
      <c r="W75" s="9">
        <v>8.6E-3</v>
      </c>
      <c r="X75" s="9">
        <v>1.15E-2</v>
      </c>
      <c r="Y75" s="9">
        <v>8.8000000000000005E-3</v>
      </c>
      <c r="Z75" s="9">
        <v>2.8E-3</v>
      </c>
      <c r="AA75" s="9"/>
      <c r="AB75" s="9"/>
      <c r="AC75" s="9">
        <v>3.8999999999999998E-3</v>
      </c>
      <c r="AD75" s="9">
        <v>3.5000000000000001E-3</v>
      </c>
      <c r="AE75" s="9">
        <v>3.8E-3</v>
      </c>
    </row>
    <row r="76" spans="2:31" x14ac:dyDescent="0.3">
      <c r="B76" s="5">
        <v>202540</v>
      </c>
      <c r="C76" s="5"/>
      <c r="D76" s="9">
        <v>3.7000000000000002E-3</v>
      </c>
      <c r="E76" s="9">
        <v>4.8999999999999998E-3</v>
      </c>
      <c r="F76" s="9">
        <v>3.5999999999999999E-3</v>
      </c>
      <c r="G76" s="9">
        <v>3.8999999999999998E-3</v>
      </c>
      <c r="H76" s="9">
        <v>4.1000000000000003E-3</v>
      </c>
      <c r="I76" s="9">
        <v>9.9000000000000008E-3</v>
      </c>
      <c r="J76" s="9">
        <v>7.0000000000000001E-3</v>
      </c>
      <c r="K76" s="9">
        <v>0</v>
      </c>
      <c r="L76" s="9">
        <v>6.6E-3</v>
      </c>
      <c r="M76" s="9">
        <v>1.6999999999999999E-3</v>
      </c>
      <c r="N76" s="9">
        <v>2.2000000000000001E-3</v>
      </c>
      <c r="O76" s="9">
        <v>4.8999999999999998E-3</v>
      </c>
      <c r="P76" s="9">
        <v>1.09E-2</v>
      </c>
      <c r="Q76" s="9">
        <v>2.3999999999999998E-3</v>
      </c>
      <c r="R76" s="9"/>
      <c r="S76" s="9">
        <v>1.6999999999999999E-3</v>
      </c>
      <c r="T76" s="9">
        <v>1.8E-3</v>
      </c>
      <c r="U76" s="9">
        <v>3.5000000000000001E-3</v>
      </c>
      <c r="V76" s="9">
        <v>3.8E-3</v>
      </c>
      <c r="W76" s="9">
        <v>1.11E-2</v>
      </c>
      <c r="X76" s="9">
        <v>1.9E-2</v>
      </c>
      <c r="Y76" s="9">
        <v>8.0999999999999996E-3</v>
      </c>
      <c r="Z76" s="9">
        <v>2.7000000000000001E-3</v>
      </c>
      <c r="AA76" s="9">
        <v>5.0000000000000001E-4</v>
      </c>
      <c r="AB76" s="9"/>
      <c r="AC76" s="9">
        <v>3.3999999999999998E-3</v>
      </c>
      <c r="AD76" s="9">
        <v>3.8999999999999998E-3</v>
      </c>
      <c r="AE76" s="9">
        <v>3.3999999999999998E-3</v>
      </c>
    </row>
    <row r="77" spans="2:31" x14ac:dyDescent="0.3">
      <c r="B77" s="5">
        <v>202541</v>
      </c>
      <c r="C77" s="5"/>
      <c r="D77" s="9">
        <v>3.8E-3</v>
      </c>
      <c r="E77" s="9">
        <v>4.7000000000000002E-3</v>
      </c>
      <c r="F77" s="9">
        <v>3.8E-3</v>
      </c>
      <c r="G77" s="9">
        <v>4.0000000000000001E-3</v>
      </c>
      <c r="H77" s="9">
        <v>3.0999999999999999E-3</v>
      </c>
      <c r="I77" s="9">
        <v>1.12E-2</v>
      </c>
      <c r="J77" s="9">
        <v>5.7000000000000002E-3</v>
      </c>
      <c r="K77" s="9">
        <v>5.0000000000000001E-4</v>
      </c>
      <c r="L77" s="9">
        <v>6.1999999999999998E-3</v>
      </c>
      <c r="M77" s="9">
        <v>1.4E-3</v>
      </c>
      <c r="N77" s="9">
        <v>1.9E-3</v>
      </c>
      <c r="O77" s="9">
        <v>8.2000000000000007E-3</v>
      </c>
      <c r="P77" s="9">
        <v>8.2000000000000007E-3</v>
      </c>
      <c r="Q77" s="9">
        <v>2.2000000000000001E-3</v>
      </c>
      <c r="R77" s="9"/>
      <c r="S77" s="9">
        <v>1.6000000000000001E-3</v>
      </c>
      <c r="T77" s="9">
        <v>1.6999999999999999E-3</v>
      </c>
      <c r="U77" s="9">
        <v>3.2000000000000002E-3</v>
      </c>
      <c r="V77" s="9">
        <v>6.3E-3</v>
      </c>
      <c r="W77" s="9">
        <v>8.3999999999999995E-3</v>
      </c>
      <c r="X77" s="9">
        <v>1.14E-2</v>
      </c>
      <c r="Y77" s="9">
        <v>1.03E-2</v>
      </c>
      <c r="Z77" s="9">
        <v>2.8E-3</v>
      </c>
      <c r="AA77" s="9">
        <v>8.9999999999999998E-4</v>
      </c>
      <c r="AB77" s="9"/>
      <c r="AC77" s="9">
        <v>5.1999999999999998E-3</v>
      </c>
      <c r="AD77" s="9">
        <v>3.5999999999999999E-3</v>
      </c>
      <c r="AE77" s="9">
        <v>3.5000000000000001E-3</v>
      </c>
    </row>
    <row r="78" spans="2:31" ht="15" thickBot="1" x14ac:dyDescent="0.35">
      <c r="B78" s="5">
        <v>202542</v>
      </c>
      <c r="C78" s="5"/>
      <c r="D78" s="9">
        <v>3.8E-3</v>
      </c>
      <c r="E78" s="9">
        <v>4.7000000000000002E-3</v>
      </c>
      <c r="F78" s="9">
        <v>3.7000000000000002E-3</v>
      </c>
      <c r="G78" s="9">
        <v>4.4000000000000003E-3</v>
      </c>
      <c r="H78" s="9">
        <v>2.8E-3</v>
      </c>
      <c r="I78" s="9">
        <v>1.2500000000000001E-2</v>
      </c>
      <c r="J78" s="9">
        <v>5.1999999999999998E-3</v>
      </c>
      <c r="K78" s="9">
        <v>1E-3</v>
      </c>
      <c r="L78" s="9">
        <v>4.7999999999999996E-3</v>
      </c>
      <c r="M78" s="9">
        <v>3.0999999999999999E-3</v>
      </c>
      <c r="N78" s="9">
        <v>2.0999999999999999E-3</v>
      </c>
      <c r="O78" s="9">
        <v>7.0000000000000001E-3</v>
      </c>
      <c r="P78" s="9">
        <v>1.01E-2</v>
      </c>
      <c r="Q78" s="9">
        <v>2.5000000000000001E-3</v>
      </c>
      <c r="R78" s="9"/>
      <c r="S78" s="9">
        <v>1.5E-3</v>
      </c>
      <c r="T78" s="9">
        <v>1.6999999999999999E-3</v>
      </c>
      <c r="U78" s="9">
        <v>3.2000000000000002E-3</v>
      </c>
      <c r="V78" s="9">
        <v>3.2000000000000002E-3</v>
      </c>
      <c r="W78" s="9">
        <v>4.5999999999999999E-3</v>
      </c>
      <c r="X78" s="9">
        <v>6.3E-3</v>
      </c>
      <c r="Y78" s="9">
        <v>1.0500000000000001E-2</v>
      </c>
      <c r="Z78" s="9">
        <v>9.4000000000000004E-3</v>
      </c>
      <c r="AA78" s="9">
        <v>1.1999999999999999E-3</v>
      </c>
      <c r="AB78" s="9"/>
      <c r="AC78" s="9">
        <v>5.8999999999999999E-3</v>
      </c>
      <c r="AD78" s="9">
        <v>4.0000000000000001E-3</v>
      </c>
      <c r="AE78" s="9">
        <v>3.3E-3</v>
      </c>
    </row>
    <row r="79" spans="2:31" ht="15" thickBot="1" x14ac:dyDescent="0.35">
      <c r="B79" s="22" t="s">
        <v>82</v>
      </c>
      <c r="C79" s="22"/>
      <c r="D79" s="24">
        <f t="shared" ref="D79:AE79" si="23">AVERAGE(D37:D78)</f>
        <v>3.3214285714285715E-3</v>
      </c>
      <c r="E79" s="24">
        <f t="shared" si="23"/>
        <v>3.7904761904761905E-3</v>
      </c>
      <c r="F79" s="24">
        <f t="shared" si="23"/>
        <v>3.2738095238095235E-3</v>
      </c>
      <c r="G79" s="24">
        <f t="shared" si="23"/>
        <v>4.4714285714285724E-3</v>
      </c>
      <c r="H79" s="24">
        <f t="shared" si="23"/>
        <v>3.2785714285714284E-3</v>
      </c>
      <c r="I79" s="24">
        <f t="shared" si="23"/>
        <v>5.7357142857142858E-3</v>
      </c>
      <c r="J79" s="24">
        <f t="shared" si="23"/>
        <v>3.4476190476190479E-3</v>
      </c>
      <c r="K79" s="24">
        <f t="shared" si="23"/>
        <v>3.0324324324324317E-3</v>
      </c>
      <c r="L79" s="24">
        <f t="shared" si="23"/>
        <v>3.0523809523809518E-3</v>
      </c>
      <c r="M79" s="24">
        <f t="shared" si="23"/>
        <v>3.4256410256410263E-3</v>
      </c>
      <c r="N79" s="24">
        <f t="shared" si="23"/>
        <v>2.9675675675675675E-3</v>
      </c>
      <c r="O79" s="24">
        <f t="shared" si="23"/>
        <v>6.3428571428571431E-3</v>
      </c>
      <c r="P79" s="24">
        <f t="shared" si="23"/>
        <v>9.4166666666666687E-3</v>
      </c>
      <c r="Q79" s="24">
        <f t="shared" si="23"/>
        <v>3.8071428571428575E-3</v>
      </c>
      <c r="R79" s="24">
        <f t="shared" si="23"/>
        <v>-6.7871428571428569E-2</v>
      </c>
      <c r="S79" s="24">
        <f t="shared" si="23"/>
        <v>2.9142857142857143E-3</v>
      </c>
      <c r="T79" s="24">
        <f t="shared" si="23"/>
        <v>1.7333333333333339E-3</v>
      </c>
      <c r="U79" s="24">
        <f t="shared" si="23"/>
        <v>2.8324324324324316E-3</v>
      </c>
      <c r="V79" s="24">
        <f t="shared" si="23"/>
        <v>3.7190476190476179E-3</v>
      </c>
      <c r="W79" s="24">
        <f t="shared" si="23"/>
        <v>3.8749999999999995E-3</v>
      </c>
      <c r="X79" s="24">
        <f t="shared" si="23"/>
        <v>3.827777777777778E-3</v>
      </c>
      <c r="Y79" s="24">
        <f t="shared" si="23"/>
        <v>5.5095238095238096E-3</v>
      </c>
      <c r="Z79" s="24">
        <f t="shared" si="23"/>
        <v>2.0666666666666663E-3</v>
      </c>
      <c r="AA79" s="24">
        <f t="shared" si="23"/>
        <v>4.0277777777777794E-3</v>
      </c>
      <c r="AB79" s="24">
        <f t="shared" si="23"/>
        <v>2.3757575757575762E-3</v>
      </c>
      <c r="AC79" s="24">
        <f t="shared" si="23"/>
        <v>3.0216216216216217E-3</v>
      </c>
      <c r="AD79" s="24">
        <f t="shared" si="23"/>
        <v>1.8135135135135133E-3</v>
      </c>
      <c r="AE79" s="24">
        <f t="shared" si="23"/>
        <v>2.0166666666666666E-3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U136"/>
  <sheetViews>
    <sheetView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/>
    </sheetView>
  </sheetViews>
  <sheetFormatPr baseColWidth="10" defaultRowHeight="14.4" x14ac:dyDescent="0.3"/>
  <cols>
    <col min="1" max="1" width="21.6640625" bestFit="1" customWidth="1"/>
    <col min="2" max="2" width="7" bestFit="1" customWidth="1"/>
    <col min="3" max="3" width="2.109375" bestFit="1" customWidth="1"/>
    <col min="4" max="4" width="10.109375" bestFit="1" customWidth="1"/>
    <col min="5" max="5" width="8.5546875" bestFit="1" customWidth="1"/>
    <col min="6" max="6" width="11" bestFit="1" customWidth="1"/>
    <col min="7" max="7" width="9.109375" bestFit="1" customWidth="1"/>
    <col min="8" max="8" width="7.44140625" bestFit="1" customWidth="1"/>
    <col min="9" max="9" width="10.88671875" bestFit="1" customWidth="1"/>
    <col min="10" max="10" width="12" bestFit="1" customWidth="1"/>
    <col min="11" max="11" width="9.6640625" bestFit="1" customWidth="1"/>
    <col min="12" max="12" width="7.109375" bestFit="1" customWidth="1"/>
    <col min="13" max="13" width="8.109375" bestFit="1" customWidth="1"/>
    <col min="14" max="14" width="7.33203125" bestFit="1" customWidth="1"/>
    <col min="15" max="15" width="5.44140625" bestFit="1" customWidth="1"/>
    <col min="16" max="16" width="8.5546875" bestFit="1" customWidth="1"/>
    <col min="17" max="17" width="7.6640625" bestFit="1" customWidth="1"/>
    <col min="18" max="18" width="11.33203125" bestFit="1" customWidth="1"/>
    <col min="19" max="19" width="7.6640625" bestFit="1" customWidth="1"/>
    <col min="20" max="20" width="5.44140625" bestFit="1" customWidth="1"/>
    <col min="21" max="21" width="11" bestFit="1" customWidth="1"/>
    <col min="22" max="22" width="7" bestFit="1" customWidth="1"/>
    <col min="23" max="23" width="8.6640625" bestFit="1" customWidth="1"/>
    <col min="24" max="24" width="8" bestFit="1" customWidth="1"/>
    <col min="25" max="25" width="8.33203125" bestFit="1" customWidth="1"/>
    <col min="26" max="26" width="6.33203125" bestFit="1" customWidth="1"/>
    <col min="27" max="27" width="9.109375" bestFit="1" customWidth="1"/>
    <col min="28" max="28" width="9" bestFit="1" customWidth="1"/>
    <col min="29" max="29" width="11.44140625" bestFit="1" customWidth="1"/>
    <col min="30" max="30" width="8.5546875" bestFit="1" customWidth="1"/>
    <col min="31" max="31" width="6" bestFit="1" customWidth="1"/>
    <col min="32" max="32" width="6.33203125" bestFit="1" customWidth="1"/>
    <col min="33" max="33" width="10.6640625" bestFit="1" customWidth="1"/>
    <col min="34" max="34" width="10.88671875" bestFit="1" customWidth="1"/>
    <col min="35" max="35" width="10.6640625" bestFit="1" customWidth="1"/>
    <col min="36" max="40" width="9.88671875" bestFit="1" customWidth="1"/>
    <col min="41" max="42" width="10.33203125" bestFit="1" customWidth="1"/>
    <col min="43" max="43" width="9.88671875" bestFit="1" customWidth="1"/>
    <col min="44" max="44" width="9.33203125" bestFit="1" customWidth="1"/>
    <col min="45" max="45" width="3.88671875" bestFit="1" customWidth="1"/>
    <col min="46" max="46" width="8.109375" bestFit="1" customWidth="1"/>
  </cols>
  <sheetData>
    <row r="1" spans="1:47" ht="18" x14ac:dyDescent="0.35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15" thickBot="1" x14ac:dyDescent="0.35"/>
    <row r="5" spans="1:47" ht="29.4" thickBot="1" x14ac:dyDescent="0.35">
      <c r="A5" s="28" t="s">
        <v>3</v>
      </c>
      <c r="B5" s="29" t="s">
        <v>4</v>
      </c>
      <c r="C5" s="29" t="s">
        <v>5</v>
      </c>
      <c r="D5" s="29" t="s">
        <v>6</v>
      </c>
      <c r="E5" s="29" t="s">
        <v>7</v>
      </c>
      <c r="F5" s="29" t="s">
        <v>8</v>
      </c>
      <c r="G5" s="29" t="s">
        <v>9</v>
      </c>
      <c r="H5" s="29" t="s">
        <v>10</v>
      </c>
      <c r="I5" s="29" t="s">
        <v>11</v>
      </c>
      <c r="J5" s="29" t="s">
        <v>12</v>
      </c>
      <c r="K5" s="29" t="s">
        <v>13</v>
      </c>
      <c r="L5" s="29" t="s">
        <v>14</v>
      </c>
      <c r="M5" s="29" t="s">
        <v>15</v>
      </c>
      <c r="N5" s="29" t="s">
        <v>16</v>
      </c>
      <c r="O5" s="29" t="s">
        <v>17</v>
      </c>
      <c r="P5" s="29" t="s">
        <v>18</v>
      </c>
      <c r="Q5" s="29" t="s">
        <v>125</v>
      </c>
      <c r="R5" s="29" t="s">
        <v>20</v>
      </c>
      <c r="S5" s="29" t="s">
        <v>21</v>
      </c>
      <c r="T5" s="29" t="s">
        <v>22</v>
      </c>
      <c r="U5" s="29" t="s">
        <v>23</v>
      </c>
      <c r="V5" s="29" t="s">
        <v>24</v>
      </c>
      <c r="W5" s="29" t="s">
        <v>25</v>
      </c>
      <c r="X5" s="29" t="s">
        <v>26</v>
      </c>
      <c r="Y5" s="29" t="s">
        <v>27</v>
      </c>
      <c r="Z5" s="29" t="s">
        <v>28</v>
      </c>
      <c r="AA5" s="29" t="s">
        <v>29</v>
      </c>
      <c r="AB5" s="29" t="s">
        <v>30</v>
      </c>
      <c r="AC5" s="29" t="s">
        <v>31</v>
      </c>
      <c r="AD5" s="29" t="s">
        <v>32</v>
      </c>
      <c r="AE5" s="29" t="s">
        <v>33</v>
      </c>
      <c r="AF5" s="29" t="s">
        <v>34</v>
      </c>
      <c r="AG5" s="29" t="s">
        <v>35</v>
      </c>
      <c r="AH5" s="29" t="s">
        <v>36</v>
      </c>
      <c r="AI5" s="29" t="s">
        <v>37</v>
      </c>
      <c r="AJ5" s="29" t="s">
        <v>38</v>
      </c>
      <c r="AK5" s="29" t="s">
        <v>39</v>
      </c>
      <c r="AL5" s="29" t="s">
        <v>40</v>
      </c>
      <c r="AM5" s="29" t="s">
        <v>41</v>
      </c>
      <c r="AN5" s="29" t="s">
        <v>42</v>
      </c>
      <c r="AO5" s="29" t="s">
        <v>43</v>
      </c>
      <c r="AP5" s="29" t="s">
        <v>44</v>
      </c>
      <c r="AQ5" s="29" t="s">
        <v>45</v>
      </c>
      <c r="AR5" s="29" t="s">
        <v>46</v>
      </c>
      <c r="AS5" s="29" t="s">
        <v>47</v>
      </c>
      <c r="AT5" s="29" t="s">
        <v>48</v>
      </c>
      <c r="AU5" s="30"/>
    </row>
    <row r="6" spans="1:47" x14ac:dyDescent="0.3">
      <c r="A6" s="5" t="s">
        <v>126</v>
      </c>
      <c r="B6" s="5">
        <v>202501</v>
      </c>
      <c r="C6" s="7"/>
      <c r="D6" s="7">
        <v>4</v>
      </c>
      <c r="E6" s="7"/>
      <c r="F6" s="7">
        <v>41614</v>
      </c>
      <c r="G6" s="7">
        <v>111</v>
      </c>
      <c r="H6" s="9">
        <f t="shared" ref="H6:H48" si="0">IFERROR(G6/F6,0)</f>
        <v>2.667371557648868E-3</v>
      </c>
      <c r="I6" s="9"/>
      <c r="J6" s="7">
        <v>129060</v>
      </c>
      <c r="K6" s="11">
        <f t="shared" ref="K6:K47" si="1">IFERROR(J6/E6/F6*100,0)</f>
        <v>0</v>
      </c>
      <c r="L6" s="11"/>
      <c r="M6" s="11">
        <v>86.485377517200007</v>
      </c>
      <c r="N6" s="11">
        <f t="shared" ref="N6:N48" si="2">K6-M6</f>
        <v>-86.485377517200007</v>
      </c>
      <c r="O6" s="11"/>
      <c r="P6" s="11"/>
      <c r="Q6" s="11"/>
      <c r="R6" s="7">
        <v>19722</v>
      </c>
      <c r="S6" s="11">
        <f t="shared" ref="S6:S47" si="3">IFERROR(R6/E6/F6*1000,0)</f>
        <v>0</v>
      </c>
      <c r="T6" s="13">
        <f t="shared" ref="T6:T48" si="4">IFERROR(J6/R6,0)</f>
        <v>6.543961058716155</v>
      </c>
      <c r="U6" s="7">
        <v>8640</v>
      </c>
      <c r="V6" s="11">
        <f t="shared" ref="V6:V47" si="5">IFERROR(U6/E6/F6*1000,0)</f>
        <v>0</v>
      </c>
      <c r="W6" s="11">
        <f t="shared" ref="W6:W48" si="6">IFERROR(V6/S6,0)</f>
        <v>0</v>
      </c>
      <c r="X6" s="11">
        <v>340.59748301389999</v>
      </c>
      <c r="Y6" s="11">
        <f t="shared" ref="Y6:Y47" si="7">IFERROR((F6*S6)/(F6*K6)*100,0)</f>
        <v>0</v>
      </c>
      <c r="Z6" s="11">
        <f t="shared" ref="Z6:Z48" si="8">IFERROR(Y6*X6/1000,0)</f>
        <v>0</v>
      </c>
      <c r="AA6" s="7">
        <v>1153.3333333333001</v>
      </c>
      <c r="AB6" s="15">
        <f>IFERROR(AA6/1530,0)</f>
        <v>0.75381263616555561</v>
      </c>
      <c r="AC6" s="11">
        <v>0</v>
      </c>
      <c r="AD6" s="15">
        <f>IFERROR(AC6/50.6833333333,0)</f>
        <v>0</v>
      </c>
      <c r="AE6" s="11"/>
      <c r="AF6" s="11"/>
      <c r="AG6" s="7">
        <v>-26075</v>
      </c>
      <c r="AH6" s="7">
        <v>0</v>
      </c>
      <c r="AI6" s="7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3"/>
      <c r="AP6" s="11"/>
      <c r="AQ6" s="7"/>
      <c r="AR6" s="7"/>
      <c r="AS6" s="7"/>
      <c r="AT6" s="7"/>
      <c r="AU6" s="7"/>
    </row>
    <row r="7" spans="1:47" x14ac:dyDescent="0.3">
      <c r="A7" s="5" t="s">
        <v>126</v>
      </c>
      <c r="B7" s="5">
        <v>202502</v>
      </c>
      <c r="C7" s="7"/>
      <c r="D7" s="7">
        <v>7</v>
      </c>
      <c r="E7" s="7"/>
      <c r="F7" s="7">
        <v>41430</v>
      </c>
      <c r="G7" s="7">
        <v>184</v>
      </c>
      <c r="H7" s="9">
        <f t="shared" si="0"/>
        <v>4.441226164615013E-3</v>
      </c>
      <c r="I7" s="9"/>
      <c r="J7" s="7">
        <v>223020</v>
      </c>
      <c r="K7" s="11">
        <f t="shared" si="1"/>
        <v>0</v>
      </c>
      <c r="L7" s="11"/>
      <c r="M7" s="11">
        <v>85.351822350999996</v>
      </c>
      <c r="N7" s="11">
        <f t="shared" si="2"/>
        <v>-85.351822350999996</v>
      </c>
      <c r="O7" s="11"/>
      <c r="P7" s="11"/>
      <c r="Q7" s="11"/>
      <c r="R7" s="7">
        <v>34353</v>
      </c>
      <c r="S7" s="11">
        <f t="shared" si="3"/>
        <v>0</v>
      </c>
      <c r="T7" s="13">
        <f t="shared" si="4"/>
        <v>6.4920094314906995</v>
      </c>
      <c r="U7" s="7">
        <v>15120</v>
      </c>
      <c r="V7" s="11">
        <f t="shared" si="5"/>
        <v>0</v>
      </c>
      <c r="W7" s="11">
        <f t="shared" si="6"/>
        <v>0</v>
      </c>
      <c r="X7" s="11">
        <v>367.95037813290003</v>
      </c>
      <c r="Y7" s="11">
        <f t="shared" si="7"/>
        <v>0</v>
      </c>
      <c r="Z7" s="11">
        <f t="shared" si="8"/>
        <v>0</v>
      </c>
      <c r="AA7" s="7">
        <v>1234</v>
      </c>
      <c r="AB7" s="15">
        <f>IFERROR(AA7/1533.3333333333,0)</f>
        <v>0.80478260869566964</v>
      </c>
      <c r="AC7" s="11">
        <v>0</v>
      </c>
      <c r="AD7" s="15">
        <f>IFERROR(AC7/51.0666666667,0)</f>
        <v>0</v>
      </c>
      <c r="AE7" s="11"/>
      <c r="AF7" s="11"/>
      <c r="AG7" s="7">
        <v>-24509</v>
      </c>
      <c r="AH7" s="7">
        <v>0</v>
      </c>
      <c r="AI7" s="7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3"/>
      <c r="AP7" s="11"/>
      <c r="AQ7" s="7"/>
      <c r="AR7" s="7"/>
      <c r="AS7" s="7"/>
      <c r="AT7" s="7"/>
      <c r="AU7" s="7"/>
    </row>
    <row r="8" spans="1:47" x14ac:dyDescent="0.3">
      <c r="A8" s="5" t="s">
        <v>126</v>
      </c>
      <c r="B8" s="5">
        <v>202503</v>
      </c>
      <c r="C8" s="7"/>
      <c r="D8" s="7">
        <v>7</v>
      </c>
      <c r="E8" s="7"/>
      <c r="F8" s="7">
        <v>41227</v>
      </c>
      <c r="G8" s="7">
        <v>203</v>
      </c>
      <c r="H8" s="9">
        <f t="shared" si="0"/>
        <v>4.9239576006015473E-3</v>
      </c>
      <c r="I8" s="9"/>
      <c r="J8" s="7">
        <v>212340</v>
      </c>
      <c r="K8" s="11">
        <f t="shared" si="1"/>
        <v>0</v>
      </c>
      <c r="L8" s="11"/>
      <c r="M8" s="11">
        <v>86.346253668700001</v>
      </c>
      <c r="N8" s="11">
        <f t="shared" si="2"/>
        <v>-86.346253668700001</v>
      </c>
      <c r="O8" s="11"/>
      <c r="P8" s="11"/>
      <c r="Q8" s="11"/>
      <c r="R8" s="7">
        <v>34495</v>
      </c>
      <c r="S8" s="11">
        <f t="shared" si="3"/>
        <v>0</v>
      </c>
      <c r="T8" s="13">
        <f t="shared" si="4"/>
        <v>6.1556747354689083</v>
      </c>
      <c r="U8" s="7">
        <v>15120</v>
      </c>
      <c r="V8" s="11">
        <f t="shared" si="5"/>
        <v>0</v>
      </c>
      <c r="W8" s="11">
        <f t="shared" si="6"/>
        <v>0</v>
      </c>
      <c r="X8" s="11">
        <v>367.75073054069998</v>
      </c>
      <c r="Y8" s="11">
        <f t="shared" si="7"/>
        <v>0</v>
      </c>
      <c r="Z8" s="11">
        <f t="shared" si="8"/>
        <v>0</v>
      </c>
      <c r="AA8" s="7">
        <v>600.33333333329995</v>
      </c>
      <c r="AB8" s="15">
        <f>IFERROR(AA8/1536.6666666667,0)</f>
        <v>0.3906724511930284</v>
      </c>
      <c r="AC8" s="11">
        <v>0</v>
      </c>
      <c r="AD8" s="15">
        <f>IFERROR(AC8/51.3666666667,0)</f>
        <v>0</v>
      </c>
      <c r="AE8" s="11"/>
      <c r="AF8" s="11"/>
      <c r="AG8" s="7">
        <v>-36846</v>
      </c>
      <c r="AH8" s="7">
        <v>0</v>
      </c>
      <c r="AI8" s="7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3"/>
      <c r="AP8" s="11"/>
      <c r="AQ8" s="7"/>
      <c r="AR8" s="7"/>
      <c r="AS8" s="7"/>
      <c r="AT8" s="7"/>
      <c r="AU8" s="7"/>
    </row>
    <row r="9" spans="1:47" x14ac:dyDescent="0.3">
      <c r="A9" s="5" t="s">
        <v>126</v>
      </c>
      <c r="B9" s="5">
        <v>202504</v>
      </c>
      <c r="C9" s="7"/>
      <c r="D9" s="7">
        <v>7</v>
      </c>
      <c r="E9" s="7"/>
      <c r="F9" s="7">
        <v>41016</v>
      </c>
      <c r="G9" s="7">
        <v>211</v>
      </c>
      <c r="H9" s="9">
        <f t="shared" si="0"/>
        <v>5.1443339184708402E-3</v>
      </c>
      <c r="I9" s="9"/>
      <c r="J9" s="7">
        <v>212370</v>
      </c>
      <c r="K9" s="11">
        <f t="shared" si="1"/>
        <v>0</v>
      </c>
      <c r="L9" s="11"/>
      <c r="M9" s="11">
        <v>84.940425687499996</v>
      </c>
      <c r="N9" s="11">
        <f t="shared" si="2"/>
        <v>-84.940425687499996</v>
      </c>
      <c r="O9" s="11"/>
      <c r="P9" s="11"/>
      <c r="Q9" s="11"/>
      <c r="R9" s="7">
        <v>33963</v>
      </c>
      <c r="S9" s="11">
        <f t="shared" si="3"/>
        <v>0</v>
      </c>
      <c r="T9" s="13">
        <f t="shared" si="4"/>
        <v>6.2529811854076494</v>
      </c>
      <c r="U9" s="7">
        <v>15120</v>
      </c>
      <c r="V9" s="11">
        <f t="shared" si="5"/>
        <v>0</v>
      </c>
      <c r="W9" s="11">
        <f t="shared" si="6"/>
        <v>0</v>
      </c>
      <c r="X9" s="11">
        <v>361.16460774540002</v>
      </c>
      <c r="Y9" s="11">
        <f t="shared" si="7"/>
        <v>0</v>
      </c>
      <c r="Z9" s="11">
        <f t="shared" si="8"/>
        <v>0</v>
      </c>
      <c r="AA9" s="7">
        <v>0</v>
      </c>
      <c r="AB9" s="15">
        <f>IFERROR(AA9/1543.3333333333,0)</f>
        <v>0</v>
      </c>
      <c r="AC9" s="11">
        <v>0</v>
      </c>
      <c r="AD9" s="15">
        <f>IFERROR(AC9/51.3333333333,0)</f>
        <v>0</v>
      </c>
      <c r="AE9" s="11"/>
      <c r="AF9" s="11"/>
      <c r="AG9" s="7">
        <v>-31504</v>
      </c>
      <c r="AH9" s="7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3"/>
      <c r="AP9" s="11"/>
      <c r="AQ9" s="7"/>
      <c r="AR9" s="7"/>
      <c r="AS9" s="7"/>
      <c r="AT9" s="7"/>
      <c r="AU9" s="7"/>
    </row>
    <row r="10" spans="1:47" x14ac:dyDescent="0.3">
      <c r="A10" s="5" t="s">
        <v>126</v>
      </c>
      <c r="B10" s="5">
        <v>202505</v>
      </c>
      <c r="C10" s="7"/>
      <c r="D10" s="7">
        <v>7</v>
      </c>
      <c r="E10" s="7"/>
      <c r="F10" s="7">
        <v>40849</v>
      </c>
      <c r="G10" s="7">
        <v>167</v>
      </c>
      <c r="H10" s="9">
        <f t="shared" si="0"/>
        <v>4.0882273739871232E-3</v>
      </c>
      <c r="I10" s="9"/>
      <c r="J10" s="7">
        <v>216750</v>
      </c>
      <c r="K10" s="11">
        <f t="shared" si="1"/>
        <v>0</v>
      </c>
      <c r="L10" s="11"/>
      <c r="M10" s="11">
        <v>85.565521799799996</v>
      </c>
      <c r="N10" s="11">
        <f t="shared" si="2"/>
        <v>-85.565521799799996</v>
      </c>
      <c r="O10" s="11"/>
      <c r="P10" s="11"/>
      <c r="Q10" s="11"/>
      <c r="R10" s="7">
        <v>34959</v>
      </c>
      <c r="S10" s="11">
        <f t="shared" si="3"/>
        <v>0</v>
      </c>
      <c r="T10" s="13">
        <f t="shared" si="4"/>
        <v>6.2001201407362911</v>
      </c>
      <c r="U10" s="7">
        <v>15120</v>
      </c>
      <c r="V10" s="11">
        <f t="shared" si="5"/>
        <v>0</v>
      </c>
      <c r="W10" s="11">
        <f t="shared" si="6"/>
        <v>0</v>
      </c>
      <c r="X10" s="11">
        <v>351.59252585680002</v>
      </c>
      <c r="Y10" s="11">
        <f t="shared" si="7"/>
        <v>0</v>
      </c>
      <c r="Z10" s="11">
        <f t="shared" si="8"/>
        <v>0</v>
      </c>
      <c r="AA10" s="7">
        <v>948.66666666670005</v>
      </c>
      <c r="AB10" s="15">
        <f>IFERROR(AA10/1546.6666666667,0)</f>
        <v>0.61336206896552559</v>
      </c>
      <c r="AC10" s="11">
        <v>0</v>
      </c>
      <c r="AD10" s="15">
        <f>IFERROR(AC10/51.9666666667,0)</f>
        <v>0</v>
      </c>
      <c r="AE10" s="11"/>
      <c r="AF10" s="11"/>
      <c r="AG10" s="7">
        <v>-27919</v>
      </c>
      <c r="AH10" s="7">
        <v>0</v>
      </c>
      <c r="AI10" s="7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3"/>
      <c r="AP10" s="11"/>
      <c r="AQ10" s="7"/>
      <c r="AR10" s="7"/>
      <c r="AS10" s="7"/>
      <c r="AT10" s="7"/>
      <c r="AU10" s="7"/>
    </row>
    <row r="11" spans="1:47" x14ac:dyDescent="0.3">
      <c r="A11" s="5" t="s">
        <v>126</v>
      </c>
      <c r="B11" s="5">
        <v>202506</v>
      </c>
      <c r="C11" s="7"/>
      <c r="D11" s="7">
        <v>7</v>
      </c>
      <c r="E11" s="7"/>
      <c r="F11" s="7">
        <v>40667</v>
      </c>
      <c r="G11" s="7">
        <v>182</v>
      </c>
      <c r="H11" s="9">
        <f t="shared" si="0"/>
        <v>4.4753731526790764E-3</v>
      </c>
      <c r="I11" s="9"/>
      <c r="J11" s="7">
        <v>219360</v>
      </c>
      <c r="K11" s="11">
        <f t="shared" si="1"/>
        <v>0</v>
      </c>
      <c r="L11" s="11"/>
      <c r="M11" s="11">
        <v>85.259743772600004</v>
      </c>
      <c r="N11" s="11">
        <f t="shared" si="2"/>
        <v>-85.259743772600004</v>
      </c>
      <c r="O11" s="11"/>
      <c r="P11" s="11"/>
      <c r="Q11" s="11"/>
      <c r="R11" s="7">
        <v>36438</v>
      </c>
      <c r="S11" s="11">
        <f t="shared" si="3"/>
        <v>0</v>
      </c>
      <c r="T11" s="13">
        <f t="shared" si="4"/>
        <v>6.020088918162358</v>
      </c>
      <c r="U11" s="7">
        <v>15120</v>
      </c>
      <c r="V11" s="11">
        <f t="shared" si="5"/>
        <v>0</v>
      </c>
      <c r="W11" s="11">
        <f t="shared" si="6"/>
        <v>0</v>
      </c>
      <c r="X11" s="11">
        <v>361.0643379361</v>
      </c>
      <c r="Y11" s="11">
        <f t="shared" si="7"/>
        <v>0</v>
      </c>
      <c r="Z11" s="11">
        <f t="shared" si="8"/>
        <v>0</v>
      </c>
      <c r="AA11" s="7">
        <v>0</v>
      </c>
      <c r="AB11" s="15">
        <f>IFERROR(AA11/1550,0)</f>
        <v>0</v>
      </c>
      <c r="AC11" s="11">
        <v>0</v>
      </c>
      <c r="AD11" s="15">
        <f>IFERROR(AC11/52.0833333333,0)</f>
        <v>0</v>
      </c>
      <c r="AE11" s="11"/>
      <c r="AF11" s="11"/>
      <c r="AG11" s="7">
        <v>-23348</v>
      </c>
      <c r="AH11" s="7">
        <v>0</v>
      </c>
      <c r="AI11" s="7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3"/>
      <c r="AP11" s="11"/>
      <c r="AQ11" s="7"/>
      <c r="AR11" s="7"/>
      <c r="AS11" s="7"/>
      <c r="AT11" s="7"/>
      <c r="AU11" s="7"/>
    </row>
    <row r="12" spans="1:47" x14ac:dyDescent="0.3">
      <c r="A12" s="5" t="s">
        <v>126</v>
      </c>
      <c r="B12" s="5">
        <v>202507</v>
      </c>
      <c r="C12" s="7"/>
      <c r="D12" s="7">
        <v>7</v>
      </c>
      <c r="E12" s="7"/>
      <c r="F12" s="7">
        <v>40480</v>
      </c>
      <c r="G12" s="7">
        <v>187</v>
      </c>
      <c r="H12" s="9">
        <f t="shared" si="0"/>
        <v>4.6195652173913046E-3</v>
      </c>
      <c r="I12" s="9"/>
      <c r="J12" s="7">
        <v>207600</v>
      </c>
      <c r="K12" s="11">
        <f t="shared" si="1"/>
        <v>0</v>
      </c>
      <c r="L12" s="11"/>
      <c r="M12" s="11">
        <v>84.804903656099995</v>
      </c>
      <c r="N12" s="11">
        <f t="shared" si="2"/>
        <v>-84.804903656099995</v>
      </c>
      <c r="O12" s="11"/>
      <c r="P12" s="11"/>
      <c r="Q12" s="11"/>
      <c r="R12" s="7">
        <v>33590</v>
      </c>
      <c r="S12" s="11">
        <f t="shared" si="3"/>
        <v>0</v>
      </c>
      <c r="T12" s="13">
        <f t="shared" si="4"/>
        <v>6.1804108365585</v>
      </c>
      <c r="U12" s="7">
        <v>14400</v>
      </c>
      <c r="V12" s="11">
        <f t="shared" si="5"/>
        <v>0</v>
      </c>
      <c r="W12" s="11">
        <f t="shared" si="6"/>
        <v>0</v>
      </c>
      <c r="X12" s="11">
        <v>367.48520095269998</v>
      </c>
      <c r="Y12" s="11">
        <f t="shared" si="7"/>
        <v>0</v>
      </c>
      <c r="Z12" s="11">
        <f t="shared" si="8"/>
        <v>0</v>
      </c>
      <c r="AA12" s="7">
        <v>0</v>
      </c>
      <c r="AB12" s="15">
        <f>IFERROR(AA12/1550,0)</f>
        <v>0</v>
      </c>
      <c r="AC12" s="11">
        <v>0</v>
      </c>
      <c r="AD12" s="15">
        <f>IFERROR(AC12/52.25,0)</f>
        <v>0</v>
      </c>
      <c r="AE12" s="11"/>
      <c r="AF12" s="11"/>
      <c r="AG12" s="7">
        <v>-32703</v>
      </c>
      <c r="AH12" s="7">
        <v>0</v>
      </c>
      <c r="AI12" s="7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3"/>
      <c r="AP12" s="11"/>
      <c r="AQ12" s="7"/>
      <c r="AR12" s="7"/>
      <c r="AS12" s="7"/>
      <c r="AT12" s="7"/>
      <c r="AU12" s="7"/>
    </row>
    <row r="13" spans="1:47" x14ac:dyDescent="0.3">
      <c r="A13" s="5" t="s">
        <v>126</v>
      </c>
      <c r="B13" s="5">
        <v>202508</v>
      </c>
      <c r="C13" s="7"/>
      <c r="D13" s="7">
        <v>7</v>
      </c>
      <c r="E13" s="7"/>
      <c r="F13" s="7">
        <v>40303</v>
      </c>
      <c r="G13" s="7">
        <v>177</v>
      </c>
      <c r="H13" s="9">
        <f t="shared" si="0"/>
        <v>4.3917326253628758E-3</v>
      </c>
      <c r="I13" s="9"/>
      <c r="J13" s="7">
        <v>186030</v>
      </c>
      <c r="K13" s="11">
        <f t="shared" si="1"/>
        <v>0</v>
      </c>
      <c r="L13" s="11"/>
      <c r="M13" s="11">
        <v>75.756072748899996</v>
      </c>
      <c r="N13" s="11">
        <f t="shared" si="2"/>
        <v>-75.756072748899996</v>
      </c>
      <c r="O13" s="11"/>
      <c r="P13" s="11"/>
      <c r="Q13" s="11"/>
      <c r="R13" s="7">
        <v>34096</v>
      </c>
      <c r="S13" s="11">
        <f t="shared" si="3"/>
        <v>0</v>
      </c>
      <c r="T13" s="13">
        <f t="shared" si="4"/>
        <v>5.4560652275926795</v>
      </c>
      <c r="U13" s="7">
        <v>15120</v>
      </c>
      <c r="V13" s="11">
        <f t="shared" si="5"/>
        <v>0</v>
      </c>
      <c r="W13" s="11">
        <f t="shared" si="6"/>
        <v>0</v>
      </c>
      <c r="X13" s="11">
        <v>367.33203425620002</v>
      </c>
      <c r="Y13" s="11">
        <f t="shared" si="7"/>
        <v>0</v>
      </c>
      <c r="Z13" s="11">
        <f t="shared" si="8"/>
        <v>0</v>
      </c>
      <c r="AA13" s="7">
        <v>0</v>
      </c>
      <c r="AB13" s="15">
        <f>IFERROR(AA13/1553.3333333333,0)</f>
        <v>0</v>
      </c>
      <c r="AC13" s="11">
        <v>0</v>
      </c>
      <c r="AD13" s="15">
        <f>IFERROR(AC13/52.3166666667,0)</f>
        <v>0</v>
      </c>
      <c r="AE13" s="11"/>
      <c r="AF13" s="11"/>
      <c r="AG13" s="7">
        <v>-27694</v>
      </c>
      <c r="AH13" s="7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3"/>
      <c r="AP13" s="11"/>
      <c r="AQ13" s="7"/>
      <c r="AR13" s="7"/>
      <c r="AS13" s="7"/>
      <c r="AT13" s="7"/>
      <c r="AU13" s="7"/>
    </row>
    <row r="14" spans="1:47" x14ac:dyDescent="0.3">
      <c r="A14" s="5" t="s">
        <v>126</v>
      </c>
      <c r="B14" s="5">
        <v>202509</v>
      </c>
      <c r="C14" s="7"/>
      <c r="D14" s="7">
        <v>7</v>
      </c>
      <c r="E14" s="7"/>
      <c r="F14" s="7">
        <v>39950</v>
      </c>
      <c r="G14" s="7">
        <v>353</v>
      </c>
      <c r="H14" s="9">
        <f t="shared" si="0"/>
        <v>8.8360450563204004E-3</v>
      </c>
      <c r="I14" s="9"/>
      <c r="J14" s="7">
        <v>122760</v>
      </c>
      <c r="K14" s="11">
        <f t="shared" si="1"/>
        <v>0</v>
      </c>
      <c r="L14" s="11"/>
      <c r="M14" s="11">
        <v>40.290600750899998</v>
      </c>
      <c r="N14" s="11">
        <f t="shared" si="2"/>
        <v>-40.290600750899998</v>
      </c>
      <c r="O14" s="11"/>
      <c r="P14" s="11"/>
      <c r="Q14" s="11"/>
      <c r="R14" s="7">
        <v>12833</v>
      </c>
      <c r="S14" s="11">
        <f t="shared" si="3"/>
        <v>0</v>
      </c>
      <c r="T14" s="13">
        <f t="shared" si="4"/>
        <v>9.5659627522792796</v>
      </c>
      <c r="U14" s="7">
        <v>15120</v>
      </c>
      <c r="V14" s="11">
        <f t="shared" si="5"/>
        <v>0</v>
      </c>
      <c r="W14" s="11">
        <f t="shared" si="6"/>
        <v>0</v>
      </c>
      <c r="X14" s="11">
        <v>364.87621288859998</v>
      </c>
      <c r="Y14" s="11">
        <f t="shared" si="7"/>
        <v>0</v>
      </c>
      <c r="Z14" s="11">
        <f t="shared" si="8"/>
        <v>0</v>
      </c>
      <c r="AA14" s="7">
        <v>1132.1666666666999</v>
      </c>
      <c r="AB14" s="15">
        <f>IFERROR(AA14/1556.6666666667,0)</f>
        <v>0.72730192719486664</v>
      </c>
      <c r="AC14" s="11">
        <v>0</v>
      </c>
      <c r="AD14" s="15">
        <f>IFERROR(AC14/52.4166666667,0)</f>
        <v>0</v>
      </c>
      <c r="AE14" s="11"/>
      <c r="AF14" s="11"/>
      <c r="AG14" s="7">
        <v>10087</v>
      </c>
      <c r="AH14" s="7">
        <v>0</v>
      </c>
      <c r="AI14" s="7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3"/>
      <c r="AP14" s="11"/>
      <c r="AQ14" s="7"/>
      <c r="AR14" s="7"/>
      <c r="AS14" s="7"/>
      <c r="AT14" s="7"/>
      <c r="AU14" s="7"/>
    </row>
    <row r="15" spans="1:47" x14ac:dyDescent="0.3">
      <c r="A15" s="5" t="s">
        <v>126</v>
      </c>
      <c r="B15" s="5">
        <v>202510</v>
      </c>
      <c r="C15" s="7"/>
      <c r="D15" s="7">
        <v>7</v>
      </c>
      <c r="E15" s="7"/>
      <c r="F15" s="7">
        <v>39633</v>
      </c>
      <c r="G15" s="7">
        <v>317</v>
      </c>
      <c r="H15" s="9">
        <f t="shared" si="0"/>
        <v>7.9983851840637853E-3</v>
      </c>
      <c r="I15" s="9"/>
      <c r="J15" s="7">
        <v>60660</v>
      </c>
      <c r="K15" s="11">
        <f t="shared" si="1"/>
        <v>0</v>
      </c>
      <c r="L15" s="11"/>
      <c r="M15" s="11">
        <v>21.347324199500001</v>
      </c>
      <c r="N15" s="11">
        <f t="shared" si="2"/>
        <v>-21.347324199500001</v>
      </c>
      <c r="O15" s="11"/>
      <c r="P15" s="11"/>
      <c r="Q15" s="11"/>
      <c r="R15" s="7">
        <v>21755</v>
      </c>
      <c r="S15" s="11">
        <f t="shared" si="3"/>
        <v>0</v>
      </c>
      <c r="T15" s="13">
        <f t="shared" si="4"/>
        <v>2.7883245230981384</v>
      </c>
      <c r="U15" s="7">
        <v>15120</v>
      </c>
      <c r="V15" s="11">
        <f t="shared" si="5"/>
        <v>0</v>
      </c>
      <c r="W15" s="11">
        <f t="shared" si="6"/>
        <v>0</v>
      </c>
      <c r="X15" s="11">
        <v>354.76998916500003</v>
      </c>
      <c r="Y15" s="11">
        <f t="shared" si="7"/>
        <v>0</v>
      </c>
      <c r="Z15" s="11">
        <f t="shared" si="8"/>
        <v>0</v>
      </c>
      <c r="AA15" s="7">
        <v>968.83333333329995</v>
      </c>
      <c r="AB15" s="15">
        <f>IFERROR(AA15/1556.6666666667,0)</f>
        <v>0.62237687366163552</v>
      </c>
      <c r="AC15" s="11">
        <v>0</v>
      </c>
      <c r="AD15" s="15">
        <f>IFERROR(AC15/52.5,0)</f>
        <v>0</v>
      </c>
      <c r="AE15" s="11"/>
      <c r="AF15" s="11"/>
      <c r="AG15" s="7">
        <v>1436</v>
      </c>
      <c r="AH15" s="7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3"/>
      <c r="AP15" s="11"/>
      <c r="AQ15" s="7"/>
      <c r="AR15" s="7"/>
      <c r="AS15" s="7"/>
      <c r="AT15" s="7"/>
      <c r="AU15" s="7"/>
    </row>
    <row r="16" spans="1:47" x14ac:dyDescent="0.3">
      <c r="A16" s="5" t="s">
        <v>126</v>
      </c>
      <c r="B16" s="5">
        <v>202511</v>
      </c>
      <c r="C16" s="7"/>
      <c r="D16" s="7">
        <v>7</v>
      </c>
      <c r="E16" s="7"/>
      <c r="F16" s="7">
        <v>39490</v>
      </c>
      <c r="G16" s="7">
        <v>143</v>
      </c>
      <c r="H16" s="9">
        <f t="shared" si="0"/>
        <v>3.6211699164345403E-3</v>
      </c>
      <c r="I16" s="9"/>
      <c r="J16" s="7">
        <v>75510</v>
      </c>
      <c r="K16" s="11">
        <f t="shared" si="1"/>
        <v>0</v>
      </c>
      <c r="L16" s="11"/>
      <c r="M16" s="11">
        <v>24.309230184899999</v>
      </c>
      <c r="N16" s="11">
        <f t="shared" si="2"/>
        <v>-24.309230184899999</v>
      </c>
      <c r="O16" s="11"/>
      <c r="P16" s="11"/>
      <c r="Q16" s="11"/>
      <c r="R16" s="7">
        <v>34044</v>
      </c>
      <c r="S16" s="11">
        <f t="shared" si="3"/>
        <v>0</v>
      </c>
      <c r="T16" s="13">
        <f t="shared" si="4"/>
        <v>2.2180119844906589</v>
      </c>
      <c r="U16" s="7">
        <v>15120</v>
      </c>
      <c r="V16" s="11">
        <f t="shared" si="5"/>
        <v>0</v>
      </c>
      <c r="W16" s="11">
        <f t="shared" si="6"/>
        <v>0</v>
      </c>
      <c r="X16" s="11">
        <v>367.72531488660002</v>
      </c>
      <c r="Y16" s="11">
        <f t="shared" si="7"/>
        <v>0</v>
      </c>
      <c r="Z16" s="11">
        <f t="shared" si="8"/>
        <v>0</v>
      </c>
      <c r="AA16" s="7">
        <v>1238.1666666666999</v>
      </c>
      <c r="AB16" s="15">
        <f>IFERROR(AA16/1556.6666666667,0)</f>
        <v>0.79539614561028271</v>
      </c>
      <c r="AC16" s="11">
        <v>0</v>
      </c>
      <c r="AD16" s="15">
        <f>IFERROR(AC16/52.6,0)</f>
        <v>0</v>
      </c>
      <c r="AE16" s="11"/>
      <c r="AF16" s="11"/>
      <c r="AG16" s="7">
        <v>8312</v>
      </c>
      <c r="AH16" s="7">
        <v>0</v>
      </c>
      <c r="AI16" s="7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3"/>
      <c r="AP16" s="11"/>
      <c r="AQ16" s="7"/>
      <c r="AR16" s="7"/>
      <c r="AS16" s="7"/>
      <c r="AT16" s="7"/>
      <c r="AU16" s="7"/>
    </row>
    <row r="17" spans="1:47" x14ac:dyDescent="0.3">
      <c r="A17" s="5" t="s">
        <v>126</v>
      </c>
      <c r="B17" s="5">
        <v>202512</v>
      </c>
      <c r="C17" s="7"/>
      <c r="D17" s="7">
        <v>7</v>
      </c>
      <c r="E17" s="7"/>
      <c r="F17" s="7">
        <v>39368</v>
      </c>
      <c r="G17" s="7">
        <v>122</v>
      </c>
      <c r="H17" s="9">
        <f t="shared" si="0"/>
        <v>3.0989636252794148E-3</v>
      </c>
      <c r="I17" s="9"/>
      <c r="J17" s="7">
        <v>103240</v>
      </c>
      <c r="K17" s="11">
        <f t="shared" si="1"/>
        <v>0</v>
      </c>
      <c r="L17" s="11"/>
      <c r="M17" s="11">
        <v>27.464527026999999</v>
      </c>
      <c r="N17" s="11">
        <f t="shared" si="2"/>
        <v>-27.464527026999999</v>
      </c>
      <c r="O17" s="11"/>
      <c r="P17" s="11"/>
      <c r="Q17" s="11"/>
      <c r="R17" s="7">
        <v>35959</v>
      </c>
      <c r="S17" s="11">
        <f t="shared" si="3"/>
        <v>0</v>
      </c>
      <c r="T17" s="13">
        <f t="shared" si="4"/>
        <v>2.871047581968353</v>
      </c>
      <c r="U17" s="7">
        <v>15120</v>
      </c>
      <c r="V17" s="11">
        <f t="shared" si="5"/>
        <v>0</v>
      </c>
      <c r="W17" s="11">
        <f t="shared" si="6"/>
        <v>0</v>
      </c>
      <c r="X17" s="11">
        <v>352.88571551730001</v>
      </c>
      <c r="Y17" s="11">
        <f t="shared" si="7"/>
        <v>0</v>
      </c>
      <c r="Z17" s="11">
        <f t="shared" si="8"/>
        <v>0</v>
      </c>
      <c r="AA17" s="7">
        <v>1273.1666666666999</v>
      </c>
      <c r="AB17" s="15">
        <f>IFERROR(AA17/1556.6666666667,0)</f>
        <v>0.81788008565310877</v>
      </c>
      <c r="AC17" s="11">
        <v>0</v>
      </c>
      <c r="AD17" s="15">
        <f>IFERROR(AC17/52.6333333333,0)</f>
        <v>0</v>
      </c>
      <c r="AE17" s="11"/>
      <c r="AF17" s="11"/>
      <c r="AG17" s="7">
        <v>5234</v>
      </c>
      <c r="AH17" s="7">
        <v>0</v>
      </c>
      <c r="AI17" s="7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3"/>
      <c r="AP17" s="11"/>
      <c r="AQ17" s="7"/>
      <c r="AR17" s="7"/>
      <c r="AS17" s="7"/>
      <c r="AT17" s="7"/>
      <c r="AU17" s="7"/>
    </row>
    <row r="18" spans="1:47" x14ac:dyDescent="0.3">
      <c r="A18" s="5" t="s">
        <v>126</v>
      </c>
      <c r="B18" s="5">
        <v>202513</v>
      </c>
      <c r="C18" s="7"/>
      <c r="D18" s="7">
        <v>7</v>
      </c>
      <c r="E18" s="7"/>
      <c r="F18" s="7">
        <v>39251</v>
      </c>
      <c r="G18" s="7">
        <v>117</v>
      </c>
      <c r="H18" s="9">
        <f t="shared" si="0"/>
        <v>2.9808157753942574E-3</v>
      </c>
      <c r="I18" s="9"/>
      <c r="J18" s="7">
        <v>162390</v>
      </c>
      <c r="K18" s="11">
        <f t="shared" si="1"/>
        <v>0</v>
      </c>
      <c r="L18" s="11"/>
      <c r="M18" s="11">
        <v>37.783954548899999</v>
      </c>
      <c r="N18" s="11">
        <f t="shared" si="2"/>
        <v>-37.783954548899999</v>
      </c>
      <c r="O18" s="11"/>
      <c r="P18" s="11"/>
      <c r="Q18" s="11"/>
      <c r="R18" s="7">
        <v>36230</v>
      </c>
      <c r="S18" s="11">
        <f t="shared" si="3"/>
        <v>0</v>
      </c>
      <c r="T18" s="13">
        <f t="shared" si="4"/>
        <v>4.4821970742478605</v>
      </c>
      <c r="U18" s="7">
        <v>15120</v>
      </c>
      <c r="V18" s="11">
        <f t="shared" si="5"/>
        <v>0</v>
      </c>
      <c r="W18" s="11">
        <f t="shared" si="6"/>
        <v>0</v>
      </c>
      <c r="X18" s="11">
        <v>367.72089925479997</v>
      </c>
      <c r="Y18" s="11">
        <f t="shared" si="7"/>
        <v>0</v>
      </c>
      <c r="Z18" s="11">
        <f t="shared" si="8"/>
        <v>0</v>
      </c>
      <c r="AA18" s="7">
        <v>555</v>
      </c>
      <c r="AB18" s="15">
        <f>IFERROR(AA18/1558.3333333333,0)</f>
        <v>0.35614973262032845</v>
      </c>
      <c r="AC18" s="11">
        <v>0</v>
      </c>
      <c r="AD18" s="15">
        <f>IFERROR(AC18/52.6833333333,0)</f>
        <v>0</v>
      </c>
      <c r="AE18" s="11"/>
      <c r="AF18" s="11"/>
      <c r="AG18" s="7">
        <v>58576</v>
      </c>
      <c r="AH18" s="7">
        <v>0</v>
      </c>
      <c r="AI18" s="7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3"/>
      <c r="AP18" s="11"/>
      <c r="AQ18" s="7"/>
      <c r="AR18" s="7"/>
      <c r="AS18" s="7"/>
      <c r="AT18" s="7"/>
      <c r="AU18" s="7"/>
    </row>
    <row r="19" spans="1:47" x14ac:dyDescent="0.3">
      <c r="A19" s="5" t="s">
        <v>126</v>
      </c>
      <c r="B19" s="5">
        <v>202514</v>
      </c>
      <c r="C19" s="7"/>
      <c r="D19" s="7">
        <v>7</v>
      </c>
      <c r="E19" s="7"/>
      <c r="F19" s="7">
        <v>39088</v>
      </c>
      <c r="G19" s="7">
        <v>163</v>
      </c>
      <c r="H19" s="9">
        <f t="shared" si="0"/>
        <v>4.170077773229636E-3</v>
      </c>
      <c r="I19" s="9"/>
      <c r="J19" s="7">
        <v>191730</v>
      </c>
      <c r="K19" s="11">
        <f t="shared" si="1"/>
        <v>0</v>
      </c>
      <c r="L19" s="11"/>
      <c r="M19" s="11">
        <v>58.916265861600003</v>
      </c>
      <c r="N19" s="11">
        <f t="shared" si="2"/>
        <v>-58.916265861600003</v>
      </c>
      <c r="O19" s="11"/>
      <c r="P19" s="11"/>
      <c r="Q19" s="11"/>
      <c r="R19" s="7">
        <v>35974</v>
      </c>
      <c r="S19" s="11">
        <f t="shared" si="3"/>
        <v>0</v>
      </c>
      <c r="T19" s="13">
        <f t="shared" si="4"/>
        <v>5.3296825485072556</v>
      </c>
      <c r="U19" s="7">
        <v>15120</v>
      </c>
      <c r="V19" s="11">
        <f t="shared" si="5"/>
        <v>0</v>
      </c>
      <c r="W19" s="11">
        <f t="shared" si="6"/>
        <v>0</v>
      </c>
      <c r="X19" s="11">
        <v>367.75432701400001</v>
      </c>
      <c r="Y19" s="11">
        <f t="shared" si="7"/>
        <v>0</v>
      </c>
      <c r="Z19" s="11">
        <f t="shared" si="8"/>
        <v>0</v>
      </c>
      <c r="AA19" s="7">
        <v>954.66666666670005</v>
      </c>
      <c r="AB19" s="15">
        <f>IFERROR(AA19/1560,0)</f>
        <v>0.61196581196583333</v>
      </c>
      <c r="AC19" s="11">
        <v>0</v>
      </c>
      <c r="AD19" s="15">
        <f>IFERROR(AC19/52.7333333333,0)</f>
        <v>0</v>
      </c>
      <c r="AE19" s="11"/>
      <c r="AF19" s="11"/>
      <c r="AG19" s="7">
        <v>30526</v>
      </c>
      <c r="AH19" s="7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3"/>
      <c r="AP19" s="11"/>
      <c r="AQ19" s="7"/>
      <c r="AR19" s="7"/>
      <c r="AS19" s="7"/>
      <c r="AT19" s="7"/>
      <c r="AU19" s="7"/>
    </row>
    <row r="20" spans="1:47" x14ac:dyDescent="0.3">
      <c r="A20" s="5" t="s">
        <v>126</v>
      </c>
      <c r="B20" s="5">
        <v>202515</v>
      </c>
      <c r="C20" s="7"/>
      <c r="D20" s="7">
        <v>7</v>
      </c>
      <c r="E20" s="7"/>
      <c r="F20" s="7">
        <v>38960</v>
      </c>
      <c r="G20" s="7">
        <v>128</v>
      </c>
      <c r="H20" s="9">
        <f t="shared" si="0"/>
        <v>3.2854209445585215E-3</v>
      </c>
      <c r="I20" s="9"/>
      <c r="J20" s="7">
        <v>200840</v>
      </c>
      <c r="K20" s="11">
        <f t="shared" si="1"/>
        <v>0</v>
      </c>
      <c r="L20" s="11"/>
      <c r="M20" s="11">
        <v>72.381635010300002</v>
      </c>
      <c r="N20" s="11">
        <f t="shared" si="2"/>
        <v>-72.381635010300002</v>
      </c>
      <c r="O20" s="11"/>
      <c r="P20" s="11"/>
      <c r="Q20" s="11"/>
      <c r="R20" s="7">
        <v>36613</v>
      </c>
      <c r="S20" s="11">
        <f t="shared" si="3"/>
        <v>0</v>
      </c>
      <c r="T20" s="13">
        <f t="shared" si="4"/>
        <v>5.4854832982820314</v>
      </c>
      <c r="U20" s="7">
        <v>14400</v>
      </c>
      <c r="V20" s="11">
        <f t="shared" si="5"/>
        <v>0</v>
      </c>
      <c r="W20" s="11">
        <f t="shared" si="6"/>
        <v>0</v>
      </c>
      <c r="X20" s="11">
        <v>367.7785598012</v>
      </c>
      <c r="Y20" s="11">
        <f t="shared" si="7"/>
        <v>0</v>
      </c>
      <c r="Z20" s="11">
        <f t="shared" si="8"/>
        <v>0</v>
      </c>
      <c r="AA20" s="7">
        <v>0</v>
      </c>
      <c r="AB20" s="15">
        <f>IFERROR(AA20/1560,0)</f>
        <v>0</v>
      </c>
      <c r="AC20" s="11">
        <v>0</v>
      </c>
      <c r="AD20" s="15">
        <f>IFERROR(AC20/52.8166666667,0)</f>
        <v>0</v>
      </c>
      <c r="AE20" s="11"/>
      <c r="AF20" s="11"/>
      <c r="AG20" s="7">
        <v>3441</v>
      </c>
      <c r="AH20" s="7">
        <v>0</v>
      </c>
      <c r="AI20" s="7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3"/>
      <c r="AP20" s="11"/>
      <c r="AQ20" s="7"/>
      <c r="AR20" s="7"/>
      <c r="AS20" s="7"/>
      <c r="AT20" s="7"/>
      <c r="AU20" s="7"/>
    </row>
    <row r="21" spans="1:47" x14ac:dyDescent="0.3">
      <c r="A21" s="5" t="s">
        <v>126</v>
      </c>
      <c r="B21" s="5">
        <v>202516</v>
      </c>
      <c r="C21" s="7"/>
      <c r="D21" s="7">
        <v>7</v>
      </c>
      <c r="E21" s="7"/>
      <c r="F21" s="7">
        <v>38850</v>
      </c>
      <c r="G21" s="7">
        <v>110</v>
      </c>
      <c r="H21" s="9">
        <f t="shared" si="0"/>
        <v>2.8314028314028314E-3</v>
      </c>
      <c r="I21" s="9"/>
      <c r="J21" s="7">
        <v>207600</v>
      </c>
      <c r="K21" s="11">
        <f t="shared" si="1"/>
        <v>0</v>
      </c>
      <c r="L21" s="11"/>
      <c r="M21" s="11">
        <v>81.769510939499995</v>
      </c>
      <c r="N21" s="11">
        <f t="shared" si="2"/>
        <v>-81.769510939499995</v>
      </c>
      <c r="O21" s="11"/>
      <c r="P21" s="11"/>
      <c r="Q21" s="11"/>
      <c r="R21" s="7">
        <v>37066</v>
      </c>
      <c r="S21" s="11">
        <f t="shared" si="3"/>
        <v>0</v>
      </c>
      <c r="T21" s="13">
        <f t="shared" si="4"/>
        <v>5.6008201586359467</v>
      </c>
      <c r="U21" s="7">
        <v>15120</v>
      </c>
      <c r="V21" s="11">
        <f t="shared" si="5"/>
        <v>0</v>
      </c>
      <c r="W21" s="11">
        <f t="shared" si="6"/>
        <v>0</v>
      </c>
      <c r="X21" s="11">
        <v>367.66258970489997</v>
      </c>
      <c r="Y21" s="11">
        <f t="shared" si="7"/>
        <v>0</v>
      </c>
      <c r="Z21" s="11">
        <f t="shared" si="8"/>
        <v>0</v>
      </c>
      <c r="AA21" s="7">
        <v>1592.8333333333001</v>
      </c>
      <c r="AB21" s="15">
        <f>IFERROR(AA21/1563.3333333333,0)</f>
        <v>1.0188699360341156</v>
      </c>
      <c r="AC21" s="11">
        <v>0</v>
      </c>
      <c r="AD21" s="15">
        <f>IFERROR(AC21/52.9166666667,0)</f>
        <v>0</v>
      </c>
      <c r="AE21" s="11"/>
      <c r="AF21" s="11"/>
      <c r="AG21" s="7">
        <v>-14772</v>
      </c>
      <c r="AH21" s="7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3"/>
      <c r="AP21" s="11"/>
      <c r="AQ21" s="7"/>
      <c r="AR21" s="7"/>
      <c r="AS21" s="7"/>
      <c r="AT21" s="7"/>
      <c r="AU21" s="7"/>
    </row>
    <row r="22" spans="1:47" x14ac:dyDescent="0.3">
      <c r="A22" s="5" t="s">
        <v>126</v>
      </c>
      <c r="B22" s="5">
        <v>202517</v>
      </c>
      <c r="C22" s="7"/>
      <c r="D22" s="7">
        <v>7</v>
      </c>
      <c r="E22" s="7"/>
      <c r="F22" s="7">
        <v>38751</v>
      </c>
      <c r="G22" s="7">
        <v>99</v>
      </c>
      <c r="H22" s="9">
        <f t="shared" si="0"/>
        <v>2.554772780057289E-3</v>
      </c>
      <c r="I22" s="9"/>
      <c r="J22" s="7">
        <v>214890</v>
      </c>
      <c r="K22" s="11">
        <f t="shared" si="1"/>
        <v>0</v>
      </c>
      <c r="L22" s="11"/>
      <c r="M22" s="11">
        <v>84.004374080700003</v>
      </c>
      <c r="N22" s="11">
        <f t="shared" si="2"/>
        <v>-84.004374080700003</v>
      </c>
      <c r="O22" s="11"/>
      <c r="P22" s="11"/>
      <c r="Q22" s="11"/>
      <c r="R22" s="7">
        <v>37121</v>
      </c>
      <c r="S22" s="11">
        <f t="shared" si="3"/>
        <v>0</v>
      </c>
      <c r="T22" s="13">
        <f t="shared" si="4"/>
        <v>5.7889065488537481</v>
      </c>
      <c r="U22" s="7">
        <v>14400</v>
      </c>
      <c r="V22" s="11">
        <f t="shared" si="5"/>
        <v>0</v>
      </c>
      <c r="W22" s="11">
        <f t="shared" si="6"/>
        <v>0</v>
      </c>
      <c r="X22" s="11">
        <v>330.32632033469997</v>
      </c>
      <c r="Y22" s="11">
        <f t="shared" si="7"/>
        <v>0</v>
      </c>
      <c r="Z22" s="11">
        <f t="shared" si="8"/>
        <v>0</v>
      </c>
      <c r="AA22" s="7">
        <v>1329.5</v>
      </c>
      <c r="AB22" s="15">
        <f>IFERROR(AA22/1563.3333333333,0)</f>
        <v>0.85042643923242744</v>
      </c>
      <c r="AC22" s="11">
        <v>0</v>
      </c>
      <c r="AD22" s="15">
        <f>IFERROR(AC22/52.9166666667,0)</f>
        <v>0</v>
      </c>
      <c r="AE22" s="11"/>
      <c r="AF22" s="11"/>
      <c r="AG22" s="7">
        <v>-12978</v>
      </c>
      <c r="AH22" s="7">
        <v>0</v>
      </c>
      <c r="AI22" s="7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3"/>
      <c r="AP22" s="11"/>
      <c r="AQ22" s="7"/>
      <c r="AR22" s="7"/>
      <c r="AS22" s="7"/>
      <c r="AT22" s="7"/>
      <c r="AU22" s="7"/>
    </row>
    <row r="23" spans="1:47" x14ac:dyDescent="0.3">
      <c r="A23" s="5" t="s">
        <v>126</v>
      </c>
      <c r="B23" s="5">
        <v>202518</v>
      </c>
      <c r="C23" s="7"/>
      <c r="D23" s="7">
        <v>7</v>
      </c>
      <c r="E23" s="7"/>
      <c r="F23" s="7">
        <v>38649</v>
      </c>
      <c r="G23" s="7">
        <v>102</v>
      </c>
      <c r="H23" s="9">
        <f t="shared" si="0"/>
        <v>2.6391368470076847E-3</v>
      </c>
      <c r="I23" s="9"/>
      <c r="J23" s="7">
        <v>221790</v>
      </c>
      <c r="K23" s="11">
        <f t="shared" si="1"/>
        <v>0</v>
      </c>
      <c r="L23" s="11"/>
      <c r="M23" s="11">
        <v>85.671349840900007</v>
      </c>
      <c r="N23" s="11">
        <f t="shared" si="2"/>
        <v>-85.671349840900007</v>
      </c>
      <c r="O23" s="11"/>
      <c r="P23" s="11"/>
      <c r="Q23" s="11"/>
      <c r="R23" s="7">
        <v>36839</v>
      </c>
      <c r="S23" s="11">
        <f t="shared" si="3"/>
        <v>0</v>
      </c>
      <c r="T23" s="13">
        <f t="shared" si="4"/>
        <v>6.0205217296886451</v>
      </c>
      <c r="U23" s="7">
        <v>15120</v>
      </c>
      <c r="V23" s="11">
        <f t="shared" si="5"/>
        <v>0</v>
      </c>
      <c r="W23" s="11">
        <f t="shared" si="6"/>
        <v>0</v>
      </c>
      <c r="X23" s="11">
        <v>343.71904747690002</v>
      </c>
      <c r="Y23" s="11">
        <f t="shared" si="7"/>
        <v>0</v>
      </c>
      <c r="Z23" s="11">
        <f t="shared" si="8"/>
        <v>0</v>
      </c>
      <c r="AA23" s="7">
        <v>1572.1666666666999</v>
      </c>
      <c r="AB23" s="15">
        <f>IFERROR(AA23/1563.3333333333,0)</f>
        <v>1.0056503198294671</v>
      </c>
      <c r="AC23" s="11">
        <v>0</v>
      </c>
      <c r="AD23" s="15">
        <f>IFERROR(AC23/52.9833333333,0)</f>
        <v>0</v>
      </c>
      <c r="AE23" s="11"/>
      <c r="AF23" s="11"/>
      <c r="AG23" s="7">
        <v>-9988</v>
      </c>
      <c r="AH23" s="7">
        <v>0</v>
      </c>
      <c r="AI23" s="7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3"/>
      <c r="AP23" s="11"/>
      <c r="AQ23" s="7"/>
      <c r="AR23" s="7"/>
      <c r="AS23" s="7"/>
      <c r="AT23" s="7"/>
      <c r="AU23" s="7"/>
    </row>
    <row r="24" spans="1:47" x14ac:dyDescent="0.3">
      <c r="A24" s="5" t="s">
        <v>126</v>
      </c>
      <c r="B24" s="5">
        <v>202519</v>
      </c>
      <c r="C24" s="7"/>
      <c r="D24" s="7">
        <v>7</v>
      </c>
      <c r="E24" s="7"/>
      <c r="F24" s="7">
        <v>38559</v>
      </c>
      <c r="G24" s="7">
        <v>90</v>
      </c>
      <c r="H24" s="9">
        <f t="shared" si="0"/>
        <v>2.3340854275266474E-3</v>
      </c>
      <c r="I24" s="9"/>
      <c r="J24" s="7">
        <v>219060</v>
      </c>
      <c r="K24" s="11">
        <f t="shared" si="1"/>
        <v>0</v>
      </c>
      <c r="L24" s="11"/>
      <c r="M24" s="11">
        <v>84.697593298599998</v>
      </c>
      <c r="N24" s="11">
        <f t="shared" si="2"/>
        <v>-84.697593298599998</v>
      </c>
      <c r="O24" s="11"/>
      <c r="P24" s="11"/>
      <c r="Q24" s="11"/>
      <c r="R24" s="7">
        <v>37077</v>
      </c>
      <c r="S24" s="11">
        <f t="shared" si="3"/>
        <v>0</v>
      </c>
      <c r="T24" s="13">
        <f t="shared" si="4"/>
        <v>5.9082450036410714</v>
      </c>
      <c r="U24" s="7">
        <v>15121</v>
      </c>
      <c r="V24" s="11">
        <f t="shared" si="5"/>
        <v>0</v>
      </c>
      <c r="W24" s="11">
        <f t="shared" si="6"/>
        <v>0</v>
      </c>
      <c r="X24" s="11">
        <v>367.71491436740001</v>
      </c>
      <c r="Y24" s="11">
        <f t="shared" si="7"/>
        <v>0</v>
      </c>
      <c r="Z24" s="11">
        <f t="shared" si="8"/>
        <v>0</v>
      </c>
      <c r="AA24" s="7">
        <v>1622</v>
      </c>
      <c r="AB24" s="15">
        <f>IFERROR(AA24/1566.6666666667,0)</f>
        <v>1.0353191489361482</v>
      </c>
      <c r="AC24" s="11">
        <v>0</v>
      </c>
      <c r="AD24" s="15">
        <f>IFERROR(AC24/53.05,0)</f>
        <v>0</v>
      </c>
      <c r="AE24" s="11"/>
      <c r="AF24" s="11"/>
      <c r="AG24" s="7">
        <v>-9550</v>
      </c>
      <c r="AH24" s="7">
        <v>0</v>
      </c>
      <c r="AI24" s="7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3"/>
      <c r="AP24" s="11"/>
      <c r="AQ24" s="7"/>
      <c r="AR24" s="7"/>
      <c r="AS24" s="7"/>
      <c r="AT24" s="7"/>
      <c r="AU24" s="7"/>
    </row>
    <row r="25" spans="1:47" x14ac:dyDescent="0.3">
      <c r="A25" s="5" t="s">
        <v>126</v>
      </c>
      <c r="B25" s="5">
        <v>202520</v>
      </c>
      <c r="C25" s="7"/>
      <c r="D25" s="7">
        <v>7</v>
      </c>
      <c r="E25" s="7"/>
      <c r="F25" s="7">
        <v>38473</v>
      </c>
      <c r="G25" s="7">
        <v>86</v>
      </c>
      <c r="H25" s="9">
        <f t="shared" si="0"/>
        <v>2.2353338705065891E-3</v>
      </c>
      <c r="I25" s="9"/>
      <c r="J25" s="7">
        <v>216360</v>
      </c>
      <c r="K25" s="11">
        <f t="shared" si="1"/>
        <v>0</v>
      </c>
      <c r="L25" s="11"/>
      <c r="M25" s="11">
        <v>85.421412419099994</v>
      </c>
      <c r="N25" s="11">
        <f t="shared" si="2"/>
        <v>-85.421412419099994</v>
      </c>
      <c r="O25" s="11"/>
      <c r="P25" s="11"/>
      <c r="Q25" s="11"/>
      <c r="R25" s="7">
        <v>36845</v>
      </c>
      <c r="S25" s="11">
        <f t="shared" si="3"/>
        <v>0</v>
      </c>
      <c r="T25" s="13">
        <f t="shared" si="4"/>
        <v>5.8721671868638889</v>
      </c>
      <c r="U25" s="7">
        <v>15120</v>
      </c>
      <c r="V25" s="11">
        <f t="shared" si="5"/>
        <v>0</v>
      </c>
      <c r="W25" s="11">
        <f t="shared" si="6"/>
        <v>0</v>
      </c>
      <c r="X25" s="11">
        <v>367.73303189040001</v>
      </c>
      <c r="Y25" s="11">
        <f t="shared" si="7"/>
        <v>0</v>
      </c>
      <c r="Z25" s="11">
        <f t="shared" si="8"/>
        <v>0</v>
      </c>
      <c r="AA25" s="7">
        <v>1613.1666666666999</v>
      </c>
      <c r="AB25" s="15">
        <f>IFERROR(AA25/1566.6666666667,0)</f>
        <v>1.0296808510638291</v>
      </c>
      <c r="AC25" s="11">
        <v>0</v>
      </c>
      <c r="AD25" s="15">
        <f>IFERROR(AC25/53.1333333333,0)</f>
        <v>0</v>
      </c>
      <c r="AE25" s="11"/>
      <c r="AF25" s="11"/>
      <c r="AG25" s="7">
        <v>-13689</v>
      </c>
      <c r="AH25" s="7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3"/>
      <c r="AP25" s="11"/>
      <c r="AQ25" s="7"/>
      <c r="AR25" s="7"/>
      <c r="AS25" s="7"/>
      <c r="AT25" s="7"/>
      <c r="AU25" s="7"/>
    </row>
    <row r="26" spans="1:47" x14ac:dyDescent="0.3">
      <c r="A26" s="5" t="s">
        <v>126</v>
      </c>
      <c r="B26" s="5">
        <v>202521</v>
      </c>
      <c r="C26" s="7"/>
      <c r="D26" s="7">
        <v>7</v>
      </c>
      <c r="E26" s="7"/>
      <c r="F26" s="7">
        <v>38393</v>
      </c>
      <c r="G26" s="7">
        <v>80</v>
      </c>
      <c r="H26" s="9">
        <f t="shared" si="0"/>
        <v>2.0837131768812025E-3</v>
      </c>
      <c r="I26" s="9"/>
      <c r="J26" s="7">
        <v>213200</v>
      </c>
      <c r="K26" s="11">
        <f t="shared" si="1"/>
        <v>0</v>
      </c>
      <c r="L26" s="11"/>
      <c r="M26" s="11">
        <v>85.315213710799995</v>
      </c>
      <c r="N26" s="11">
        <f t="shared" si="2"/>
        <v>-85.315213710799995</v>
      </c>
      <c r="O26" s="11"/>
      <c r="P26" s="11"/>
      <c r="Q26" s="11"/>
      <c r="R26" s="7">
        <v>36361</v>
      </c>
      <c r="S26" s="11">
        <f t="shared" si="3"/>
        <v>0</v>
      </c>
      <c r="T26" s="13">
        <f t="shared" si="4"/>
        <v>5.8634250983196283</v>
      </c>
      <c r="U26" s="7">
        <v>15120</v>
      </c>
      <c r="V26" s="11">
        <f t="shared" si="5"/>
        <v>0</v>
      </c>
      <c r="W26" s="11">
        <f t="shared" si="6"/>
        <v>0</v>
      </c>
      <c r="X26" s="11">
        <v>367.5888116388</v>
      </c>
      <c r="Y26" s="11">
        <f t="shared" si="7"/>
        <v>0</v>
      </c>
      <c r="Z26" s="11">
        <f t="shared" si="8"/>
        <v>0</v>
      </c>
      <c r="AA26" s="7">
        <v>988.33333333329995</v>
      </c>
      <c r="AB26" s="15">
        <f>IFERROR(AA26/1566.6666666667,0)</f>
        <v>0.63085106382975253</v>
      </c>
      <c r="AC26" s="11">
        <v>0</v>
      </c>
      <c r="AD26" s="15">
        <f>IFERROR(AC26/53.2,0)</f>
        <v>0</v>
      </c>
      <c r="AE26" s="11"/>
      <c r="AF26" s="11"/>
      <c r="AG26" s="7">
        <v>-16085</v>
      </c>
      <c r="AH26" s="7">
        <v>0</v>
      </c>
      <c r="AI26" s="7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3"/>
      <c r="AP26" s="11"/>
      <c r="AQ26" s="7"/>
      <c r="AR26" s="7"/>
      <c r="AS26" s="7"/>
      <c r="AT26" s="7"/>
      <c r="AU26" s="7"/>
    </row>
    <row r="27" spans="1:47" x14ac:dyDescent="0.3">
      <c r="A27" s="5" t="s">
        <v>126</v>
      </c>
      <c r="B27" s="5">
        <v>202522</v>
      </c>
      <c r="C27" s="7"/>
      <c r="D27" s="7">
        <v>7</v>
      </c>
      <c r="E27" s="7"/>
      <c r="F27" s="7">
        <v>38307</v>
      </c>
      <c r="G27" s="7">
        <v>86</v>
      </c>
      <c r="H27" s="9">
        <f t="shared" si="0"/>
        <v>2.2450204923382148E-3</v>
      </c>
      <c r="I27" s="9"/>
      <c r="J27" s="7">
        <v>213540</v>
      </c>
      <c r="K27" s="11">
        <f t="shared" si="1"/>
        <v>0</v>
      </c>
      <c r="L27" s="11"/>
      <c r="M27" s="11">
        <v>84.422951418799997</v>
      </c>
      <c r="N27" s="11">
        <f t="shared" si="2"/>
        <v>-84.422951418799997</v>
      </c>
      <c r="O27" s="11"/>
      <c r="P27" s="11"/>
      <c r="Q27" s="11"/>
      <c r="R27" s="7">
        <v>36319</v>
      </c>
      <c r="S27" s="11">
        <f t="shared" si="3"/>
        <v>0</v>
      </c>
      <c r="T27" s="13">
        <f t="shared" si="4"/>
        <v>5.8795671686995785</v>
      </c>
      <c r="U27" s="7">
        <v>15120</v>
      </c>
      <c r="V27" s="11">
        <f t="shared" si="5"/>
        <v>0</v>
      </c>
      <c r="W27" s="11">
        <f t="shared" si="6"/>
        <v>0</v>
      </c>
      <c r="X27" s="11">
        <v>367.60208072910001</v>
      </c>
      <c r="Y27" s="11">
        <f t="shared" si="7"/>
        <v>0</v>
      </c>
      <c r="Z27" s="11">
        <f t="shared" si="8"/>
        <v>0</v>
      </c>
      <c r="AA27" s="7">
        <v>1611</v>
      </c>
      <c r="AB27" s="15">
        <f t="shared" ref="AB27:AB33" si="9">IFERROR(AA27/1570,0)</f>
        <v>1.0261146496815288</v>
      </c>
      <c r="AC27" s="11">
        <v>0</v>
      </c>
      <c r="AD27" s="15">
        <f>IFERROR(AC27/53.2,0)</f>
        <v>0</v>
      </c>
      <c r="AE27" s="11"/>
      <c r="AF27" s="11"/>
      <c r="AG27" s="7">
        <v>-12839</v>
      </c>
      <c r="AH27" s="7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3"/>
      <c r="AP27" s="11"/>
      <c r="AQ27" s="7"/>
      <c r="AR27" s="7"/>
      <c r="AS27" s="7"/>
      <c r="AT27" s="7"/>
      <c r="AU27" s="7"/>
    </row>
    <row r="28" spans="1:47" x14ac:dyDescent="0.3">
      <c r="A28" s="5" t="s">
        <v>126</v>
      </c>
      <c r="B28" s="5">
        <v>202523</v>
      </c>
      <c r="C28" s="7"/>
      <c r="D28" s="7">
        <v>7</v>
      </c>
      <c r="E28" s="7"/>
      <c r="F28" s="7">
        <v>38234</v>
      </c>
      <c r="G28" s="7">
        <v>73</v>
      </c>
      <c r="H28" s="9">
        <f t="shared" si="0"/>
        <v>1.9092953915363288E-3</v>
      </c>
      <c r="I28" s="9"/>
      <c r="J28" s="7">
        <v>209840</v>
      </c>
      <c r="K28" s="11">
        <f t="shared" si="1"/>
        <v>0</v>
      </c>
      <c r="L28" s="11"/>
      <c r="M28" s="11">
        <v>84.312679813800003</v>
      </c>
      <c r="N28" s="11">
        <f t="shared" si="2"/>
        <v>-84.312679813800003</v>
      </c>
      <c r="O28" s="11"/>
      <c r="P28" s="11"/>
      <c r="Q28" s="11"/>
      <c r="R28" s="7">
        <v>34645</v>
      </c>
      <c r="S28" s="11">
        <f t="shared" si="3"/>
        <v>0</v>
      </c>
      <c r="T28" s="13">
        <f t="shared" si="4"/>
        <v>6.0568624621157454</v>
      </c>
      <c r="U28" s="7">
        <v>15120</v>
      </c>
      <c r="V28" s="11">
        <f t="shared" si="5"/>
        <v>0</v>
      </c>
      <c r="W28" s="11">
        <f t="shared" si="6"/>
        <v>0</v>
      </c>
      <c r="X28" s="11">
        <v>366.66214048619997</v>
      </c>
      <c r="Y28" s="11">
        <f t="shared" si="7"/>
        <v>0</v>
      </c>
      <c r="Z28" s="11">
        <f t="shared" si="8"/>
        <v>0</v>
      </c>
      <c r="AA28" s="7">
        <v>1524.8333333333001</v>
      </c>
      <c r="AB28" s="15">
        <f t="shared" si="9"/>
        <v>0.97123142250528671</v>
      </c>
      <c r="AC28" s="11">
        <v>0</v>
      </c>
      <c r="AD28" s="15">
        <f>IFERROR(AC28/53.2333333333,0)</f>
        <v>0</v>
      </c>
      <c r="AE28" s="11"/>
      <c r="AF28" s="11"/>
      <c r="AG28" s="7">
        <v>-15813</v>
      </c>
      <c r="AH28" s="7">
        <v>0</v>
      </c>
      <c r="AI28" s="7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3"/>
      <c r="AP28" s="11"/>
      <c r="AQ28" s="7"/>
      <c r="AR28" s="7"/>
      <c r="AS28" s="7"/>
      <c r="AT28" s="7"/>
      <c r="AU28" s="7"/>
    </row>
    <row r="29" spans="1:47" x14ac:dyDescent="0.3">
      <c r="A29" s="5" t="s">
        <v>126</v>
      </c>
      <c r="B29" s="5">
        <v>202524</v>
      </c>
      <c r="C29" s="7"/>
      <c r="D29" s="7">
        <v>7</v>
      </c>
      <c r="E29" s="7"/>
      <c r="F29" s="7">
        <v>38136</v>
      </c>
      <c r="G29" s="7">
        <v>98</v>
      </c>
      <c r="H29" s="9">
        <f t="shared" si="0"/>
        <v>2.5697503671071953E-3</v>
      </c>
      <c r="I29" s="9"/>
      <c r="J29" s="7">
        <v>210450</v>
      </c>
      <c r="K29" s="11">
        <f t="shared" si="1"/>
        <v>0</v>
      </c>
      <c r="L29" s="11"/>
      <c r="M29" s="11">
        <v>83.418135095400004</v>
      </c>
      <c r="N29" s="11">
        <f t="shared" si="2"/>
        <v>-83.418135095400004</v>
      </c>
      <c r="O29" s="11"/>
      <c r="P29" s="11"/>
      <c r="Q29" s="11"/>
      <c r="R29" s="7">
        <v>35172</v>
      </c>
      <c r="S29" s="11">
        <f t="shared" si="3"/>
        <v>0</v>
      </c>
      <c r="T29" s="13">
        <f t="shared" si="4"/>
        <v>5.9834527465029002</v>
      </c>
      <c r="U29" s="7">
        <v>15120</v>
      </c>
      <c r="V29" s="11">
        <f t="shared" si="5"/>
        <v>0</v>
      </c>
      <c r="W29" s="11">
        <f t="shared" si="6"/>
        <v>0</v>
      </c>
      <c r="X29" s="11">
        <v>366.55593625609998</v>
      </c>
      <c r="Y29" s="11">
        <f t="shared" si="7"/>
        <v>0</v>
      </c>
      <c r="Z29" s="11">
        <f t="shared" si="8"/>
        <v>0</v>
      </c>
      <c r="AA29" s="7">
        <v>1603.1666666666999</v>
      </c>
      <c r="AB29" s="15">
        <f t="shared" si="9"/>
        <v>1.0211252653928025</v>
      </c>
      <c r="AC29" s="11">
        <v>0</v>
      </c>
      <c r="AD29" s="15">
        <f>IFERROR(AC29/53.2666666667,0)</f>
        <v>0</v>
      </c>
      <c r="AE29" s="11"/>
      <c r="AF29" s="11"/>
      <c r="AG29" s="7">
        <v>-12236</v>
      </c>
      <c r="AH29" s="7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3"/>
      <c r="AP29" s="11"/>
      <c r="AQ29" s="7"/>
      <c r="AR29" s="7"/>
      <c r="AS29" s="7"/>
      <c r="AT29" s="7"/>
      <c r="AU29" s="7"/>
    </row>
    <row r="30" spans="1:47" x14ac:dyDescent="0.3">
      <c r="A30" s="5" t="s">
        <v>126</v>
      </c>
      <c r="B30" s="5">
        <v>202525</v>
      </c>
      <c r="C30" s="7"/>
      <c r="D30" s="7">
        <v>7</v>
      </c>
      <c r="E30" s="7"/>
      <c r="F30" s="7">
        <v>38025</v>
      </c>
      <c r="G30" s="7">
        <v>111</v>
      </c>
      <c r="H30" s="9">
        <f t="shared" si="0"/>
        <v>2.9191321499013809E-3</v>
      </c>
      <c r="I30" s="9"/>
      <c r="J30" s="7">
        <v>210300</v>
      </c>
      <c r="K30" s="11">
        <f t="shared" si="1"/>
        <v>0</v>
      </c>
      <c r="L30" s="11"/>
      <c r="M30" s="11">
        <v>83.308007889500004</v>
      </c>
      <c r="N30" s="11">
        <f t="shared" si="2"/>
        <v>-83.308007889500004</v>
      </c>
      <c r="O30" s="11"/>
      <c r="P30" s="11"/>
      <c r="Q30" s="11"/>
      <c r="R30" s="7">
        <v>35396</v>
      </c>
      <c r="S30" s="11">
        <f t="shared" si="3"/>
        <v>0</v>
      </c>
      <c r="T30" s="13">
        <f t="shared" si="4"/>
        <v>5.9413493050062156</v>
      </c>
      <c r="U30" s="7">
        <v>15120</v>
      </c>
      <c r="V30" s="11">
        <f t="shared" si="5"/>
        <v>0</v>
      </c>
      <c r="W30" s="11">
        <f t="shared" si="6"/>
        <v>0</v>
      </c>
      <c r="X30" s="11">
        <v>360.50673239909997</v>
      </c>
      <c r="Y30" s="11">
        <f t="shared" si="7"/>
        <v>0</v>
      </c>
      <c r="Z30" s="11">
        <f t="shared" si="8"/>
        <v>0</v>
      </c>
      <c r="AA30" s="7">
        <v>0</v>
      </c>
      <c r="AB30" s="15">
        <f t="shared" si="9"/>
        <v>0</v>
      </c>
      <c r="AC30" s="11">
        <v>0</v>
      </c>
      <c r="AD30" s="15">
        <f>IFERROR(AC30/53.3333333333,0)</f>
        <v>0</v>
      </c>
      <c r="AE30" s="11"/>
      <c r="AF30" s="11"/>
      <c r="AG30" s="7">
        <v>-11445</v>
      </c>
      <c r="AH30" s="7">
        <v>0</v>
      </c>
      <c r="AI30" s="7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3"/>
      <c r="AP30" s="11"/>
      <c r="AQ30" s="7"/>
      <c r="AR30" s="7"/>
      <c r="AS30" s="7"/>
      <c r="AT30" s="7"/>
      <c r="AU30" s="7"/>
    </row>
    <row r="31" spans="1:47" x14ac:dyDescent="0.3">
      <c r="A31" s="5" t="s">
        <v>126</v>
      </c>
      <c r="B31" s="5">
        <v>202526</v>
      </c>
      <c r="C31" s="7"/>
      <c r="D31" s="7">
        <v>7</v>
      </c>
      <c r="E31" s="7"/>
      <c r="F31" s="7">
        <v>37936</v>
      </c>
      <c r="G31" s="7">
        <v>89</v>
      </c>
      <c r="H31" s="9">
        <f t="shared" si="0"/>
        <v>2.3460565162378745E-3</v>
      </c>
      <c r="I31" s="9"/>
      <c r="J31" s="7">
        <v>208750</v>
      </c>
      <c r="K31" s="11">
        <f t="shared" si="1"/>
        <v>0</v>
      </c>
      <c r="L31" s="11"/>
      <c r="M31" s="11">
        <v>81.944801771399995</v>
      </c>
      <c r="N31" s="11">
        <f t="shared" si="2"/>
        <v>-81.944801771399995</v>
      </c>
      <c r="O31" s="11"/>
      <c r="P31" s="11"/>
      <c r="Q31" s="11"/>
      <c r="R31" s="7">
        <v>35017</v>
      </c>
      <c r="S31" s="11">
        <f t="shared" si="3"/>
        <v>0</v>
      </c>
      <c r="T31" s="13">
        <f t="shared" si="4"/>
        <v>5.9613901819116428</v>
      </c>
      <c r="U31" s="7">
        <v>15120</v>
      </c>
      <c r="V31" s="11">
        <f t="shared" si="5"/>
        <v>0</v>
      </c>
      <c r="W31" s="11">
        <f t="shared" si="6"/>
        <v>0</v>
      </c>
      <c r="X31" s="11">
        <v>367.66908073219997</v>
      </c>
      <c r="Y31" s="11">
        <f t="shared" si="7"/>
        <v>0</v>
      </c>
      <c r="Z31" s="11">
        <f t="shared" si="8"/>
        <v>0</v>
      </c>
      <c r="AA31" s="7">
        <v>0</v>
      </c>
      <c r="AB31" s="15">
        <f t="shared" si="9"/>
        <v>0</v>
      </c>
      <c r="AC31" s="11">
        <v>0</v>
      </c>
      <c r="AD31" s="15">
        <f>IFERROR(AC31/53.3666666667,0)</f>
        <v>0</v>
      </c>
      <c r="AE31" s="11"/>
      <c r="AF31" s="11"/>
      <c r="AG31" s="7">
        <v>-8856</v>
      </c>
      <c r="AH31" s="7">
        <v>0</v>
      </c>
      <c r="AI31" s="7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3"/>
      <c r="AP31" s="11"/>
      <c r="AQ31" s="7"/>
      <c r="AR31" s="7"/>
      <c r="AS31" s="7"/>
      <c r="AT31" s="7"/>
      <c r="AU31" s="7"/>
    </row>
    <row r="32" spans="1:47" x14ac:dyDescent="0.3">
      <c r="A32" s="5" t="s">
        <v>126</v>
      </c>
      <c r="B32" s="5">
        <v>202527</v>
      </c>
      <c r="C32" s="7"/>
      <c r="D32" s="7">
        <v>7</v>
      </c>
      <c r="E32" s="7"/>
      <c r="F32" s="7">
        <v>37833</v>
      </c>
      <c r="G32" s="7">
        <v>103</v>
      </c>
      <c r="H32" s="9">
        <f t="shared" si="0"/>
        <v>2.7224909470568021E-3</v>
      </c>
      <c r="I32" s="9"/>
      <c r="J32" s="7">
        <v>206460</v>
      </c>
      <c r="K32" s="11">
        <f t="shared" si="1"/>
        <v>0</v>
      </c>
      <c r="L32" s="11"/>
      <c r="M32" s="11">
        <v>81.644292020199998</v>
      </c>
      <c r="N32" s="11">
        <f t="shared" si="2"/>
        <v>-81.644292020199998</v>
      </c>
      <c r="O32" s="11"/>
      <c r="P32" s="11"/>
      <c r="Q32" s="11"/>
      <c r="R32" s="7">
        <v>34508</v>
      </c>
      <c r="S32" s="11">
        <f t="shared" si="3"/>
        <v>0</v>
      </c>
      <c r="T32" s="13">
        <f t="shared" si="4"/>
        <v>5.9829604729338124</v>
      </c>
      <c r="U32" s="7">
        <v>15120</v>
      </c>
      <c r="V32" s="11">
        <f t="shared" si="5"/>
        <v>0</v>
      </c>
      <c r="W32" s="11">
        <f t="shared" si="6"/>
        <v>0</v>
      </c>
      <c r="X32" s="11">
        <v>367.63009765850001</v>
      </c>
      <c r="Y32" s="11">
        <f t="shared" si="7"/>
        <v>0</v>
      </c>
      <c r="Z32" s="11">
        <f t="shared" si="8"/>
        <v>0</v>
      </c>
      <c r="AA32" s="7">
        <v>1635.3333333333001</v>
      </c>
      <c r="AB32" s="15">
        <f t="shared" si="9"/>
        <v>1.0416135881103823</v>
      </c>
      <c r="AC32" s="11">
        <v>0</v>
      </c>
      <c r="AD32" s="15">
        <f>IFERROR(AC32/53.4166666667,0)</f>
        <v>0</v>
      </c>
      <c r="AE32" s="11"/>
      <c r="AF32" s="11"/>
      <c r="AG32" s="7">
        <v>-9759</v>
      </c>
      <c r="AH32" s="7">
        <v>0</v>
      </c>
      <c r="AI32" s="7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3"/>
      <c r="AP32" s="11"/>
      <c r="AQ32" s="7"/>
      <c r="AR32" s="7"/>
      <c r="AS32" s="7"/>
      <c r="AT32" s="7"/>
      <c r="AU32" s="7"/>
    </row>
    <row r="33" spans="1:47" x14ac:dyDescent="0.3">
      <c r="A33" s="5" t="s">
        <v>126</v>
      </c>
      <c r="B33" s="5">
        <v>202528</v>
      </c>
      <c r="C33" s="7"/>
      <c r="D33" s="7">
        <v>7</v>
      </c>
      <c r="E33" s="7"/>
      <c r="F33" s="7">
        <v>37755</v>
      </c>
      <c r="G33" s="7">
        <v>78</v>
      </c>
      <c r="H33" s="9">
        <f t="shared" si="0"/>
        <v>2.0659515295987285E-3</v>
      </c>
      <c r="I33" s="9"/>
      <c r="J33" s="7">
        <v>203520</v>
      </c>
      <c r="K33" s="11">
        <f t="shared" si="1"/>
        <v>0</v>
      </c>
      <c r="L33" s="11"/>
      <c r="M33" s="11">
        <v>80.354655012600006</v>
      </c>
      <c r="N33" s="11">
        <f t="shared" si="2"/>
        <v>-80.354655012600006</v>
      </c>
      <c r="O33" s="11"/>
      <c r="P33" s="11"/>
      <c r="Q33" s="11"/>
      <c r="R33" s="7">
        <v>35369</v>
      </c>
      <c r="S33" s="11">
        <f t="shared" si="3"/>
        <v>0</v>
      </c>
      <c r="T33" s="13">
        <f t="shared" si="4"/>
        <v>5.7541915236506549</v>
      </c>
      <c r="U33" s="7">
        <v>15120</v>
      </c>
      <c r="V33" s="11">
        <f t="shared" si="5"/>
        <v>0</v>
      </c>
      <c r="W33" s="11">
        <f t="shared" si="6"/>
        <v>0</v>
      </c>
      <c r="X33" s="11">
        <v>366.53928835990001</v>
      </c>
      <c r="Y33" s="11">
        <f t="shared" si="7"/>
        <v>0</v>
      </c>
      <c r="Z33" s="11">
        <f t="shared" si="8"/>
        <v>0</v>
      </c>
      <c r="AA33" s="7">
        <v>360</v>
      </c>
      <c r="AB33" s="15">
        <f t="shared" si="9"/>
        <v>0.22929936305732485</v>
      </c>
      <c r="AC33" s="11">
        <v>0</v>
      </c>
      <c r="AD33" s="15">
        <f>IFERROR(AC33/53.4166666667,0)</f>
        <v>0</v>
      </c>
      <c r="AE33" s="11"/>
      <c r="AF33" s="11"/>
      <c r="AG33" s="7">
        <v>-8845</v>
      </c>
      <c r="AH33" s="7">
        <v>0</v>
      </c>
      <c r="AI33" s="7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3"/>
      <c r="AP33" s="11"/>
      <c r="AQ33" s="7"/>
      <c r="AR33" s="7"/>
      <c r="AS33" s="7"/>
      <c r="AT33" s="7"/>
      <c r="AU33" s="7"/>
    </row>
    <row r="34" spans="1:47" x14ac:dyDescent="0.3">
      <c r="A34" s="5" t="s">
        <v>126</v>
      </c>
      <c r="B34" s="5">
        <v>202529</v>
      </c>
      <c r="C34" s="7"/>
      <c r="D34" s="7">
        <v>7</v>
      </c>
      <c r="E34" s="7"/>
      <c r="F34" s="7">
        <v>37650</v>
      </c>
      <c r="G34" s="7">
        <v>105</v>
      </c>
      <c r="H34" s="9">
        <f t="shared" si="0"/>
        <v>2.7888446215139444E-3</v>
      </c>
      <c r="I34" s="9"/>
      <c r="J34" s="7">
        <v>203190</v>
      </c>
      <c r="K34" s="11">
        <f t="shared" si="1"/>
        <v>0</v>
      </c>
      <c r="L34" s="11"/>
      <c r="M34" s="11">
        <v>80.777715803500001</v>
      </c>
      <c r="N34" s="11">
        <f t="shared" si="2"/>
        <v>-80.777715803500001</v>
      </c>
      <c r="O34" s="11"/>
      <c r="P34" s="11"/>
      <c r="Q34" s="11"/>
      <c r="R34" s="7">
        <v>35978</v>
      </c>
      <c r="S34" s="11">
        <f t="shared" si="3"/>
        <v>0</v>
      </c>
      <c r="T34" s="13">
        <f t="shared" si="4"/>
        <v>5.6476179887709153</v>
      </c>
      <c r="U34" s="7">
        <v>15120</v>
      </c>
      <c r="V34" s="11">
        <f t="shared" si="5"/>
        <v>0</v>
      </c>
      <c r="W34" s="11">
        <f t="shared" si="6"/>
        <v>0</v>
      </c>
      <c r="X34" s="11">
        <v>367.5692856746</v>
      </c>
      <c r="Y34" s="11">
        <f t="shared" si="7"/>
        <v>0</v>
      </c>
      <c r="Z34" s="11">
        <f t="shared" si="8"/>
        <v>0</v>
      </c>
      <c r="AA34" s="7">
        <v>1653.1666666666999</v>
      </c>
      <c r="AB34" s="15">
        <f>IFERROR(AA34/1573.3333333333,0)</f>
        <v>1.0507415254237722</v>
      </c>
      <c r="AC34" s="11">
        <v>0</v>
      </c>
      <c r="AD34" s="15">
        <f>IFERROR(AC34/53.4833333333,0)</f>
        <v>0</v>
      </c>
      <c r="AE34" s="11"/>
      <c r="AF34" s="11"/>
      <c r="AG34" s="7">
        <v>-9700</v>
      </c>
      <c r="AH34" s="7">
        <v>0</v>
      </c>
      <c r="AI34" s="7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3"/>
      <c r="AP34" s="11"/>
      <c r="AQ34" s="7"/>
      <c r="AR34" s="7"/>
      <c r="AS34" s="7"/>
      <c r="AT34" s="7"/>
      <c r="AU34" s="7"/>
    </row>
    <row r="35" spans="1:47" x14ac:dyDescent="0.3">
      <c r="A35" s="5" t="s">
        <v>126</v>
      </c>
      <c r="B35" s="5">
        <v>202530</v>
      </c>
      <c r="C35" s="7"/>
      <c r="D35" s="7">
        <v>7</v>
      </c>
      <c r="E35" s="7"/>
      <c r="F35" s="7">
        <v>37557</v>
      </c>
      <c r="G35" s="7">
        <v>93</v>
      </c>
      <c r="H35" s="9">
        <f t="shared" si="0"/>
        <v>2.4762361210959342E-3</v>
      </c>
      <c r="I35" s="9"/>
      <c r="J35" s="7">
        <v>202230</v>
      </c>
      <c r="K35" s="11">
        <f t="shared" si="1"/>
        <v>0</v>
      </c>
      <c r="L35" s="11"/>
      <c r="M35" s="11">
        <v>80.316638709200006</v>
      </c>
      <c r="N35" s="11">
        <f t="shared" si="2"/>
        <v>-80.316638709200006</v>
      </c>
      <c r="O35" s="11"/>
      <c r="P35" s="11"/>
      <c r="Q35" s="11"/>
      <c r="R35" s="7">
        <v>36572</v>
      </c>
      <c r="S35" s="11">
        <f t="shared" si="3"/>
        <v>0</v>
      </c>
      <c r="T35" s="13">
        <f t="shared" si="4"/>
        <v>5.5296401618724706</v>
      </c>
      <c r="U35" s="7">
        <v>15120</v>
      </c>
      <c r="V35" s="11">
        <f t="shared" si="5"/>
        <v>0</v>
      </c>
      <c r="W35" s="11">
        <f t="shared" si="6"/>
        <v>0</v>
      </c>
      <c r="X35" s="11">
        <v>367.55655774910002</v>
      </c>
      <c r="Y35" s="11">
        <f t="shared" si="7"/>
        <v>0</v>
      </c>
      <c r="Z35" s="11">
        <f t="shared" si="8"/>
        <v>0</v>
      </c>
      <c r="AA35" s="7">
        <v>1019</v>
      </c>
      <c r="AB35" s="15">
        <f>IFERROR(AA35/1573.3333333333,0)</f>
        <v>0.6476694915254374</v>
      </c>
      <c r="AC35" s="11">
        <v>0</v>
      </c>
      <c r="AD35" s="15">
        <f>IFERROR(AC35/53.4833333333,0)</f>
        <v>0</v>
      </c>
      <c r="AE35" s="11"/>
      <c r="AF35" s="11"/>
      <c r="AG35" s="7">
        <v>-8922</v>
      </c>
      <c r="AH35" s="7">
        <v>0</v>
      </c>
      <c r="AI35" s="7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3"/>
      <c r="AP35" s="11"/>
      <c r="AQ35" s="7"/>
      <c r="AR35" s="7"/>
      <c r="AS35" s="7"/>
      <c r="AT35" s="7"/>
      <c r="AU35" s="7"/>
    </row>
    <row r="36" spans="1:47" x14ac:dyDescent="0.3">
      <c r="A36" s="5" t="s">
        <v>126</v>
      </c>
      <c r="B36" s="5">
        <v>202531</v>
      </c>
      <c r="C36" s="7"/>
      <c r="D36" s="7">
        <v>7</v>
      </c>
      <c r="E36" s="7"/>
      <c r="F36" s="7">
        <v>37426</v>
      </c>
      <c r="G36" s="7">
        <v>131</v>
      </c>
      <c r="H36" s="9">
        <f t="shared" si="0"/>
        <v>3.5002404745364184E-3</v>
      </c>
      <c r="I36" s="9"/>
      <c r="J36" s="7">
        <v>201400</v>
      </c>
      <c r="K36" s="11">
        <f t="shared" si="1"/>
        <v>0</v>
      </c>
      <c r="L36" s="11"/>
      <c r="M36" s="11">
        <v>80.208905573699994</v>
      </c>
      <c r="N36" s="11">
        <f t="shared" si="2"/>
        <v>-80.208905573699994</v>
      </c>
      <c r="O36" s="11"/>
      <c r="P36" s="11"/>
      <c r="Q36" s="11"/>
      <c r="R36" s="7">
        <v>34870</v>
      </c>
      <c r="S36" s="11">
        <f t="shared" si="3"/>
        <v>0</v>
      </c>
      <c r="T36" s="13">
        <f t="shared" si="4"/>
        <v>5.7757384571264696</v>
      </c>
      <c r="U36" s="7">
        <v>15120</v>
      </c>
      <c r="V36" s="11">
        <f t="shared" si="5"/>
        <v>0</v>
      </c>
      <c r="W36" s="11">
        <f t="shared" si="6"/>
        <v>0</v>
      </c>
      <c r="X36" s="11">
        <v>367.68216833949998</v>
      </c>
      <c r="Y36" s="11">
        <f t="shared" si="7"/>
        <v>0</v>
      </c>
      <c r="Z36" s="11">
        <f t="shared" si="8"/>
        <v>0</v>
      </c>
      <c r="AA36" s="7">
        <v>1665.8333333333001</v>
      </c>
      <c r="AB36" s="15">
        <f>IFERROR(AA36/1573.3333333333,0)</f>
        <v>1.0587923728813571</v>
      </c>
      <c r="AC36" s="11">
        <v>0</v>
      </c>
      <c r="AD36" s="15">
        <f>IFERROR(AC36/53.4833333333,0)</f>
        <v>0</v>
      </c>
      <c r="AE36" s="11"/>
      <c r="AF36" s="11"/>
      <c r="AG36" s="7">
        <v>-8733</v>
      </c>
      <c r="AH36" s="7">
        <v>0</v>
      </c>
      <c r="AI36" s="7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3"/>
      <c r="AP36" s="11"/>
      <c r="AQ36" s="7"/>
      <c r="AR36" s="7"/>
      <c r="AS36" s="7"/>
      <c r="AT36" s="7"/>
      <c r="AU36" s="7"/>
    </row>
    <row r="37" spans="1:47" x14ac:dyDescent="0.3">
      <c r="A37" s="5" t="s">
        <v>126</v>
      </c>
      <c r="B37" s="5">
        <v>202532</v>
      </c>
      <c r="C37" s="7"/>
      <c r="D37" s="7">
        <v>7</v>
      </c>
      <c r="E37" s="7"/>
      <c r="F37" s="7">
        <v>37283</v>
      </c>
      <c r="G37" s="7">
        <v>143</v>
      </c>
      <c r="H37" s="9">
        <f t="shared" si="0"/>
        <v>3.8355282568462838E-3</v>
      </c>
      <c r="I37" s="9"/>
      <c r="J37" s="7">
        <v>197370</v>
      </c>
      <c r="K37" s="11">
        <f t="shared" si="1"/>
        <v>0</v>
      </c>
      <c r="L37" s="11"/>
      <c r="M37" s="11">
        <v>79.427218839700004</v>
      </c>
      <c r="N37" s="11">
        <f t="shared" si="2"/>
        <v>-79.427218839700004</v>
      </c>
      <c r="O37" s="11"/>
      <c r="P37" s="11"/>
      <c r="Q37" s="11"/>
      <c r="R37" s="7">
        <v>34079</v>
      </c>
      <c r="S37" s="11">
        <f t="shared" si="3"/>
        <v>0</v>
      </c>
      <c r="T37" s="13">
        <f t="shared" si="4"/>
        <v>5.7915431790838934</v>
      </c>
      <c r="U37" s="7">
        <v>15120</v>
      </c>
      <c r="V37" s="11">
        <f t="shared" si="5"/>
        <v>0</v>
      </c>
      <c r="W37" s="11">
        <f t="shared" si="6"/>
        <v>0</v>
      </c>
      <c r="X37" s="11">
        <v>367.8006587635</v>
      </c>
      <c r="Y37" s="11">
        <f t="shared" si="7"/>
        <v>0</v>
      </c>
      <c r="Z37" s="11">
        <f t="shared" si="8"/>
        <v>0</v>
      </c>
      <c r="AA37" s="7">
        <v>1671.1666666666999</v>
      </c>
      <c r="AB37" s="15">
        <f>IFERROR(AA37/1576.6666666667,0)</f>
        <v>1.0599365750528529</v>
      </c>
      <c r="AC37" s="11">
        <v>0</v>
      </c>
      <c r="AD37" s="15">
        <f>IFERROR(AC37/53.5166666667,0)</f>
        <v>0</v>
      </c>
      <c r="AE37" s="11"/>
      <c r="AF37" s="11"/>
      <c r="AG37" s="7">
        <v>-9920</v>
      </c>
      <c r="AH37" s="7">
        <v>0</v>
      </c>
      <c r="AI37" s="7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3"/>
      <c r="AP37" s="11"/>
      <c r="AQ37" s="7"/>
      <c r="AR37" s="7"/>
      <c r="AS37" s="7"/>
      <c r="AT37" s="7"/>
      <c r="AU37" s="7"/>
    </row>
    <row r="38" spans="1:47" x14ac:dyDescent="0.3">
      <c r="A38" s="5" t="s">
        <v>126</v>
      </c>
      <c r="B38" s="5">
        <v>202533</v>
      </c>
      <c r="C38" s="7"/>
      <c r="D38" s="7">
        <v>7</v>
      </c>
      <c r="E38" s="7"/>
      <c r="F38" s="7">
        <v>37150</v>
      </c>
      <c r="G38" s="7">
        <v>133</v>
      </c>
      <c r="H38" s="9">
        <f t="shared" si="0"/>
        <v>3.5800807537012115E-3</v>
      </c>
      <c r="I38" s="9"/>
      <c r="J38" s="7">
        <v>194010</v>
      </c>
      <c r="K38" s="11">
        <f t="shared" si="1"/>
        <v>0</v>
      </c>
      <c r="L38" s="11"/>
      <c r="M38" s="11">
        <v>79.206621803499999</v>
      </c>
      <c r="N38" s="11">
        <f t="shared" si="2"/>
        <v>-79.206621803499999</v>
      </c>
      <c r="O38" s="11"/>
      <c r="P38" s="11"/>
      <c r="Q38" s="11"/>
      <c r="R38" s="7">
        <v>34152</v>
      </c>
      <c r="S38" s="11">
        <f t="shared" si="3"/>
        <v>0</v>
      </c>
      <c r="T38" s="13">
        <f t="shared" si="4"/>
        <v>5.6807800421644412</v>
      </c>
      <c r="U38" s="7">
        <v>15120</v>
      </c>
      <c r="V38" s="11">
        <f t="shared" si="5"/>
        <v>0</v>
      </c>
      <c r="W38" s="11">
        <f t="shared" si="6"/>
        <v>0</v>
      </c>
      <c r="X38" s="11">
        <v>367.83293013590003</v>
      </c>
      <c r="Y38" s="11">
        <f t="shared" si="7"/>
        <v>0</v>
      </c>
      <c r="Z38" s="11">
        <f t="shared" si="8"/>
        <v>0</v>
      </c>
      <c r="AA38" s="7">
        <v>1047.5</v>
      </c>
      <c r="AB38" s="15">
        <f>IFERROR(AA38/1576.6666666667,0)</f>
        <v>0.66437632135305147</v>
      </c>
      <c r="AC38" s="11">
        <v>0</v>
      </c>
      <c r="AD38" s="15">
        <f>IFERROR(AC38/53.55,0)</f>
        <v>0</v>
      </c>
      <c r="AE38" s="11"/>
      <c r="AF38" s="11"/>
      <c r="AG38" s="7">
        <v>-11967</v>
      </c>
      <c r="AH38" s="7">
        <v>0</v>
      </c>
      <c r="AI38" s="7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3"/>
      <c r="AP38" s="11"/>
      <c r="AQ38" s="7"/>
      <c r="AR38" s="7"/>
      <c r="AS38" s="7"/>
      <c r="AT38" s="7"/>
      <c r="AU38" s="7"/>
    </row>
    <row r="39" spans="1:47" x14ac:dyDescent="0.3">
      <c r="A39" s="5" t="s">
        <v>126</v>
      </c>
      <c r="B39" s="5">
        <v>202534</v>
      </c>
      <c r="C39" s="7"/>
      <c r="D39" s="7">
        <v>6</v>
      </c>
      <c r="E39" s="7"/>
      <c r="F39" s="7">
        <v>41578</v>
      </c>
      <c r="G39" s="7">
        <v>162</v>
      </c>
      <c r="H39" s="9">
        <f t="shared" si="0"/>
        <v>3.8962913079032182E-3</v>
      </c>
      <c r="I39" s="9"/>
      <c r="J39" s="7">
        <v>186270</v>
      </c>
      <c r="K39" s="11">
        <f t="shared" si="1"/>
        <v>0</v>
      </c>
      <c r="L39" s="11"/>
      <c r="M39" s="11">
        <v>78.283996344200006</v>
      </c>
      <c r="N39" s="11">
        <f t="shared" si="2"/>
        <v>-78.283996344200006</v>
      </c>
      <c r="O39" s="11"/>
      <c r="P39" s="11"/>
      <c r="Q39" s="11"/>
      <c r="R39" s="7">
        <v>33345</v>
      </c>
      <c r="S39" s="11">
        <f t="shared" si="3"/>
        <v>0</v>
      </c>
      <c r="T39" s="13">
        <f t="shared" si="4"/>
        <v>5.5861448493027437</v>
      </c>
      <c r="U39" s="7">
        <v>11520</v>
      </c>
      <c r="V39" s="11">
        <f t="shared" si="5"/>
        <v>0</v>
      </c>
      <c r="W39" s="11">
        <f t="shared" si="6"/>
        <v>0</v>
      </c>
      <c r="X39" s="11">
        <v>360.81727125510002</v>
      </c>
      <c r="Y39" s="11">
        <f t="shared" si="7"/>
        <v>0</v>
      </c>
      <c r="Z39" s="11">
        <f t="shared" si="8"/>
        <v>0</v>
      </c>
      <c r="AA39" s="7">
        <v>0</v>
      </c>
      <c r="AB39" s="15">
        <f>IFERROR(AA39/1576.6666666667,0)</f>
        <v>0</v>
      </c>
      <c r="AC39" s="11">
        <v>0</v>
      </c>
      <c r="AD39" s="15">
        <f>IFERROR(AC39/53.55,0)</f>
        <v>0</v>
      </c>
      <c r="AE39" s="11"/>
      <c r="AF39" s="11"/>
      <c r="AG39" s="7">
        <v>-26197</v>
      </c>
      <c r="AH39" s="7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3"/>
      <c r="AP39" s="11"/>
      <c r="AQ39" s="7"/>
      <c r="AR39" s="7"/>
      <c r="AS39" s="7"/>
      <c r="AT39" s="7"/>
      <c r="AU39" s="7"/>
    </row>
    <row r="40" spans="1:47" x14ac:dyDescent="0.3">
      <c r="A40" s="5" t="s">
        <v>126</v>
      </c>
      <c r="B40" s="5">
        <v>202535</v>
      </c>
      <c r="C40" s="7"/>
      <c r="D40" s="7">
        <v>7</v>
      </c>
      <c r="E40" s="7"/>
      <c r="F40" s="7">
        <v>37451</v>
      </c>
      <c r="G40" s="7">
        <v>155</v>
      </c>
      <c r="H40" s="9">
        <f t="shared" si="0"/>
        <v>4.1387412886171263E-3</v>
      </c>
      <c r="I40" s="9"/>
      <c r="J40" s="7">
        <v>186540</v>
      </c>
      <c r="K40" s="11">
        <f t="shared" si="1"/>
        <v>0</v>
      </c>
      <c r="L40" s="11"/>
      <c r="M40" s="11">
        <v>79.010039785299995</v>
      </c>
      <c r="N40" s="11">
        <f t="shared" si="2"/>
        <v>-79.010039785299995</v>
      </c>
      <c r="O40" s="11"/>
      <c r="P40" s="11"/>
      <c r="Q40" s="11"/>
      <c r="R40" s="7">
        <v>33463</v>
      </c>
      <c r="S40" s="11">
        <f t="shared" si="3"/>
        <v>0</v>
      </c>
      <c r="T40" s="13">
        <f t="shared" si="4"/>
        <v>5.5745151361204917</v>
      </c>
      <c r="U40" s="7">
        <v>9360</v>
      </c>
      <c r="V40" s="11">
        <f t="shared" si="5"/>
        <v>0</v>
      </c>
      <c r="W40" s="11">
        <f t="shared" si="6"/>
        <v>0</v>
      </c>
      <c r="X40" s="11">
        <v>345.55753356589997</v>
      </c>
      <c r="Y40" s="11">
        <f t="shared" si="7"/>
        <v>0</v>
      </c>
      <c r="Z40" s="11">
        <f t="shared" si="8"/>
        <v>0</v>
      </c>
      <c r="AA40" s="7">
        <v>0</v>
      </c>
      <c r="AB40" s="15">
        <f>IFERROR(AA40/1496,0)</f>
        <v>0</v>
      </c>
      <c r="AC40" s="11">
        <v>0</v>
      </c>
      <c r="AD40" s="15">
        <f>IFERROR(AC40/51.24,0)</f>
        <v>0</v>
      </c>
      <c r="AE40" s="11"/>
      <c r="AF40" s="11"/>
      <c r="AG40" s="7">
        <v>-20590</v>
      </c>
      <c r="AH40" s="7">
        <v>0</v>
      </c>
      <c r="AI40" s="7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3"/>
      <c r="AP40" s="11"/>
      <c r="AQ40" s="7"/>
      <c r="AR40" s="7"/>
      <c r="AS40" s="7"/>
      <c r="AT40" s="7"/>
      <c r="AU40" s="7"/>
    </row>
    <row r="41" spans="1:47" x14ac:dyDescent="0.3">
      <c r="A41" s="5" t="s">
        <v>126</v>
      </c>
      <c r="B41" s="5">
        <v>202536</v>
      </c>
      <c r="C41" s="7"/>
      <c r="D41" s="7">
        <v>7</v>
      </c>
      <c r="E41" s="7"/>
      <c r="F41" s="7">
        <v>37308</v>
      </c>
      <c r="G41" s="7">
        <v>143</v>
      </c>
      <c r="H41" s="9">
        <f t="shared" si="0"/>
        <v>3.8329580786962583E-3</v>
      </c>
      <c r="I41" s="9"/>
      <c r="J41" s="7">
        <v>187200</v>
      </c>
      <c r="K41" s="11">
        <f t="shared" si="1"/>
        <v>0</v>
      </c>
      <c r="L41" s="11"/>
      <c r="M41" s="11">
        <v>64.3592527072</v>
      </c>
      <c r="N41" s="11">
        <f t="shared" si="2"/>
        <v>-64.3592527072</v>
      </c>
      <c r="O41" s="11"/>
      <c r="P41" s="11"/>
      <c r="Q41" s="11"/>
      <c r="R41" s="7">
        <v>33701</v>
      </c>
      <c r="S41" s="11">
        <f t="shared" si="3"/>
        <v>0</v>
      </c>
      <c r="T41" s="13">
        <f t="shared" si="4"/>
        <v>5.5547313136108718</v>
      </c>
      <c r="U41" s="7">
        <v>10080</v>
      </c>
      <c r="V41" s="11">
        <f t="shared" si="5"/>
        <v>0</v>
      </c>
      <c r="W41" s="11">
        <f t="shared" si="6"/>
        <v>0</v>
      </c>
      <c r="X41" s="11">
        <v>358.5435286787</v>
      </c>
      <c r="Y41" s="11">
        <f t="shared" si="7"/>
        <v>0</v>
      </c>
      <c r="Z41" s="11">
        <f t="shared" si="8"/>
        <v>0</v>
      </c>
      <c r="AA41" s="7">
        <v>764.8</v>
      </c>
      <c r="AB41" s="15">
        <f>IFERROR(AA41/1496,0)</f>
        <v>0.51122994652406417</v>
      </c>
      <c r="AC41" s="11">
        <v>0</v>
      </c>
      <c r="AD41" s="15">
        <f>IFERROR(AC41/51.28,0)</f>
        <v>0</v>
      </c>
      <c r="AE41" s="11"/>
      <c r="AF41" s="11"/>
      <c r="AG41" s="7">
        <v>-4878</v>
      </c>
      <c r="AH41" s="7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3"/>
      <c r="AP41" s="11"/>
      <c r="AQ41" s="7"/>
      <c r="AR41" s="7"/>
      <c r="AS41" s="7"/>
      <c r="AT41" s="7"/>
      <c r="AU41" s="7"/>
    </row>
    <row r="42" spans="1:47" x14ac:dyDescent="0.3">
      <c r="A42" s="5" t="s">
        <v>126</v>
      </c>
      <c r="B42" s="5">
        <v>202537</v>
      </c>
      <c r="C42" s="7"/>
      <c r="D42" s="7">
        <v>7</v>
      </c>
      <c r="E42" s="7"/>
      <c r="F42" s="7">
        <v>37132</v>
      </c>
      <c r="G42" s="7">
        <v>176</v>
      </c>
      <c r="H42" s="9">
        <f t="shared" si="0"/>
        <v>4.739847032209415E-3</v>
      </c>
      <c r="I42" s="9"/>
      <c r="J42" s="7">
        <v>187518</v>
      </c>
      <c r="K42" s="11">
        <f t="shared" si="1"/>
        <v>0</v>
      </c>
      <c r="L42" s="11"/>
      <c r="M42" s="11">
        <v>65.9202574599</v>
      </c>
      <c r="N42" s="11">
        <f t="shared" si="2"/>
        <v>-65.9202574599</v>
      </c>
      <c r="O42" s="11"/>
      <c r="P42" s="11"/>
      <c r="Q42" s="11"/>
      <c r="R42" s="7">
        <v>33363</v>
      </c>
      <c r="S42" s="11">
        <f t="shared" si="3"/>
        <v>0</v>
      </c>
      <c r="T42" s="13">
        <f t="shared" si="4"/>
        <v>5.6205377214279295</v>
      </c>
      <c r="U42" s="7">
        <v>10080</v>
      </c>
      <c r="V42" s="11">
        <f t="shared" si="5"/>
        <v>0</v>
      </c>
      <c r="W42" s="11">
        <f t="shared" si="6"/>
        <v>0</v>
      </c>
      <c r="X42" s="11">
        <v>358.50081167759998</v>
      </c>
      <c r="Y42" s="11">
        <f t="shared" si="7"/>
        <v>0</v>
      </c>
      <c r="Z42" s="11">
        <f t="shared" si="8"/>
        <v>0</v>
      </c>
      <c r="AA42" s="7">
        <v>1567.6</v>
      </c>
      <c r="AB42" s="15">
        <f>IFERROR(AA42/1496,0)</f>
        <v>1.0478609625668449</v>
      </c>
      <c r="AC42" s="11">
        <v>0</v>
      </c>
      <c r="AD42" s="15">
        <f>IFERROR(AC42/51.28,0)</f>
        <v>0</v>
      </c>
      <c r="AE42" s="11"/>
      <c r="AF42" s="11"/>
      <c r="AG42" s="7">
        <v>-6745</v>
      </c>
      <c r="AH42" s="7">
        <v>0</v>
      </c>
      <c r="AI42" s="7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3"/>
      <c r="AP42" s="11"/>
      <c r="AQ42" s="7"/>
      <c r="AR42" s="7"/>
      <c r="AS42" s="7"/>
      <c r="AT42" s="7"/>
      <c r="AU42" s="7"/>
    </row>
    <row r="43" spans="1:47" x14ac:dyDescent="0.3">
      <c r="A43" s="5" t="s">
        <v>126</v>
      </c>
      <c r="B43" s="5">
        <v>202538</v>
      </c>
      <c r="C43" s="7"/>
      <c r="D43" s="7">
        <v>7</v>
      </c>
      <c r="E43" s="7"/>
      <c r="F43" s="7">
        <v>36959</v>
      </c>
      <c r="G43" s="7">
        <v>173</v>
      </c>
      <c r="H43" s="9">
        <f t="shared" si="0"/>
        <v>4.6808625774506889E-3</v>
      </c>
      <c r="I43" s="9"/>
      <c r="J43" s="7">
        <v>182290</v>
      </c>
      <c r="K43" s="11">
        <f t="shared" si="1"/>
        <v>0</v>
      </c>
      <c r="L43" s="11"/>
      <c r="M43" s="11">
        <v>65.325820503800003</v>
      </c>
      <c r="N43" s="11">
        <f t="shared" si="2"/>
        <v>-65.325820503800003</v>
      </c>
      <c r="O43" s="11"/>
      <c r="P43" s="11"/>
      <c r="Q43" s="11"/>
      <c r="R43" s="7">
        <v>33284</v>
      </c>
      <c r="S43" s="11">
        <f t="shared" si="3"/>
        <v>0</v>
      </c>
      <c r="T43" s="13">
        <f t="shared" si="4"/>
        <v>5.4768056723951446</v>
      </c>
      <c r="U43" s="7">
        <v>10080</v>
      </c>
      <c r="V43" s="11">
        <f t="shared" si="5"/>
        <v>0</v>
      </c>
      <c r="W43" s="11">
        <f t="shared" si="6"/>
        <v>0</v>
      </c>
      <c r="X43" s="11">
        <v>339.31351288479999</v>
      </c>
      <c r="Y43" s="11">
        <f t="shared" si="7"/>
        <v>0</v>
      </c>
      <c r="Z43" s="11">
        <f t="shared" si="8"/>
        <v>0</v>
      </c>
      <c r="AA43" s="7">
        <v>1573.6</v>
      </c>
      <c r="AB43" s="15">
        <f>IFERROR(AA43/1496,0)</f>
        <v>1.0518716577540106</v>
      </c>
      <c r="AC43" s="11">
        <v>0</v>
      </c>
      <c r="AD43" s="15">
        <f>IFERROR(AC43/51.35,0)</f>
        <v>0</v>
      </c>
      <c r="AE43" s="11"/>
      <c r="AF43" s="11"/>
      <c r="AG43" s="7">
        <v>-9306</v>
      </c>
      <c r="AH43" s="7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3"/>
      <c r="AP43" s="11"/>
      <c r="AQ43" s="7"/>
      <c r="AR43" s="7"/>
      <c r="AS43" s="7"/>
      <c r="AT43" s="7"/>
      <c r="AU43" s="7"/>
    </row>
    <row r="44" spans="1:47" x14ac:dyDescent="0.3">
      <c r="A44" s="5" t="s">
        <v>126</v>
      </c>
      <c r="B44" s="5">
        <v>202539</v>
      </c>
      <c r="C44" s="7"/>
      <c r="D44" s="7">
        <v>7</v>
      </c>
      <c r="E44" s="7"/>
      <c r="F44" s="7">
        <v>36771</v>
      </c>
      <c r="G44" s="7">
        <v>188</v>
      </c>
      <c r="H44" s="9">
        <f t="shared" si="0"/>
        <v>5.1127247015310979E-3</v>
      </c>
      <c r="I44" s="9"/>
      <c r="J44" s="7">
        <v>180223</v>
      </c>
      <c r="K44" s="11">
        <f t="shared" si="1"/>
        <v>0</v>
      </c>
      <c r="L44" s="11"/>
      <c r="M44" s="11">
        <v>65.276617443099994</v>
      </c>
      <c r="N44" s="11">
        <f t="shared" si="2"/>
        <v>-65.276617443099994</v>
      </c>
      <c r="O44" s="11"/>
      <c r="P44" s="11"/>
      <c r="Q44" s="11"/>
      <c r="R44" s="7">
        <v>32918</v>
      </c>
      <c r="S44" s="11">
        <f t="shared" si="3"/>
        <v>0</v>
      </c>
      <c r="T44" s="13">
        <f t="shared" si="4"/>
        <v>5.4749073455252448</v>
      </c>
      <c r="U44" s="7">
        <v>10080</v>
      </c>
      <c r="V44" s="11">
        <f t="shared" si="5"/>
        <v>0</v>
      </c>
      <c r="W44" s="11">
        <f t="shared" si="6"/>
        <v>0</v>
      </c>
      <c r="X44" s="11">
        <v>336.44435549809998</v>
      </c>
      <c r="Y44" s="11">
        <f t="shared" si="7"/>
        <v>0</v>
      </c>
      <c r="Z44" s="11">
        <f t="shared" si="8"/>
        <v>0</v>
      </c>
      <c r="AA44" s="7">
        <v>1529.2</v>
      </c>
      <c r="AB44" s="15">
        <f>IFERROR(AA44/784,0)</f>
        <v>1.9505102040816327</v>
      </c>
      <c r="AC44" s="11">
        <v>0</v>
      </c>
      <c r="AD44" s="15">
        <f>IFERROR(AC44/25.52,0)</f>
        <v>0</v>
      </c>
      <c r="AE44" s="11"/>
      <c r="AF44" s="11"/>
      <c r="AG44" s="7">
        <v>-9877</v>
      </c>
      <c r="AH44" s="7">
        <v>0</v>
      </c>
      <c r="AI44" s="7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3"/>
      <c r="AP44" s="11"/>
      <c r="AQ44" s="7"/>
      <c r="AR44" s="7"/>
      <c r="AS44" s="7"/>
      <c r="AT44" s="7"/>
      <c r="AU44" s="7"/>
    </row>
    <row r="45" spans="1:47" x14ac:dyDescent="0.3">
      <c r="A45" s="5" t="s">
        <v>126</v>
      </c>
      <c r="B45" s="5">
        <v>202540</v>
      </c>
      <c r="C45" s="7"/>
      <c r="D45" s="7">
        <v>7</v>
      </c>
      <c r="E45" s="7"/>
      <c r="F45" s="7">
        <v>40544</v>
      </c>
      <c r="G45" s="7">
        <v>199</v>
      </c>
      <c r="H45" s="9">
        <f t="shared" si="0"/>
        <v>4.9082478295185477E-3</v>
      </c>
      <c r="I45" s="9"/>
      <c r="J45" s="7">
        <v>178860</v>
      </c>
      <c r="K45" s="11">
        <f t="shared" si="1"/>
        <v>0</v>
      </c>
      <c r="L45" s="11"/>
      <c r="M45" s="11">
        <v>61.285664956600002</v>
      </c>
      <c r="N45" s="11">
        <f t="shared" si="2"/>
        <v>-61.285664956600002</v>
      </c>
      <c r="O45" s="11"/>
      <c r="P45" s="11"/>
      <c r="Q45" s="11"/>
      <c r="R45" s="7">
        <v>36217</v>
      </c>
      <c r="S45" s="11">
        <f t="shared" si="3"/>
        <v>0</v>
      </c>
      <c r="T45" s="13">
        <f t="shared" si="4"/>
        <v>4.938564762404396</v>
      </c>
      <c r="U45" s="7">
        <v>15120</v>
      </c>
      <c r="V45" s="11">
        <f t="shared" si="5"/>
        <v>0</v>
      </c>
      <c r="W45" s="11">
        <f t="shared" si="6"/>
        <v>0</v>
      </c>
      <c r="X45" s="11">
        <v>267.37379107679999</v>
      </c>
      <c r="Y45" s="11">
        <f t="shared" si="7"/>
        <v>0</v>
      </c>
      <c r="Z45" s="11">
        <f t="shared" si="8"/>
        <v>0</v>
      </c>
      <c r="AA45" s="7">
        <v>1550.1666666666999</v>
      </c>
      <c r="AB45" s="15">
        <f>IFERROR(AA45/923.3333333333,0)</f>
        <v>1.6788808664260895</v>
      </c>
      <c r="AC45" s="11">
        <v>0</v>
      </c>
      <c r="AD45" s="15">
        <f>IFERROR(AC45/29.6333333333,0)</f>
        <v>0</v>
      </c>
      <c r="AE45" s="11"/>
      <c r="AF45" s="11"/>
      <c r="AG45" s="7">
        <v>-16854</v>
      </c>
      <c r="AH45" s="7">
        <v>0</v>
      </c>
      <c r="AI45" s="7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3"/>
      <c r="AP45" s="11"/>
      <c r="AQ45" s="7"/>
      <c r="AR45" s="7"/>
      <c r="AS45" s="7"/>
      <c r="AT45" s="7"/>
      <c r="AU45" s="7"/>
    </row>
    <row r="46" spans="1:47" x14ac:dyDescent="0.3">
      <c r="A46" s="5" t="s">
        <v>126</v>
      </c>
      <c r="B46" s="5">
        <v>202541</v>
      </c>
      <c r="C46" s="7"/>
      <c r="D46" s="7">
        <v>7</v>
      </c>
      <c r="E46" s="7"/>
      <c r="F46" s="7">
        <v>40355</v>
      </c>
      <c r="G46" s="7">
        <v>189</v>
      </c>
      <c r="H46" s="9">
        <f t="shared" si="0"/>
        <v>4.6834345186470075E-3</v>
      </c>
      <c r="I46" s="9"/>
      <c r="J46" s="7">
        <v>179460</v>
      </c>
      <c r="K46" s="11">
        <f t="shared" si="1"/>
        <v>0</v>
      </c>
      <c r="L46" s="11"/>
      <c r="M46" s="11">
        <v>63.768405402100001</v>
      </c>
      <c r="N46" s="11">
        <f t="shared" si="2"/>
        <v>-63.768405402100001</v>
      </c>
      <c r="O46" s="11"/>
      <c r="P46" s="11"/>
      <c r="Q46" s="11"/>
      <c r="R46" s="7">
        <v>35183</v>
      </c>
      <c r="S46" s="11">
        <f t="shared" si="3"/>
        <v>0</v>
      </c>
      <c r="T46" s="13">
        <f t="shared" si="4"/>
        <v>5.1007588892362792</v>
      </c>
      <c r="U46" s="7">
        <v>16490</v>
      </c>
      <c r="V46" s="11">
        <f t="shared" si="5"/>
        <v>0</v>
      </c>
      <c r="W46" s="11">
        <f t="shared" si="6"/>
        <v>0</v>
      </c>
      <c r="X46" s="11">
        <v>90.4902259208</v>
      </c>
      <c r="Y46" s="11">
        <f t="shared" si="7"/>
        <v>0</v>
      </c>
      <c r="Z46" s="11">
        <f t="shared" si="8"/>
        <v>0</v>
      </c>
      <c r="AA46" s="7">
        <v>915.66666666670005</v>
      </c>
      <c r="AB46" s="15">
        <f>IFERROR(AA46/933.3333333333,0)</f>
        <v>0.98107142857149943</v>
      </c>
      <c r="AC46" s="11">
        <v>0</v>
      </c>
      <c r="AD46" s="15">
        <f>IFERROR(AC46/29.8166666667,0)</f>
        <v>0</v>
      </c>
      <c r="AE46" s="11"/>
      <c r="AF46" s="11"/>
      <c r="AG46" s="7">
        <v>-21616</v>
      </c>
      <c r="AH46" s="7">
        <v>0</v>
      </c>
      <c r="AI46" s="7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3"/>
      <c r="AP46" s="11"/>
      <c r="AQ46" s="7"/>
      <c r="AR46" s="7"/>
      <c r="AS46" s="7"/>
      <c r="AT46" s="7"/>
      <c r="AU46" s="7"/>
    </row>
    <row r="47" spans="1:47" ht="15" thickBot="1" x14ac:dyDescent="0.35">
      <c r="A47" s="5" t="s">
        <v>126</v>
      </c>
      <c r="B47" s="5">
        <v>202542</v>
      </c>
      <c r="C47" s="7"/>
      <c r="D47" s="7">
        <v>7</v>
      </c>
      <c r="E47" s="7"/>
      <c r="F47" s="7">
        <v>40166</v>
      </c>
      <c r="G47" s="7">
        <v>189</v>
      </c>
      <c r="H47" s="9">
        <f t="shared" si="0"/>
        <v>4.7054722899965143E-3</v>
      </c>
      <c r="I47" s="9"/>
      <c r="J47" s="7">
        <v>187050</v>
      </c>
      <c r="K47" s="11">
        <f t="shared" si="1"/>
        <v>0</v>
      </c>
      <c r="L47" s="11"/>
      <c r="M47" s="11">
        <v>65.432430413800006</v>
      </c>
      <c r="N47" s="11">
        <f t="shared" si="2"/>
        <v>-65.432430413800006</v>
      </c>
      <c r="O47" s="11"/>
      <c r="P47" s="11"/>
      <c r="Q47" s="11"/>
      <c r="R47" s="7">
        <v>34913</v>
      </c>
      <c r="S47" s="11">
        <f t="shared" si="3"/>
        <v>0</v>
      </c>
      <c r="T47" s="13">
        <f t="shared" si="4"/>
        <v>5.3576031850600065</v>
      </c>
      <c r="U47" s="7">
        <v>15120</v>
      </c>
      <c r="V47" s="11">
        <f t="shared" si="5"/>
        <v>0</v>
      </c>
      <c r="W47" s="11">
        <f t="shared" si="6"/>
        <v>0</v>
      </c>
      <c r="X47" s="11">
        <v>354.39603459210002</v>
      </c>
      <c r="Y47" s="11">
        <f t="shared" si="7"/>
        <v>0</v>
      </c>
      <c r="Z47" s="11">
        <f t="shared" si="8"/>
        <v>0</v>
      </c>
      <c r="AA47" s="7">
        <v>1587.5</v>
      </c>
      <c r="AB47" s="15">
        <f>IFERROR(AA47/940,0)</f>
        <v>1.6888297872340425</v>
      </c>
      <c r="AC47" s="11">
        <v>0</v>
      </c>
      <c r="AD47" s="15">
        <f>IFERROR(AC47/30.0916666667,0)</f>
        <v>0</v>
      </c>
      <c r="AE47" s="11"/>
      <c r="AF47" s="11"/>
      <c r="AG47" s="7">
        <v>-17201</v>
      </c>
      <c r="AH47" s="7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3"/>
      <c r="AP47" s="11"/>
      <c r="AQ47" s="7"/>
      <c r="AR47" s="7"/>
      <c r="AS47" s="7"/>
      <c r="AT47" s="7"/>
      <c r="AU47" s="7"/>
    </row>
    <row r="48" spans="1:47" ht="15" thickBot="1" x14ac:dyDescent="0.35">
      <c r="A48" s="16" t="s">
        <v>55</v>
      </c>
      <c r="B48" s="16"/>
      <c r="C48" s="17"/>
      <c r="D48" s="17">
        <f>AVERAGE(D6:D47)</f>
        <v>6.9047619047619051</v>
      </c>
      <c r="E48" s="17">
        <f>SUM(E6:E47)</f>
        <v>0</v>
      </c>
      <c r="F48" s="17">
        <f>SUM(F6:F47)</f>
        <v>1636557</v>
      </c>
      <c r="G48" s="17">
        <f>SUM(G6:G47)</f>
        <v>6149</v>
      </c>
      <c r="H48" s="18">
        <f t="shared" si="0"/>
        <v>3.7572782371771956E-3</v>
      </c>
      <c r="I48" s="18"/>
      <c r="J48" s="17">
        <f>SUM(J6:J47)</f>
        <v>7933031</v>
      </c>
      <c r="K48" s="19">
        <f>IFERROR(J48/D48/F48*100,0)</f>
        <v>70.203587839255377</v>
      </c>
      <c r="L48" s="19"/>
      <c r="M48" s="19">
        <f>IFERROR(SUMPRODUCT($F6:$F47,M6:M47)/$F48, 0)</f>
        <v>72.631916273006098</v>
      </c>
      <c r="N48" s="19">
        <f t="shared" si="2"/>
        <v>-2.4283284337507212</v>
      </c>
      <c r="O48" s="19">
        <f>IFERROR(SUMPRODUCT($E6:$E47,O6:O47)/$E48, 0)</f>
        <v>0</v>
      </c>
      <c r="P48" s="19">
        <f>IFERROR(SUMPRODUCT($E6:$E47,P6:P47)/$E48, 0)</f>
        <v>0</v>
      </c>
      <c r="Q48" s="19">
        <f>IFERROR(SUMPRODUCT($E6:$E47,Q6:Q47)/$E48, 0)</f>
        <v>0</v>
      </c>
      <c r="R48" s="17">
        <f>SUM(R6:R47)</f>
        <v>1424797</v>
      </c>
      <c r="S48" s="19">
        <f>IFERROR(R48/D48/$F48*1000,0)</f>
        <v>126.08782361068241</v>
      </c>
      <c r="T48" s="20">
        <f t="shared" si="4"/>
        <v>5.5678324701694351</v>
      </c>
      <c r="U48" s="17">
        <f>SUM(U6:U47)</f>
        <v>598251</v>
      </c>
      <c r="V48" s="19">
        <f>IFERROR(U48/D48/$F48*1000,0)</f>
        <v>52.942395697712982</v>
      </c>
      <c r="W48" s="19">
        <f t="shared" si="6"/>
        <v>0.41988507836554961</v>
      </c>
      <c r="X48" s="19">
        <f>IFERROR(SUMPRODUCT(R6:R47,X6:X47)/R48,0)</f>
        <v>351.92145000406725</v>
      </c>
      <c r="Y48" s="19">
        <f>IFERROR(($F48*S48)/($F48*K48)*100,0)</f>
        <v>179.60310504270058</v>
      </c>
      <c r="Z48" s="19">
        <f t="shared" si="8"/>
        <v>63.206185151859984</v>
      </c>
      <c r="AA48" s="17"/>
      <c r="AB48" s="21">
        <f>IFERROR(SUMPRODUCT($F6:$F47,AB6:AB47)/$F48,0)</f>
        <v>0.70360924542254866</v>
      </c>
      <c r="AC48" s="19"/>
      <c r="AD48" s="21">
        <f>AVERAGE(AD6:AD47)</f>
        <v>0</v>
      </c>
      <c r="AE48" s="19"/>
      <c r="AF48" s="19"/>
      <c r="AG48" s="17">
        <f>SUM(AG6:AG47)</f>
        <v>-452347</v>
      </c>
      <c r="AH48" s="17">
        <f>SUM(AH6:AH47)</f>
        <v>0</v>
      </c>
      <c r="AI48" s="17">
        <f>IFERROR(SUMPRODUCT(AH6:AH47,AI6:AI47)/AH48, 0)</f>
        <v>0</v>
      </c>
      <c r="AJ48" s="19">
        <f>AVERAGE(AJ6:AJ47)</f>
        <v>0</v>
      </c>
      <c r="AK48" s="19">
        <f>AVERAGE(AK6:AK47)</f>
        <v>0</v>
      </c>
      <c r="AL48" s="19">
        <f>AVERAGE(AL6:AL47)</f>
        <v>0</v>
      </c>
      <c r="AM48" s="19">
        <f>AVERAGE(AM6:AM47)</f>
        <v>0</v>
      </c>
      <c r="AN48" s="19">
        <f>AVERAGE(AN6:AN47)</f>
        <v>0</v>
      </c>
      <c r="AO48" s="20"/>
      <c r="AP48" s="19"/>
      <c r="AQ48" s="17"/>
      <c r="AR48" s="17"/>
      <c r="AS48" s="17"/>
      <c r="AT48" s="17"/>
      <c r="AU48" s="17"/>
    </row>
    <row r="50" spans="1:47" x14ac:dyDescent="0.3">
      <c r="A50" s="4" t="s">
        <v>127</v>
      </c>
      <c r="B50" s="4">
        <v>202501</v>
      </c>
      <c r="C50" s="6"/>
      <c r="D50" s="6">
        <v>4</v>
      </c>
      <c r="E50" s="6"/>
      <c r="F50" s="6">
        <v>462165</v>
      </c>
      <c r="G50" s="6">
        <v>695</v>
      </c>
      <c r="H50" s="8">
        <f t="shared" ref="H50:H92" si="10">IFERROR(G50/F50,0)</f>
        <v>1.5037919357805112E-3</v>
      </c>
      <c r="I50" s="8"/>
      <c r="J50" s="6">
        <v>1466230</v>
      </c>
      <c r="K50" s="10">
        <f t="shared" ref="K50:K91" si="11">IFERROR(J50/E50/F50*100,0)</f>
        <v>0</v>
      </c>
      <c r="L50" s="10"/>
      <c r="M50" s="10">
        <v>87.075774452800005</v>
      </c>
      <c r="N50" s="10">
        <f t="shared" ref="N50:N92" si="12">K50-M50</f>
        <v>-87.075774452800005</v>
      </c>
      <c r="O50" s="10"/>
      <c r="P50" s="10"/>
      <c r="Q50" s="10"/>
      <c r="R50" s="6">
        <v>225260</v>
      </c>
      <c r="S50" s="10">
        <f t="shared" ref="S50:S91" si="13">IFERROR(R50/E50/F50*1000,0)</f>
        <v>0</v>
      </c>
      <c r="T50" s="12">
        <f t="shared" ref="T50:T92" si="14">IFERROR(J50/R50,0)</f>
        <v>6.509056201722454</v>
      </c>
      <c r="U50" s="6">
        <v>364336</v>
      </c>
      <c r="V50" s="10">
        <f t="shared" ref="V50:V91" si="15">IFERROR(U50/E50/F50*1000,0)</f>
        <v>0</v>
      </c>
      <c r="W50" s="10">
        <f t="shared" ref="W50:W92" si="16">IFERROR(V50/S50,0)</f>
        <v>0</v>
      </c>
      <c r="X50" s="10">
        <v>296.50838228049997</v>
      </c>
      <c r="Y50" s="10">
        <f t="shared" ref="Y50:Y91" si="17">IFERROR((F50*S50)/(F50*K50)*100,0)</f>
        <v>0</v>
      </c>
      <c r="Z50" s="10">
        <f t="shared" ref="Z50:Z92" si="18">IFERROR(Y50*X50/1000,0)</f>
        <v>0</v>
      </c>
      <c r="AA50" s="6">
        <v>1467.9333333333</v>
      </c>
      <c r="AB50" s="14">
        <f>IFERROR(AA50/1407.3333333333,0)</f>
        <v>1.0430601610611094</v>
      </c>
      <c r="AC50" s="10">
        <v>28.349333333299999</v>
      </c>
      <c r="AD50" s="14">
        <f>IFERROR(AC50/49.17,0)</f>
        <v>0.57655752152328654</v>
      </c>
      <c r="AE50" s="10"/>
      <c r="AF50" s="10"/>
      <c r="AG50" s="6">
        <v>-251134</v>
      </c>
      <c r="AH50" s="6">
        <v>136</v>
      </c>
      <c r="AI50" s="6">
        <v>16.470588235299999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2"/>
      <c r="AP50" s="10"/>
      <c r="AQ50" s="6"/>
      <c r="AR50" s="6"/>
      <c r="AS50" s="6"/>
      <c r="AT50" s="6"/>
      <c r="AU50" s="6"/>
    </row>
    <row r="51" spans="1:47" x14ac:dyDescent="0.3">
      <c r="A51" s="5" t="s">
        <v>127</v>
      </c>
      <c r="B51" s="5">
        <v>202502</v>
      </c>
      <c r="C51" s="7"/>
      <c r="D51" s="7">
        <v>7</v>
      </c>
      <c r="E51" s="7"/>
      <c r="F51" s="7">
        <v>467331</v>
      </c>
      <c r="G51" s="7">
        <v>1269</v>
      </c>
      <c r="H51" s="9">
        <f t="shared" si="10"/>
        <v>2.7154201197866182E-3</v>
      </c>
      <c r="I51" s="9"/>
      <c r="J51" s="7">
        <v>2548520</v>
      </c>
      <c r="K51" s="11">
        <f t="shared" si="11"/>
        <v>0</v>
      </c>
      <c r="L51" s="11"/>
      <c r="M51" s="11">
        <v>82.265913881200007</v>
      </c>
      <c r="N51" s="11">
        <f t="shared" si="12"/>
        <v>-82.265913881200007</v>
      </c>
      <c r="O51" s="11"/>
      <c r="P51" s="11"/>
      <c r="Q51" s="11"/>
      <c r="R51" s="7">
        <v>360124</v>
      </c>
      <c r="S51" s="11">
        <f t="shared" si="13"/>
        <v>0</v>
      </c>
      <c r="T51" s="13">
        <f t="shared" si="14"/>
        <v>7.0767846630605016</v>
      </c>
      <c r="U51" s="7">
        <v>622676</v>
      </c>
      <c r="V51" s="11">
        <f t="shared" si="15"/>
        <v>0</v>
      </c>
      <c r="W51" s="11">
        <f t="shared" si="16"/>
        <v>0</v>
      </c>
      <c r="X51" s="11">
        <v>298.38251428870001</v>
      </c>
      <c r="Y51" s="11">
        <f t="shared" si="17"/>
        <v>0</v>
      </c>
      <c r="Z51" s="11">
        <f t="shared" si="18"/>
        <v>0</v>
      </c>
      <c r="AA51" s="7">
        <v>1212</v>
      </c>
      <c r="AB51" s="15">
        <f>IFERROR(AA51/1408,0)</f>
        <v>0.86079545454545459</v>
      </c>
      <c r="AC51" s="11">
        <v>20.436666666699999</v>
      </c>
      <c r="AD51" s="15">
        <f>IFERROR(AC51/49.45,0)</f>
        <v>0.41327940680889785</v>
      </c>
      <c r="AE51" s="11"/>
      <c r="AF51" s="11"/>
      <c r="AG51" s="7">
        <v>-142659</v>
      </c>
      <c r="AH51" s="7">
        <v>202</v>
      </c>
      <c r="AI51" s="7">
        <v>20.396039603999998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3"/>
      <c r="AP51" s="11"/>
      <c r="AQ51" s="7"/>
      <c r="AR51" s="7"/>
      <c r="AS51" s="7"/>
      <c r="AT51" s="7"/>
      <c r="AU51" s="7"/>
    </row>
    <row r="52" spans="1:47" x14ac:dyDescent="0.3">
      <c r="A52" s="5" t="s">
        <v>127</v>
      </c>
      <c r="B52" s="5">
        <v>202503</v>
      </c>
      <c r="C52" s="7"/>
      <c r="D52" s="7">
        <v>7</v>
      </c>
      <c r="E52" s="7"/>
      <c r="F52" s="7">
        <v>466118</v>
      </c>
      <c r="G52" s="7">
        <v>1213</v>
      </c>
      <c r="H52" s="9">
        <f t="shared" si="10"/>
        <v>2.6023453288652231E-3</v>
      </c>
      <c r="I52" s="9"/>
      <c r="J52" s="7">
        <v>2417010</v>
      </c>
      <c r="K52" s="11">
        <f t="shared" si="11"/>
        <v>0</v>
      </c>
      <c r="L52" s="11"/>
      <c r="M52" s="11">
        <v>80.012104445700004</v>
      </c>
      <c r="N52" s="11">
        <f t="shared" si="12"/>
        <v>-80.012104445700004</v>
      </c>
      <c r="O52" s="11"/>
      <c r="P52" s="11"/>
      <c r="Q52" s="11"/>
      <c r="R52" s="7">
        <v>354055</v>
      </c>
      <c r="S52" s="11">
        <f t="shared" si="13"/>
        <v>0</v>
      </c>
      <c r="T52" s="13">
        <f t="shared" si="14"/>
        <v>6.8266512265043566</v>
      </c>
      <c r="U52" s="7">
        <v>600418</v>
      </c>
      <c r="V52" s="11">
        <f t="shared" si="15"/>
        <v>0</v>
      </c>
      <c r="W52" s="11">
        <f t="shared" si="16"/>
        <v>0</v>
      </c>
      <c r="X52" s="11">
        <v>298.72672950729998</v>
      </c>
      <c r="Y52" s="11">
        <f t="shared" si="17"/>
        <v>0</v>
      </c>
      <c r="Z52" s="11">
        <f t="shared" si="18"/>
        <v>0</v>
      </c>
      <c r="AA52" s="7">
        <v>1138.5999999999999</v>
      </c>
      <c r="AB52" s="15">
        <f>IFERROR(AA52/1416.6666666667,0)</f>
        <v>0.80371764705880455</v>
      </c>
      <c r="AC52" s="11">
        <v>24.472000000000001</v>
      </c>
      <c r="AD52" s="15">
        <f>IFERROR(AC52/49.6533333333,0)</f>
        <v>0.49285714285747378</v>
      </c>
      <c r="AE52" s="11"/>
      <c r="AF52" s="11"/>
      <c r="AG52" s="7">
        <v>-193646</v>
      </c>
      <c r="AH52" s="7">
        <v>212.25</v>
      </c>
      <c r="AI52" s="7">
        <v>18.468786808000001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3"/>
      <c r="AP52" s="11"/>
      <c r="AQ52" s="7"/>
      <c r="AR52" s="7"/>
      <c r="AS52" s="7"/>
      <c r="AT52" s="7"/>
      <c r="AU52" s="7"/>
    </row>
    <row r="53" spans="1:47" x14ac:dyDescent="0.3">
      <c r="A53" s="5" t="s">
        <v>127</v>
      </c>
      <c r="B53" s="5">
        <v>202504</v>
      </c>
      <c r="C53" s="7"/>
      <c r="D53" s="7">
        <v>7</v>
      </c>
      <c r="E53" s="7"/>
      <c r="F53" s="7">
        <v>464995</v>
      </c>
      <c r="G53" s="7">
        <v>1123</v>
      </c>
      <c r="H53" s="9">
        <f t="shared" si="10"/>
        <v>2.4150797320401296E-3</v>
      </c>
      <c r="I53" s="9"/>
      <c r="J53" s="7">
        <v>2415310</v>
      </c>
      <c r="K53" s="11">
        <f t="shared" si="11"/>
        <v>0</v>
      </c>
      <c r="L53" s="11"/>
      <c r="M53" s="11">
        <v>76.501312379699996</v>
      </c>
      <c r="N53" s="11">
        <f t="shared" si="12"/>
        <v>-76.501312379699996</v>
      </c>
      <c r="O53" s="11"/>
      <c r="P53" s="11"/>
      <c r="Q53" s="11"/>
      <c r="R53" s="7">
        <v>356394</v>
      </c>
      <c r="S53" s="11">
        <f t="shared" si="13"/>
        <v>0</v>
      </c>
      <c r="T53" s="13">
        <f t="shared" si="14"/>
        <v>6.7770781775226299</v>
      </c>
      <c r="U53" s="7">
        <v>609010</v>
      </c>
      <c r="V53" s="11">
        <f t="shared" si="15"/>
        <v>0</v>
      </c>
      <c r="W53" s="11">
        <f t="shared" si="16"/>
        <v>0</v>
      </c>
      <c r="X53" s="11">
        <v>299.36516910659998</v>
      </c>
      <c r="Y53" s="11">
        <f t="shared" si="17"/>
        <v>0</v>
      </c>
      <c r="Z53" s="11">
        <f t="shared" si="18"/>
        <v>0</v>
      </c>
      <c r="AA53" s="7">
        <v>1456.1333333333</v>
      </c>
      <c r="AB53" s="15">
        <f>IFERROR(AA53/1419,0)</f>
        <v>1.0261686633779423</v>
      </c>
      <c r="AC53" s="11">
        <v>28.6733333333</v>
      </c>
      <c r="AD53" s="15">
        <f>IFERROR(AC53/49.74,0)</f>
        <v>0.57646428092681945</v>
      </c>
      <c r="AE53" s="11"/>
      <c r="AF53" s="11"/>
      <c r="AG53" s="7">
        <v>-74781</v>
      </c>
      <c r="AH53" s="7">
        <v>205</v>
      </c>
      <c r="AI53" s="7">
        <v>20.585365853700001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3"/>
      <c r="AP53" s="11"/>
      <c r="AQ53" s="7"/>
      <c r="AR53" s="7"/>
      <c r="AS53" s="7"/>
      <c r="AT53" s="7"/>
      <c r="AU53" s="7"/>
    </row>
    <row r="54" spans="1:47" x14ac:dyDescent="0.3">
      <c r="A54" s="5" t="s">
        <v>127</v>
      </c>
      <c r="B54" s="5">
        <v>202505</v>
      </c>
      <c r="C54" s="7"/>
      <c r="D54" s="7">
        <v>7</v>
      </c>
      <c r="E54" s="7"/>
      <c r="F54" s="7">
        <v>463858</v>
      </c>
      <c r="G54" s="7">
        <v>1137</v>
      </c>
      <c r="H54" s="9">
        <f t="shared" si="10"/>
        <v>2.4511811804474645E-3</v>
      </c>
      <c r="I54" s="9"/>
      <c r="J54" s="7">
        <v>2486950</v>
      </c>
      <c r="K54" s="11">
        <f t="shared" si="11"/>
        <v>0</v>
      </c>
      <c r="L54" s="11"/>
      <c r="M54" s="11">
        <v>76.314273441400005</v>
      </c>
      <c r="N54" s="11">
        <f t="shared" si="12"/>
        <v>-76.314273441400005</v>
      </c>
      <c r="O54" s="11"/>
      <c r="P54" s="11"/>
      <c r="Q54" s="11"/>
      <c r="R54" s="7">
        <v>371978</v>
      </c>
      <c r="S54" s="11">
        <f t="shared" si="13"/>
        <v>0</v>
      </c>
      <c r="T54" s="13">
        <f t="shared" si="14"/>
        <v>6.685744855878573</v>
      </c>
      <c r="U54" s="7">
        <v>621714</v>
      </c>
      <c r="V54" s="11">
        <f t="shared" si="15"/>
        <v>0</v>
      </c>
      <c r="W54" s="11">
        <f t="shared" si="16"/>
        <v>0</v>
      </c>
      <c r="X54" s="11">
        <v>301.89507842239999</v>
      </c>
      <c r="Y54" s="11">
        <f t="shared" si="17"/>
        <v>0</v>
      </c>
      <c r="Z54" s="11">
        <f t="shared" si="18"/>
        <v>0</v>
      </c>
      <c r="AA54" s="7">
        <v>1741.2</v>
      </c>
      <c r="AB54" s="15">
        <f>IFERROR(AA54/1422.6666666667,0)</f>
        <v>1.2238987816307119</v>
      </c>
      <c r="AC54" s="11">
        <v>12.6733333333</v>
      </c>
      <c r="AD54" s="15">
        <f>IFERROR(AC54/50.09,0)</f>
        <v>0.25301124642243961</v>
      </c>
      <c r="AE54" s="11"/>
      <c r="AF54" s="11"/>
      <c r="AG54" s="7">
        <v>-43439</v>
      </c>
      <c r="AH54" s="7">
        <v>278</v>
      </c>
      <c r="AI54" s="7">
        <v>15.9352517986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3"/>
      <c r="AP54" s="11"/>
      <c r="AQ54" s="7"/>
      <c r="AR54" s="7"/>
      <c r="AS54" s="7"/>
      <c r="AT54" s="7"/>
      <c r="AU54" s="7"/>
    </row>
    <row r="55" spans="1:47" x14ac:dyDescent="0.3">
      <c r="A55" s="5" t="s">
        <v>127</v>
      </c>
      <c r="B55" s="5">
        <v>202506</v>
      </c>
      <c r="C55" s="7"/>
      <c r="D55" s="7">
        <v>7</v>
      </c>
      <c r="E55" s="7"/>
      <c r="F55" s="7">
        <v>534599</v>
      </c>
      <c r="G55" s="7">
        <v>908</v>
      </c>
      <c r="H55" s="9">
        <f t="shared" si="10"/>
        <v>1.6984693199949869E-3</v>
      </c>
      <c r="I55" s="9"/>
      <c r="J55" s="7">
        <v>2646170</v>
      </c>
      <c r="K55" s="11">
        <f t="shared" si="11"/>
        <v>0</v>
      </c>
      <c r="L55" s="11"/>
      <c r="M55" s="11">
        <v>70.137479306900005</v>
      </c>
      <c r="N55" s="11">
        <f t="shared" si="12"/>
        <v>-70.137479306900005</v>
      </c>
      <c r="O55" s="11"/>
      <c r="P55" s="11"/>
      <c r="Q55" s="11"/>
      <c r="R55" s="7">
        <v>416715</v>
      </c>
      <c r="S55" s="11">
        <f t="shared" si="13"/>
        <v>0</v>
      </c>
      <c r="T55" s="13">
        <f t="shared" si="14"/>
        <v>6.3500713917185605</v>
      </c>
      <c r="U55" s="7">
        <v>705035</v>
      </c>
      <c r="V55" s="11">
        <f t="shared" si="15"/>
        <v>0</v>
      </c>
      <c r="W55" s="11">
        <f t="shared" si="16"/>
        <v>0</v>
      </c>
      <c r="X55" s="11">
        <v>3325.0285062281</v>
      </c>
      <c r="Y55" s="11">
        <f t="shared" si="17"/>
        <v>0</v>
      </c>
      <c r="Z55" s="11">
        <f t="shared" si="18"/>
        <v>0</v>
      </c>
      <c r="AA55" s="7">
        <v>203.23529411760001</v>
      </c>
      <c r="AB55" s="15">
        <f>IFERROR(AA55/1430.5882352941,0)</f>
        <v>0.14206414473681095</v>
      </c>
      <c r="AC55" s="11">
        <v>3.6235294117999999</v>
      </c>
      <c r="AD55" s="15">
        <f>IFERROR(AC55/49.8911764706,0)</f>
        <v>7.2628662383523515E-2</v>
      </c>
      <c r="AE55" s="11"/>
      <c r="AF55" s="11"/>
      <c r="AG55" s="7">
        <v>21490</v>
      </c>
      <c r="AH55" s="7">
        <v>221</v>
      </c>
      <c r="AI55" s="7">
        <v>13.1221719457</v>
      </c>
      <c r="AJ55" s="11">
        <v>2.1764705881999999</v>
      </c>
      <c r="AK55" s="11">
        <v>2.4705882353000002</v>
      </c>
      <c r="AL55" s="11">
        <v>3.2941176471000002</v>
      </c>
      <c r="AM55" s="11">
        <v>0</v>
      </c>
      <c r="AN55" s="11">
        <v>0</v>
      </c>
      <c r="AO55" s="13"/>
      <c r="AP55" s="11"/>
      <c r="AQ55" s="7"/>
      <c r="AR55" s="7"/>
      <c r="AS55" s="7"/>
      <c r="AT55" s="7"/>
      <c r="AU55" s="7"/>
    </row>
    <row r="56" spans="1:47" x14ac:dyDescent="0.3">
      <c r="A56" s="5" t="s">
        <v>127</v>
      </c>
      <c r="B56" s="5">
        <v>202507</v>
      </c>
      <c r="C56" s="7"/>
      <c r="D56" s="7">
        <v>7</v>
      </c>
      <c r="E56" s="7"/>
      <c r="F56" s="7">
        <v>533125</v>
      </c>
      <c r="G56" s="7">
        <v>1163</v>
      </c>
      <c r="H56" s="9">
        <f t="shared" si="10"/>
        <v>2.1814771395076201E-3</v>
      </c>
      <c r="I56" s="9"/>
      <c r="J56" s="7">
        <v>2813817</v>
      </c>
      <c r="K56" s="11">
        <f t="shared" si="11"/>
        <v>0</v>
      </c>
      <c r="L56" s="11"/>
      <c r="M56" s="11">
        <v>76.346590668199994</v>
      </c>
      <c r="N56" s="11">
        <f t="shared" si="12"/>
        <v>-76.346590668199994</v>
      </c>
      <c r="O56" s="11"/>
      <c r="P56" s="11"/>
      <c r="Q56" s="11"/>
      <c r="R56" s="7">
        <v>418549</v>
      </c>
      <c r="S56" s="11">
        <f t="shared" si="13"/>
        <v>0</v>
      </c>
      <c r="T56" s="13">
        <f t="shared" si="14"/>
        <v>6.7227899242382616</v>
      </c>
      <c r="U56" s="7">
        <v>726033</v>
      </c>
      <c r="V56" s="11">
        <f t="shared" si="15"/>
        <v>0</v>
      </c>
      <c r="W56" s="11">
        <f t="shared" si="16"/>
        <v>0</v>
      </c>
      <c r="X56" s="11">
        <v>3337.4210304510998</v>
      </c>
      <c r="Y56" s="11">
        <f t="shared" si="17"/>
        <v>0</v>
      </c>
      <c r="Z56" s="11">
        <f t="shared" si="18"/>
        <v>0</v>
      </c>
      <c r="AA56" s="7">
        <v>1145.3529411765001</v>
      </c>
      <c r="AB56" s="15">
        <f>IFERROR(AA56/1438.5294117647,0)</f>
        <v>0.79619709670826344</v>
      </c>
      <c r="AC56" s="11">
        <v>23.756470588199999</v>
      </c>
      <c r="AD56" s="15">
        <f>IFERROR(AC56/50.1529411765,0)</f>
        <v>0.47368050668445127</v>
      </c>
      <c r="AE56" s="11"/>
      <c r="AF56" s="11"/>
      <c r="AG56" s="7">
        <v>-35342</v>
      </c>
      <c r="AH56" s="7">
        <v>223</v>
      </c>
      <c r="AI56" s="7">
        <v>14.798206278</v>
      </c>
      <c r="AJ56" s="11">
        <v>8.4705882352999993</v>
      </c>
      <c r="AK56" s="11">
        <v>6.7647058824000004</v>
      </c>
      <c r="AL56" s="11">
        <v>1.0588235293999999</v>
      </c>
      <c r="AM56" s="11">
        <v>0</v>
      </c>
      <c r="AN56" s="11">
        <v>0</v>
      </c>
      <c r="AO56" s="13"/>
      <c r="AP56" s="11"/>
      <c r="AQ56" s="7"/>
      <c r="AR56" s="7"/>
      <c r="AS56" s="7"/>
      <c r="AT56" s="7"/>
      <c r="AU56" s="7"/>
    </row>
    <row r="57" spans="1:47" x14ac:dyDescent="0.3">
      <c r="A57" s="5" t="s">
        <v>127</v>
      </c>
      <c r="B57" s="5">
        <v>202508</v>
      </c>
      <c r="C57" s="7"/>
      <c r="D57" s="7">
        <v>7</v>
      </c>
      <c r="E57" s="7"/>
      <c r="F57" s="7">
        <v>531830</v>
      </c>
      <c r="G57" s="7">
        <v>970</v>
      </c>
      <c r="H57" s="9">
        <f t="shared" si="10"/>
        <v>1.8238910930184458E-3</v>
      </c>
      <c r="I57" s="9"/>
      <c r="J57" s="7">
        <v>2942470</v>
      </c>
      <c r="K57" s="11">
        <f t="shared" si="11"/>
        <v>0</v>
      </c>
      <c r="L57" s="11"/>
      <c r="M57" s="11">
        <v>81.072816031399995</v>
      </c>
      <c r="N57" s="11">
        <f t="shared" si="12"/>
        <v>-81.072816031399995</v>
      </c>
      <c r="O57" s="11"/>
      <c r="P57" s="11"/>
      <c r="Q57" s="11"/>
      <c r="R57" s="7">
        <v>429296</v>
      </c>
      <c r="S57" s="11">
        <f t="shared" si="13"/>
        <v>0</v>
      </c>
      <c r="T57" s="13">
        <f t="shared" si="14"/>
        <v>6.8541752077820428</v>
      </c>
      <c r="U57" s="7">
        <v>747521</v>
      </c>
      <c r="V57" s="11">
        <f t="shared" si="15"/>
        <v>0</v>
      </c>
      <c r="W57" s="11">
        <f t="shared" si="16"/>
        <v>0</v>
      </c>
      <c r="X57" s="11">
        <v>297.63938548890002</v>
      </c>
      <c r="Y57" s="11">
        <f t="shared" si="17"/>
        <v>0</v>
      </c>
      <c r="Z57" s="11">
        <f t="shared" si="18"/>
        <v>0</v>
      </c>
      <c r="AA57" s="7">
        <v>1303.9411764706001</v>
      </c>
      <c r="AB57" s="15">
        <f>IFERROR(AA57/1444.7058823529,0)</f>
        <v>0.90256514657983844</v>
      </c>
      <c r="AC57" s="11">
        <v>23.9582352941</v>
      </c>
      <c r="AD57" s="15">
        <f>IFERROR(AC57/50.4029411765,0)</f>
        <v>0.47533407247413473</v>
      </c>
      <c r="AE57" s="11"/>
      <c r="AF57" s="11"/>
      <c r="AG57" s="7">
        <v>-75717</v>
      </c>
      <c r="AH57" s="7">
        <v>174</v>
      </c>
      <c r="AI57" s="7">
        <v>16.666666666699999</v>
      </c>
      <c r="AJ57" s="11">
        <v>9.2352941176000005</v>
      </c>
      <c r="AK57" s="11">
        <v>7.4117647058999996</v>
      </c>
      <c r="AL57" s="11">
        <v>2.9411764705999999</v>
      </c>
      <c r="AM57" s="11">
        <v>0</v>
      </c>
      <c r="AN57" s="11">
        <v>0</v>
      </c>
      <c r="AO57" s="13"/>
      <c r="AP57" s="11"/>
      <c r="AQ57" s="7"/>
      <c r="AR57" s="7"/>
      <c r="AS57" s="7"/>
      <c r="AT57" s="7"/>
      <c r="AU57" s="7"/>
    </row>
    <row r="58" spans="1:47" x14ac:dyDescent="0.3">
      <c r="A58" s="5" t="s">
        <v>127</v>
      </c>
      <c r="B58" s="5">
        <v>202509</v>
      </c>
      <c r="C58" s="7"/>
      <c r="D58" s="7">
        <v>7</v>
      </c>
      <c r="E58" s="7"/>
      <c r="F58" s="7">
        <v>530483</v>
      </c>
      <c r="G58" s="7">
        <v>1347</v>
      </c>
      <c r="H58" s="9">
        <f t="shared" si="10"/>
        <v>2.5391954124825864E-3</v>
      </c>
      <c r="I58" s="9"/>
      <c r="J58" s="7">
        <v>3015090</v>
      </c>
      <c r="K58" s="11">
        <f t="shared" si="11"/>
        <v>0</v>
      </c>
      <c r="L58" s="11"/>
      <c r="M58" s="11">
        <v>84.551198247599999</v>
      </c>
      <c r="N58" s="11">
        <f t="shared" si="12"/>
        <v>-84.551198247599999</v>
      </c>
      <c r="O58" s="11"/>
      <c r="P58" s="11"/>
      <c r="Q58" s="11"/>
      <c r="R58" s="7">
        <v>430810</v>
      </c>
      <c r="S58" s="11">
        <f t="shared" si="13"/>
        <v>0</v>
      </c>
      <c r="T58" s="13">
        <f t="shared" si="14"/>
        <v>6.9986536988463595</v>
      </c>
      <c r="U58" s="7">
        <v>741346</v>
      </c>
      <c r="V58" s="11">
        <f t="shared" si="15"/>
        <v>0</v>
      </c>
      <c r="W58" s="11">
        <f t="shared" si="16"/>
        <v>0</v>
      </c>
      <c r="X58" s="11">
        <v>291.32143592630001</v>
      </c>
      <c r="Y58" s="11">
        <f t="shared" si="17"/>
        <v>0</v>
      </c>
      <c r="Z58" s="11">
        <f t="shared" si="18"/>
        <v>0</v>
      </c>
      <c r="AA58" s="7">
        <v>1398.9411764706001</v>
      </c>
      <c r="AB58" s="15">
        <f>IFERROR(AA58/1347.0588235294,0)</f>
        <v>1.0385152838428127</v>
      </c>
      <c r="AC58" s="11">
        <v>24.204117647099999</v>
      </c>
      <c r="AD58" s="15">
        <f>IFERROR(AC58/46.8411764706,0)</f>
        <v>0.51672736405952113</v>
      </c>
      <c r="AE58" s="11"/>
      <c r="AF58" s="11"/>
      <c r="AG58" s="7">
        <v>-124618</v>
      </c>
      <c r="AH58" s="7">
        <v>199</v>
      </c>
      <c r="AI58" s="7">
        <v>15.175879396999999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3"/>
      <c r="AP58" s="11"/>
      <c r="AQ58" s="7"/>
      <c r="AR58" s="7"/>
      <c r="AS58" s="7"/>
      <c r="AT58" s="7"/>
      <c r="AU58" s="7"/>
    </row>
    <row r="59" spans="1:47" x14ac:dyDescent="0.3">
      <c r="A59" s="5" t="s">
        <v>127</v>
      </c>
      <c r="B59" s="5">
        <v>202510</v>
      </c>
      <c r="C59" s="7"/>
      <c r="D59" s="7">
        <v>7</v>
      </c>
      <c r="E59" s="7"/>
      <c r="F59" s="7">
        <v>529194</v>
      </c>
      <c r="G59" s="7">
        <v>1289</v>
      </c>
      <c r="H59" s="9">
        <f t="shared" si="10"/>
        <v>2.435779695159053E-3</v>
      </c>
      <c r="I59" s="9"/>
      <c r="J59" s="7">
        <v>3085184</v>
      </c>
      <c r="K59" s="11">
        <f t="shared" si="11"/>
        <v>0</v>
      </c>
      <c r="L59" s="11"/>
      <c r="M59" s="11">
        <v>86.548454725499994</v>
      </c>
      <c r="N59" s="11">
        <f t="shared" si="12"/>
        <v>-86.548454725499994</v>
      </c>
      <c r="O59" s="11"/>
      <c r="P59" s="11"/>
      <c r="Q59" s="11"/>
      <c r="R59" s="7">
        <v>434648</v>
      </c>
      <c r="S59" s="11">
        <f t="shared" si="13"/>
        <v>0</v>
      </c>
      <c r="T59" s="13">
        <f t="shared" si="14"/>
        <v>7.0981207781929285</v>
      </c>
      <c r="U59" s="7">
        <v>708341</v>
      </c>
      <c r="V59" s="11">
        <f t="shared" si="15"/>
        <v>0</v>
      </c>
      <c r="W59" s="11">
        <f t="shared" si="16"/>
        <v>0</v>
      </c>
      <c r="X59" s="11">
        <v>292.47485670179998</v>
      </c>
      <c r="Y59" s="11">
        <f t="shared" si="17"/>
        <v>0</v>
      </c>
      <c r="Z59" s="11">
        <f t="shared" si="18"/>
        <v>0</v>
      </c>
      <c r="AA59" s="7">
        <v>1244.9411764706001</v>
      </c>
      <c r="AB59" s="15">
        <f>IFERROR(AA59/1354.1176470588,0)</f>
        <v>0.91937445699394305</v>
      </c>
      <c r="AC59" s="11">
        <v>28.287058823500001</v>
      </c>
      <c r="AD59" s="15">
        <f>IFERROR(AC59/47.0970588235,0)</f>
        <v>0.60061200274751803</v>
      </c>
      <c r="AE59" s="11"/>
      <c r="AF59" s="11"/>
      <c r="AG59" s="7">
        <v>-120881</v>
      </c>
      <c r="AH59" s="7">
        <v>285</v>
      </c>
      <c r="AI59" s="7">
        <v>17.263157894700001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3"/>
      <c r="AP59" s="11"/>
      <c r="AQ59" s="7"/>
      <c r="AR59" s="7"/>
      <c r="AS59" s="7"/>
      <c r="AT59" s="7"/>
      <c r="AU59" s="7"/>
    </row>
    <row r="60" spans="1:47" x14ac:dyDescent="0.3">
      <c r="A60" s="5" t="s">
        <v>127</v>
      </c>
      <c r="B60" s="5">
        <v>202511</v>
      </c>
      <c r="C60" s="7"/>
      <c r="D60" s="7">
        <v>7</v>
      </c>
      <c r="E60" s="7"/>
      <c r="F60" s="7">
        <v>528024</v>
      </c>
      <c r="G60" s="7">
        <v>1164</v>
      </c>
      <c r="H60" s="9">
        <f t="shared" si="10"/>
        <v>2.2044452524885233E-3</v>
      </c>
      <c r="I60" s="9"/>
      <c r="J60" s="7">
        <v>3133430</v>
      </c>
      <c r="K60" s="11">
        <f t="shared" si="11"/>
        <v>0</v>
      </c>
      <c r="L60" s="11"/>
      <c r="M60" s="11">
        <v>86.888712823700004</v>
      </c>
      <c r="N60" s="11">
        <f t="shared" si="12"/>
        <v>-86.888712823700004</v>
      </c>
      <c r="O60" s="11"/>
      <c r="P60" s="11"/>
      <c r="Q60" s="11"/>
      <c r="R60" s="7">
        <v>433013</v>
      </c>
      <c r="S60" s="11">
        <f t="shared" si="13"/>
        <v>0</v>
      </c>
      <c r="T60" s="13">
        <f t="shared" si="14"/>
        <v>7.236341634084889</v>
      </c>
      <c r="U60" s="7">
        <v>744311</v>
      </c>
      <c r="V60" s="11">
        <f t="shared" si="15"/>
        <v>0</v>
      </c>
      <c r="W60" s="11">
        <f t="shared" si="16"/>
        <v>0</v>
      </c>
      <c r="X60" s="11">
        <v>292.96569263999999</v>
      </c>
      <c r="Y60" s="11">
        <f t="shared" si="17"/>
        <v>0</v>
      </c>
      <c r="Z60" s="11">
        <f t="shared" si="18"/>
        <v>0</v>
      </c>
      <c r="AA60" s="7">
        <v>1503.5882352941001</v>
      </c>
      <c r="AB60" s="15">
        <f>IFERROR(AA60/1358.2352941176,0)</f>
        <v>1.1070160242529488</v>
      </c>
      <c r="AC60" s="11">
        <v>24.7705882353</v>
      </c>
      <c r="AD60" s="15">
        <f>IFERROR(AC60/47.2764705882,0)</f>
        <v>0.52395172328034634</v>
      </c>
      <c r="AE60" s="11"/>
      <c r="AF60" s="11"/>
      <c r="AG60" s="7">
        <v>-78123</v>
      </c>
      <c r="AH60" s="7">
        <v>322</v>
      </c>
      <c r="AI60" s="7">
        <v>16.211180124199998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3"/>
      <c r="AP60" s="11"/>
      <c r="AQ60" s="7"/>
      <c r="AR60" s="7"/>
      <c r="AS60" s="7"/>
      <c r="AT60" s="7"/>
      <c r="AU60" s="7"/>
    </row>
    <row r="61" spans="1:47" x14ac:dyDescent="0.3">
      <c r="A61" s="5" t="s">
        <v>127</v>
      </c>
      <c r="B61" s="5">
        <v>202512</v>
      </c>
      <c r="C61" s="7"/>
      <c r="D61" s="7">
        <v>7</v>
      </c>
      <c r="E61" s="7"/>
      <c r="F61" s="7">
        <v>526741</v>
      </c>
      <c r="G61" s="7">
        <v>1283</v>
      </c>
      <c r="H61" s="9">
        <f t="shared" si="10"/>
        <v>2.4357321719782588E-3</v>
      </c>
      <c r="I61" s="9"/>
      <c r="J61" s="7">
        <v>3126640</v>
      </c>
      <c r="K61" s="11">
        <f t="shared" si="11"/>
        <v>0</v>
      </c>
      <c r="L61" s="11"/>
      <c r="M61" s="11">
        <v>86.980743287500005</v>
      </c>
      <c r="N61" s="11">
        <f t="shared" si="12"/>
        <v>-86.980743287500005</v>
      </c>
      <c r="O61" s="11"/>
      <c r="P61" s="11"/>
      <c r="Q61" s="11"/>
      <c r="R61" s="7">
        <v>430980</v>
      </c>
      <c r="S61" s="11">
        <f t="shared" si="13"/>
        <v>0</v>
      </c>
      <c r="T61" s="13">
        <f t="shared" si="14"/>
        <v>7.2547217968351196</v>
      </c>
      <c r="U61" s="7">
        <v>719898</v>
      </c>
      <c r="V61" s="11">
        <f t="shared" si="15"/>
        <v>0</v>
      </c>
      <c r="W61" s="11">
        <f t="shared" si="16"/>
        <v>0</v>
      </c>
      <c r="X61" s="11">
        <v>298.10187489309999</v>
      </c>
      <c r="Y61" s="11">
        <f t="shared" si="17"/>
        <v>0</v>
      </c>
      <c r="Z61" s="11">
        <f t="shared" si="18"/>
        <v>0</v>
      </c>
      <c r="AA61" s="7">
        <v>1611.2941176470999</v>
      </c>
      <c r="AB61" s="15">
        <f>IFERROR(AA61/1361.7647058824,0)</f>
        <v>1.1832397408207236</v>
      </c>
      <c r="AC61" s="11">
        <v>21.273529411799998</v>
      </c>
      <c r="AD61" s="15">
        <f>IFERROR(AC61/47.5088235294,0)</f>
        <v>0.44778059803217923</v>
      </c>
      <c r="AE61" s="11"/>
      <c r="AF61" s="11"/>
      <c r="AG61" s="7">
        <v>-80503</v>
      </c>
      <c r="AH61" s="7">
        <v>286</v>
      </c>
      <c r="AI61" s="7">
        <v>17.762237762200002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3"/>
      <c r="AP61" s="11"/>
      <c r="AQ61" s="7"/>
      <c r="AR61" s="7"/>
      <c r="AS61" s="7"/>
      <c r="AT61" s="7"/>
      <c r="AU61" s="7"/>
    </row>
    <row r="62" spans="1:47" x14ac:dyDescent="0.3">
      <c r="A62" s="5" t="s">
        <v>127</v>
      </c>
      <c r="B62" s="5">
        <v>202513</v>
      </c>
      <c r="C62" s="7"/>
      <c r="D62" s="7">
        <v>7</v>
      </c>
      <c r="E62" s="7"/>
      <c r="F62" s="7">
        <v>525435</v>
      </c>
      <c r="G62" s="7">
        <v>1306</v>
      </c>
      <c r="H62" s="9">
        <f t="shared" si="10"/>
        <v>2.4855595839637632E-3</v>
      </c>
      <c r="I62" s="9"/>
      <c r="J62" s="7">
        <v>3101470</v>
      </c>
      <c r="K62" s="11">
        <f t="shared" si="11"/>
        <v>0</v>
      </c>
      <c r="L62" s="11"/>
      <c r="M62" s="11">
        <v>86.7127691341</v>
      </c>
      <c r="N62" s="11">
        <f t="shared" si="12"/>
        <v>-86.7127691341</v>
      </c>
      <c r="O62" s="11"/>
      <c r="P62" s="11"/>
      <c r="Q62" s="11"/>
      <c r="R62" s="7">
        <v>432028</v>
      </c>
      <c r="S62" s="11">
        <f t="shared" si="13"/>
        <v>0</v>
      </c>
      <c r="T62" s="13">
        <f t="shared" si="14"/>
        <v>7.1788634070013977</v>
      </c>
      <c r="U62" s="7">
        <v>712063</v>
      </c>
      <c r="V62" s="11">
        <f t="shared" si="15"/>
        <v>0</v>
      </c>
      <c r="W62" s="11">
        <f t="shared" si="16"/>
        <v>0</v>
      </c>
      <c r="X62" s="11">
        <v>299.29239965929997</v>
      </c>
      <c r="Y62" s="11">
        <f t="shared" si="17"/>
        <v>0</v>
      </c>
      <c r="Z62" s="11">
        <f t="shared" si="18"/>
        <v>0</v>
      </c>
      <c r="AA62" s="7">
        <v>1625.2352941176</v>
      </c>
      <c r="AB62" s="15">
        <f>IFERROR(AA62/1362.9411764706,0)</f>
        <v>1.1924471299093207</v>
      </c>
      <c r="AC62" s="11">
        <v>32.777058823499999</v>
      </c>
      <c r="AD62" s="15">
        <f>IFERROR(AC62/47.6088235294,0)</f>
        <v>0.68846605300505059</v>
      </c>
      <c r="AE62" s="11"/>
      <c r="AF62" s="11"/>
      <c r="AG62" s="7">
        <v>-87865</v>
      </c>
      <c r="AH62" s="7">
        <v>320</v>
      </c>
      <c r="AI62" s="7">
        <v>17.6875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3"/>
      <c r="AP62" s="11"/>
      <c r="AQ62" s="7"/>
      <c r="AR62" s="7"/>
      <c r="AS62" s="7"/>
      <c r="AT62" s="7"/>
      <c r="AU62" s="7"/>
    </row>
    <row r="63" spans="1:47" x14ac:dyDescent="0.3">
      <c r="A63" s="5" t="s">
        <v>127</v>
      </c>
      <c r="B63" s="5">
        <v>202514</v>
      </c>
      <c r="C63" s="7"/>
      <c r="D63" s="7">
        <v>7</v>
      </c>
      <c r="E63" s="7"/>
      <c r="F63" s="7">
        <v>508362</v>
      </c>
      <c r="G63" s="7">
        <v>1286</v>
      </c>
      <c r="H63" s="9">
        <f t="shared" si="10"/>
        <v>2.5296934074537434E-3</v>
      </c>
      <c r="I63" s="9"/>
      <c r="J63" s="7">
        <v>3046740</v>
      </c>
      <c r="K63" s="11">
        <f t="shared" si="11"/>
        <v>0</v>
      </c>
      <c r="L63" s="11"/>
      <c r="M63" s="11">
        <v>86.915833795599994</v>
      </c>
      <c r="N63" s="11">
        <f t="shared" si="12"/>
        <v>-86.915833795599994</v>
      </c>
      <c r="O63" s="11"/>
      <c r="P63" s="11"/>
      <c r="Q63" s="11"/>
      <c r="R63" s="7">
        <v>415545</v>
      </c>
      <c r="S63" s="11">
        <f t="shared" si="13"/>
        <v>0</v>
      </c>
      <c r="T63" s="13">
        <f t="shared" si="14"/>
        <v>7.3319135111720755</v>
      </c>
      <c r="U63" s="7">
        <v>685260</v>
      </c>
      <c r="V63" s="11">
        <f t="shared" si="15"/>
        <v>0</v>
      </c>
      <c r="W63" s="11">
        <f t="shared" si="16"/>
        <v>0</v>
      </c>
      <c r="X63" s="11">
        <v>288.29530946109998</v>
      </c>
      <c r="Y63" s="11">
        <f t="shared" si="17"/>
        <v>0</v>
      </c>
      <c r="Z63" s="11">
        <f t="shared" si="18"/>
        <v>0</v>
      </c>
      <c r="AA63" s="7">
        <v>1601.3529411765001</v>
      </c>
      <c r="AB63" s="15">
        <f>IFERROR(AA63/1364.7058823529,0)</f>
        <v>1.1734051724138501</v>
      </c>
      <c r="AC63" s="11">
        <v>25.387647058799999</v>
      </c>
      <c r="AD63" s="15">
        <f>IFERROR(AC63/47.6911764706,0)</f>
        <v>0.53233425840208881</v>
      </c>
      <c r="AE63" s="11"/>
      <c r="AF63" s="11"/>
      <c r="AG63" s="7">
        <v>-23483</v>
      </c>
      <c r="AH63" s="7">
        <v>279</v>
      </c>
      <c r="AI63" s="7">
        <v>18.6379928315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3"/>
      <c r="AP63" s="11"/>
      <c r="AQ63" s="7"/>
      <c r="AR63" s="7"/>
      <c r="AS63" s="7"/>
      <c r="AT63" s="7"/>
      <c r="AU63" s="7"/>
    </row>
    <row r="64" spans="1:47" x14ac:dyDescent="0.3">
      <c r="A64" s="5" t="s">
        <v>127</v>
      </c>
      <c r="B64" s="5">
        <v>202515</v>
      </c>
      <c r="C64" s="7"/>
      <c r="D64" s="7">
        <v>7</v>
      </c>
      <c r="E64" s="7"/>
      <c r="F64" s="7">
        <v>491889</v>
      </c>
      <c r="G64" s="7">
        <v>1181</v>
      </c>
      <c r="H64" s="9">
        <f t="shared" si="10"/>
        <v>2.4009481813986487E-3</v>
      </c>
      <c r="I64" s="9"/>
      <c r="J64" s="7">
        <v>2976800</v>
      </c>
      <c r="K64" s="11">
        <f t="shared" si="11"/>
        <v>0</v>
      </c>
      <c r="L64" s="11"/>
      <c r="M64" s="11">
        <v>86.976580386999998</v>
      </c>
      <c r="N64" s="11">
        <f t="shared" si="12"/>
        <v>-86.976580386999998</v>
      </c>
      <c r="O64" s="11"/>
      <c r="P64" s="11"/>
      <c r="Q64" s="11"/>
      <c r="R64" s="7">
        <v>398592</v>
      </c>
      <c r="S64" s="11">
        <f t="shared" si="13"/>
        <v>0</v>
      </c>
      <c r="T64" s="13">
        <f t="shared" si="14"/>
        <v>7.4682883750802826</v>
      </c>
      <c r="U64" s="7">
        <v>652052</v>
      </c>
      <c r="V64" s="11">
        <f t="shared" si="15"/>
        <v>0</v>
      </c>
      <c r="W64" s="11">
        <f t="shared" si="16"/>
        <v>0</v>
      </c>
      <c r="X64" s="11">
        <v>269.78895615070002</v>
      </c>
      <c r="Y64" s="11">
        <f t="shared" si="17"/>
        <v>0</v>
      </c>
      <c r="Z64" s="11">
        <f t="shared" si="18"/>
        <v>0</v>
      </c>
      <c r="AA64" s="7">
        <v>0</v>
      </c>
      <c r="AB64" s="15">
        <f>IFERROR(AA64/1416,0)</f>
        <v>0</v>
      </c>
      <c r="AC64" s="11">
        <v>0</v>
      </c>
      <c r="AD64" s="15">
        <f>IFERROR(AC64/49.9166666667,0)</f>
        <v>0</v>
      </c>
      <c r="AE64" s="11"/>
      <c r="AF64" s="11"/>
      <c r="AG64" s="7">
        <v>-17998</v>
      </c>
      <c r="AH64" s="7">
        <v>412.5</v>
      </c>
      <c r="AI64" s="7">
        <v>15.030303030300001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3"/>
      <c r="AP64" s="11"/>
      <c r="AQ64" s="7"/>
      <c r="AR64" s="7"/>
      <c r="AS64" s="7"/>
      <c r="AT64" s="7"/>
      <c r="AU64" s="7"/>
    </row>
    <row r="65" spans="1:47" x14ac:dyDescent="0.3">
      <c r="A65" s="5" t="s">
        <v>127</v>
      </c>
      <c r="B65" s="5">
        <v>202516</v>
      </c>
      <c r="C65" s="7"/>
      <c r="D65" s="7">
        <v>7</v>
      </c>
      <c r="E65" s="7"/>
      <c r="F65" s="7">
        <v>490593</v>
      </c>
      <c r="G65" s="7">
        <v>1296</v>
      </c>
      <c r="H65" s="9">
        <f t="shared" si="10"/>
        <v>2.6417009618971326E-3</v>
      </c>
      <c r="I65" s="9"/>
      <c r="J65" s="7">
        <v>2853530</v>
      </c>
      <c r="K65" s="11">
        <f t="shared" si="11"/>
        <v>0</v>
      </c>
      <c r="L65" s="11"/>
      <c r="M65" s="11">
        <v>86.734570917200003</v>
      </c>
      <c r="N65" s="11">
        <f t="shared" si="12"/>
        <v>-86.734570917200003</v>
      </c>
      <c r="O65" s="11"/>
      <c r="P65" s="11"/>
      <c r="Q65" s="11"/>
      <c r="R65" s="7">
        <v>400247</v>
      </c>
      <c r="S65" s="11">
        <f t="shared" si="13"/>
        <v>0</v>
      </c>
      <c r="T65" s="13">
        <f t="shared" si="14"/>
        <v>7.1294225815558896</v>
      </c>
      <c r="U65" s="7">
        <v>662215</v>
      </c>
      <c r="V65" s="11">
        <f t="shared" si="15"/>
        <v>0</v>
      </c>
      <c r="W65" s="11">
        <f t="shared" si="16"/>
        <v>0</v>
      </c>
      <c r="X65" s="11">
        <v>259.50507542309998</v>
      </c>
      <c r="Y65" s="11">
        <f t="shared" si="17"/>
        <v>0</v>
      </c>
      <c r="Z65" s="11">
        <f t="shared" si="18"/>
        <v>0</v>
      </c>
      <c r="AA65" s="7">
        <v>1835.0666666667</v>
      </c>
      <c r="AB65" s="15">
        <f>IFERROR(AA65/1418,0)</f>
        <v>1.2941231781852609</v>
      </c>
      <c r="AC65" s="11">
        <v>33.11</v>
      </c>
      <c r="AD65" s="15">
        <f>IFERROR(AC65/50.0333333333,0)</f>
        <v>0.66175882744880865</v>
      </c>
      <c r="AE65" s="11"/>
      <c r="AF65" s="11"/>
      <c r="AG65" s="7">
        <v>-125066</v>
      </c>
      <c r="AH65" s="7">
        <v>260</v>
      </c>
      <c r="AI65" s="7">
        <v>20.076923076900002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3"/>
      <c r="AP65" s="11"/>
      <c r="AQ65" s="7"/>
      <c r="AR65" s="7"/>
      <c r="AS65" s="7"/>
      <c r="AT65" s="7"/>
      <c r="AU65" s="7"/>
    </row>
    <row r="66" spans="1:47" x14ac:dyDescent="0.3">
      <c r="A66" s="5" t="s">
        <v>127</v>
      </c>
      <c r="B66" s="5">
        <v>202517</v>
      </c>
      <c r="C66" s="7"/>
      <c r="D66" s="7">
        <v>7</v>
      </c>
      <c r="E66" s="7"/>
      <c r="F66" s="7">
        <v>489228</v>
      </c>
      <c r="G66" s="7">
        <v>1365</v>
      </c>
      <c r="H66" s="9">
        <f t="shared" si="10"/>
        <v>2.7901101326988642E-3</v>
      </c>
      <c r="I66" s="9"/>
      <c r="J66" s="7">
        <v>2857690</v>
      </c>
      <c r="K66" s="11">
        <f t="shared" si="11"/>
        <v>0</v>
      </c>
      <c r="L66" s="11"/>
      <c r="M66" s="11">
        <v>86.377737067400005</v>
      </c>
      <c r="N66" s="11">
        <f t="shared" si="12"/>
        <v>-86.377737067400005</v>
      </c>
      <c r="O66" s="11"/>
      <c r="P66" s="11"/>
      <c r="Q66" s="11"/>
      <c r="R66" s="7">
        <v>394792</v>
      </c>
      <c r="S66" s="11">
        <f t="shared" si="13"/>
        <v>0</v>
      </c>
      <c r="T66" s="13">
        <f t="shared" si="14"/>
        <v>7.2384698778090746</v>
      </c>
      <c r="U66" s="7">
        <v>659471</v>
      </c>
      <c r="V66" s="11">
        <f t="shared" si="15"/>
        <v>0</v>
      </c>
      <c r="W66" s="11">
        <f t="shared" si="16"/>
        <v>0</v>
      </c>
      <c r="X66" s="11">
        <v>264.02061643669998</v>
      </c>
      <c r="Y66" s="11">
        <f t="shared" si="17"/>
        <v>0</v>
      </c>
      <c r="Z66" s="11">
        <f t="shared" si="18"/>
        <v>0</v>
      </c>
      <c r="AA66" s="7">
        <v>1832</v>
      </c>
      <c r="AB66" s="15">
        <f>IFERROR(AA66/1419,0)</f>
        <v>1.2910500352360816</v>
      </c>
      <c r="AC66" s="11">
        <v>28.886666666699998</v>
      </c>
      <c r="AD66" s="15">
        <f>IFERROR(AC66/50.17,0)</f>
        <v>0.57577569596770972</v>
      </c>
      <c r="AE66" s="11"/>
      <c r="AF66" s="11"/>
      <c r="AG66" s="7">
        <v>-100399</v>
      </c>
      <c r="AH66" s="7">
        <v>299</v>
      </c>
      <c r="AI66" s="7">
        <v>18.394648829400001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3"/>
      <c r="AP66" s="11"/>
      <c r="AQ66" s="7"/>
      <c r="AR66" s="7"/>
      <c r="AS66" s="7"/>
      <c r="AT66" s="7"/>
      <c r="AU66" s="7"/>
    </row>
    <row r="67" spans="1:47" x14ac:dyDescent="0.3">
      <c r="A67" s="5" t="s">
        <v>127</v>
      </c>
      <c r="B67" s="5">
        <v>202518</v>
      </c>
      <c r="C67" s="7"/>
      <c r="D67" s="7">
        <v>7</v>
      </c>
      <c r="E67" s="7"/>
      <c r="F67" s="7">
        <v>487405</v>
      </c>
      <c r="G67" s="7">
        <v>1823</v>
      </c>
      <c r="H67" s="9">
        <f t="shared" si="10"/>
        <v>3.7402160421005121E-3</v>
      </c>
      <c r="I67" s="9"/>
      <c r="J67" s="7">
        <v>2810480</v>
      </c>
      <c r="K67" s="11">
        <f t="shared" si="11"/>
        <v>0</v>
      </c>
      <c r="L67" s="11"/>
      <c r="M67" s="11">
        <v>86.230993014000006</v>
      </c>
      <c r="N67" s="11">
        <f t="shared" si="12"/>
        <v>-86.230993014000006</v>
      </c>
      <c r="O67" s="11"/>
      <c r="P67" s="11"/>
      <c r="Q67" s="11"/>
      <c r="R67" s="7">
        <v>406439</v>
      </c>
      <c r="S67" s="11">
        <f t="shared" si="13"/>
        <v>0</v>
      </c>
      <c r="T67" s="13">
        <f t="shared" si="14"/>
        <v>6.9148875969087609</v>
      </c>
      <c r="U67" s="7">
        <v>640990</v>
      </c>
      <c r="V67" s="11">
        <f t="shared" si="15"/>
        <v>0</v>
      </c>
      <c r="W67" s="11">
        <f t="shared" si="16"/>
        <v>0</v>
      </c>
      <c r="X67" s="11">
        <v>272.88667841210003</v>
      </c>
      <c r="Y67" s="11">
        <f t="shared" si="17"/>
        <v>0</v>
      </c>
      <c r="Z67" s="11">
        <f t="shared" si="18"/>
        <v>0</v>
      </c>
      <c r="AA67" s="7">
        <v>1480.9333333333</v>
      </c>
      <c r="AB67" s="15">
        <f>IFERROR(AA67/1419.6666666667,0)</f>
        <v>1.0431556703451035</v>
      </c>
      <c r="AC67" s="11">
        <v>25.066666666700002</v>
      </c>
      <c r="AD67" s="15">
        <f>IFERROR(AC67/50.2166666667,0)</f>
        <v>0.49917026219747818</v>
      </c>
      <c r="AE67" s="11"/>
      <c r="AF67" s="11"/>
      <c r="AG67" s="7">
        <v>-131579</v>
      </c>
      <c r="AH67" s="7">
        <v>413</v>
      </c>
      <c r="AI67" s="7">
        <v>19.5641646489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3"/>
      <c r="AP67" s="11"/>
      <c r="AQ67" s="7"/>
      <c r="AR67" s="7"/>
      <c r="AS67" s="7"/>
      <c r="AT67" s="7"/>
      <c r="AU67" s="7"/>
    </row>
    <row r="68" spans="1:47" x14ac:dyDescent="0.3">
      <c r="A68" s="5" t="s">
        <v>127</v>
      </c>
      <c r="B68" s="5">
        <v>202519</v>
      </c>
      <c r="C68" s="7"/>
      <c r="D68" s="7">
        <v>7</v>
      </c>
      <c r="E68" s="7"/>
      <c r="F68" s="7">
        <v>550779</v>
      </c>
      <c r="G68" s="7">
        <v>1602</v>
      </c>
      <c r="H68" s="9">
        <f t="shared" si="10"/>
        <v>2.9086076266524323E-3</v>
      </c>
      <c r="I68" s="9"/>
      <c r="J68" s="7">
        <v>2874360</v>
      </c>
      <c r="K68" s="11">
        <f t="shared" si="11"/>
        <v>0</v>
      </c>
      <c r="L68" s="11"/>
      <c r="M68" s="11">
        <v>77.687348283099993</v>
      </c>
      <c r="N68" s="11">
        <f t="shared" si="12"/>
        <v>-77.687348283099993</v>
      </c>
      <c r="O68" s="11"/>
      <c r="P68" s="11"/>
      <c r="Q68" s="11"/>
      <c r="R68" s="7">
        <v>429022</v>
      </c>
      <c r="S68" s="11">
        <f t="shared" si="13"/>
        <v>0</v>
      </c>
      <c r="T68" s="13">
        <f t="shared" si="14"/>
        <v>6.6997962808434064</v>
      </c>
      <c r="U68" s="7">
        <v>724399</v>
      </c>
      <c r="V68" s="11">
        <f t="shared" si="15"/>
        <v>0</v>
      </c>
      <c r="W68" s="11">
        <f t="shared" si="16"/>
        <v>0</v>
      </c>
      <c r="X68" s="11">
        <v>276.65080189029999</v>
      </c>
      <c r="Y68" s="11">
        <f t="shared" si="17"/>
        <v>0</v>
      </c>
      <c r="Z68" s="11">
        <f t="shared" si="18"/>
        <v>0</v>
      </c>
      <c r="AA68" s="7">
        <v>1806.75</v>
      </c>
      <c r="AB68" s="15">
        <f>IFERROR(AA68/1291.5625,0)</f>
        <v>1.398887007016695</v>
      </c>
      <c r="AC68" s="11">
        <v>31.274374999999999</v>
      </c>
      <c r="AD68" s="15">
        <f>IFERROR(AC68/45.878125,0)</f>
        <v>0.68168380900483616</v>
      </c>
      <c r="AE68" s="11"/>
      <c r="AF68" s="11"/>
      <c r="AG68" s="7">
        <v>-120839</v>
      </c>
      <c r="AH68" s="7">
        <v>441.5</v>
      </c>
      <c r="AI68" s="7">
        <v>14.677236693099999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3"/>
      <c r="AP68" s="11"/>
      <c r="AQ68" s="7"/>
      <c r="AR68" s="7"/>
      <c r="AS68" s="7"/>
      <c r="AT68" s="7"/>
      <c r="AU68" s="7"/>
    </row>
    <row r="69" spans="1:47" x14ac:dyDescent="0.3">
      <c r="A69" s="5" t="s">
        <v>127</v>
      </c>
      <c r="B69" s="5">
        <v>202520</v>
      </c>
      <c r="C69" s="7"/>
      <c r="D69" s="7">
        <v>7</v>
      </c>
      <c r="E69" s="7"/>
      <c r="F69" s="7">
        <v>570260</v>
      </c>
      <c r="G69" s="7">
        <v>1543</v>
      </c>
      <c r="H69" s="9">
        <f t="shared" si="10"/>
        <v>2.7057833269035175E-3</v>
      </c>
      <c r="I69" s="9"/>
      <c r="J69" s="7">
        <v>2963770</v>
      </c>
      <c r="K69" s="11">
        <f t="shared" si="11"/>
        <v>0</v>
      </c>
      <c r="L69" s="11"/>
      <c r="M69" s="11">
        <v>78.471305106399996</v>
      </c>
      <c r="N69" s="11">
        <f t="shared" si="12"/>
        <v>-78.471305106399996</v>
      </c>
      <c r="O69" s="11"/>
      <c r="P69" s="11"/>
      <c r="Q69" s="11"/>
      <c r="R69" s="7">
        <v>451471</v>
      </c>
      <c r="S69" s="11">
        <f t="shared" si="13"/>
        <v>0</v>
      </c>
      <c r="T69" s="13">
        <f t="shared" si="14"/>
        <v>6.5646962927851398</v>
      </c>
      <c r="U69" s="7">
        <v>751913</v>
      </c>
      <c r="V69" s="11">
        <f t="shared" si="15"/>
        <v>0</v>
      </c>
      <c r="W69" s="11">
        <f t="shared" si="16"/>
        <v>0</v>
      </c>
      <c r="X69" s="11">
        <v>276.6835720725</v>
      </c>
      <c r="Y69" s="11">
        <f t="shared" si="17"/>
        <v>0</v>
      </c>
      <c r="Z69" s="11">
        <f t="shared" si="18"/>
        <v>0</v>
      </c>
      <c r="AA69" s="7">
        <v>1596</v>
      </c>
      <c r="AB69" s="15">
        <f>IFERROR(AA69/1315.2941176471,0)</f>
        <v>1.2134168157423593</v>
      </c>
      <c r="AC69" s="11">
        <v>22.019411764699999</v>
      </c>
      <c r="AD69" s="15">
        <f>IFERROR(AC69/46.2647058824,0)</f>
        <v>0.47594405594344463</v>
      </c>
      <c r="AE69" s="11"/>
      <c r="AF69" s="11"/>
      <c r="AG69" s="7">
        <v>-168663</v>
      </c>
      <c r="AH69" s="7">
        <v>415.5</v>
      </c>
      <c r="AI69" s="7">
        <v>14.440433213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3"/>
      <c r="AP69" s="11"/>
      <c r="AQ69" s="7"/>
      <c r="AR69" s="7"/>
      <c r="AS69" s="7"/>
      <c r="AT69" s="7"/>
      <c r="AU69" s="7"/>
    </row>
    <row r="70" spans="1:47" x14ac:dyDescent="0.3">
      <c r="A70" s="5" t="s">
        <v>127</v>
      </c>
      <c r="B70" s="5">
        <v>202521</v>
      </c>
      <c r="C70" s="7"/>
      <c r="D70" s="7">
        <v>7</v>
      </c>
      <c r="E70" s="7"/>
      <c r="F70" s="7">
        <v>529690</v>
      </c>
      <c r="G70" s="7">
        <v>2077</v>
      </c>
      <c r="H70" s="9">
        <f t="shared" si="10"/>
        <v>3.9211614340463287E-3</v>
      </c>
      <c r="I70" s="9"/>
      <c r="J70" s="7">
        <v>2949350</v>
      </c>
      <c r="K70" s="11">
        <f t="shared" si="11"/>
        <v>0</v>
      </c>
      <c r="L70" s="11"/>
      <c r="M70" s="11">
        <v>81.995255054799998</v>
      </c>
      <c r="N70" s="11">
        <f t="shared" si="12"/>
        <v>-81.995255054799998</v>
      </c>
      <c r="O70" s="11"/>
      <c r="P70" s="11"/>
      <c r="Q70" s="11"/>
      <c r="R70" s="7">
        <v>424842</v>
      </c>
      <c r="S70" s="11">
        <f t="shared" si="13"/>
        <v>0</v>
      </c>
      <c r="T70" s="13">
        <f t="shared" si="14"/>
        <v>6.9422279341496367</v>
      </c>
      <c r="U70" s="7">
        <v>700753</v>
      </c>
      <c r="V70" s="11">
        <f t="shared" si="15"/>
        <v>0</v>
      </c>
      <c r="W70" s="11">
        <f t="shared" si="16"/>
        <v>0</v>
      </c>
      <c r="X70" s="11">
        <v>287.08050814860002</v>
      </c>
      <c r="Y70" s="11">
        <f t="shared" si="17"/>
        <v>0</v>
      </c>
      <c r="Z70" s="11">
        <f t="shared" si="18"/>
        <v>0</v>
      </c>
      <c r="AA70" s="7">
        <v>1583.2941176470999</v>
      </c>
      <c r="AB70" s="15">
        <f>IFERROR(AA70/1202.6470588235,0)</f>
        <v>1.3165077035950774</v>
      </c>
      <c r="AC70" s="11">
        <v>22.0623529412</v>
      </c>
      <c r="AD70" s="15">
        <f>IFERROR(AC70/42.6764705882,0)</f>
        <v>0.51696760854680934</v>
      </c>
      <c r="AE70" s="11"/>
      <c r="AF70" s="11"/>
      <c r="AG70" s="7">
        <v>-157195</v>
      </c>
      <c r="AH70" s="7">
        <v>299</v>
      </c>
      <c r="AI70" s="7">
        <v>18.394648829400001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3"/>
      <c r="AP70" s="11"/>
      <c r="AQ70" s="7"/>
      <c r="AR70" s="7"/>
      <c r="AS70" s="7"/>
      <c r="AT70" s="7"/>
      <c r="AU70" s="7"/>
    </row>
    <row r="71" spans="1:47" x14ac:dyDescent="0.3">
      <c r="A71" s="5" t="s">
        <v>127</v>
      </c>
      <c r="B71" s="5">
        <v>202522</v>
      </c>
      <c r="C71" s="7"/>
      <c r="D71" s="7">
        <v>7</v>
      </c>
      <c r="E71" s="7"/>
      <c r="F71" s="7">
        <v>528236</v>
      </c>
      <c r="G71" s="7">
        <v>1454</v>
      </c>
      <c r="H71" s="9">
        <f t="shared" si="10"/>
        <v>2.7525575689653866E-3</v>
      </c>
      <c r="I71" s="9"/>
      <c r="J71" s="7">
        <v>2822230</v>
      </c>
      <c r="K71" s="11">
        <f t="shared" si="11"/>
        <v>0</v>
      </c>
      <c r="L71" s="11"/>
      <c r="M71" s="11">
        <v>84.847508405300005</v>
      </c>
      <c r="N71" s="11">
        <f t="shared" si="12"/>
        <v>-84.847508405300005</v>
      </c>
      <c r="O71" s="11"/>
      <c r="P71" s="11"/>
      <c r="Q71" s="11"/>
      <c r="R71" s="7">
        <v>393361</v>
      </c>
      <c r="S71" s="11">
        <f t="shared" si="13"/>
        <v>0</v>
      </c>
      <c r="T71" s="13">
        <f t="shared" si="14"/>
        <v>7.1746563589171268</v>
      </c>
      <c r="U71" s="7">
        <v>666118</v>
      </c>
      <c r="V71" s="11">
        <f t="shared" si="15"/>
        <v>0</v>
      </c>
      <c r="W71" s="11">
        <f t="shared" si="16"/>
        <v>0</v>
      </c>
      <c r="X71" s="11">
        <v>291.5919998169</v>
      </c>
      <c r="Y71" s="11">
        <f t="shared" si="17"/>
        <v>0</v>
      </c>
      <c r="Z71" s="11">
        <f t="shared" si="18"/>
        <v>0</v>
      </c>
      <c r="AA71" s="7">
        <v>1679.8</v>
      </c>
      <c r="AB71" s="15">
        <f>IFERROR(AA71/1372,0)</f>
        <v>1.2243440233236151</v>
      </c>
      <c r="AC71" s="11">
        <v>24.361999999999998</v>
      </c>
      <c r="AD71" s="15">
        <f>IFERROR(AC71/48.63,0)</f>
        <v>0.50096648159572277</v>
      </c>
      <c r="AE71" s="11"/>
      <c r="AF71" s="11"/>
      <c r="AG71" s="7">
        <v>-262381</v>
      </c>
      <c r="AH71" s="7">
        <v>292</v>
      </c>
      <c r="AI71" s="7">
        <v>16.301369863000001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3"/>
      <c r="AP71" s="11"/>
      <c r="AQ71" s="7"/>
      <c r="AR71" s="7"/>
      <c r="AS71" s="7"/>
      <c r="AT71" s="7"/>
      <c r="AU71" s="7"/>
    </row>
    <row r="72" spans="1:47" x14ac:dyDescent="0.3">
      <c r="A72" s="5" t="s">
        <v>127</v>
      </c>
      <c r="B72" s="5">
        <v>202523</v>
      </c>
      <c r="C72" s="7"/>
      <c r="D72" s="7">
        <v>7</v>
      </c>
      <c r="E72" s="7"/>
      <c r="F72" s="7">
        <v>488676</v>
      </c>
      <c r="G72" s="7">
        <v>1534</v>
      </c>
      <c r="H72" s="9">
        <f t="shared" si="10"/>
        <v>3.1390942055676972E-3</v>
      </c>
      <c r="I72" s="9"/>
      <c r="J72" s="7">
        <v>2828460</v>
      </c>
      <c r="K72" s="11">
        <f t="shared" si="11"/>
        <v>0</v>
      </c>
      <c r="L72" s="11"/>
      <c r="M72" s="11">
        <v>87.287179235300002</v>
      </c>
      <c r="N72" s="11">
        <f t="shared" si="12"/>
        <v>-87.287179235300002</v>
      </c>
      <c r="O72" s="11"/>
      <c r="P72" s="11"/>
      <c r="Q72" s="11"/>
      <c r="R72" s="7">
        <v>389311</v>
      </c>
      <c r="S72" s="11">
        <f t="shared" si="13"/>
        <v>0</v>
      </c>
      <c r="T72" s="13">
        <f t="shared" si="14"/>
        <v>7.2652968963116891</v>
      </c>
      <c r="U72" s="7">
        <v>673123</v>
      </c>
      <c r="V72" s="11">
        <f t="shared" si="15"/>
        <v>0</v>
      </c>
      <c r="W72" s="11">
        <f t="shared" si="16"/>
        <v>0</v>
      </c>
      <c r="X72" s="11">
        <v>290.38387819949997</v>
      </c>
      <c r="Y72" s="11">
        <f t="shared" si="17"/>
        <v>0</v>
      </c>
      <c r="Z72" s="11">
        <f t="shared" si="18"/>
        <v>0</v>
      </c>
      <c r="AA72" s="7">
        <v>1791.1428571429001</v>
      </c>
      <c r="AB72" s="15">
        <f>IFERROR(AA72/1476.0714285714,0)</f>
        <v>1.213452697798262</v>
      </c>
      <c r="AC72" s="11">
        <v>13.2585714286</v>
      </c>
      <c r="AD72" s="15">
        <f>IFERROR(AC72/52.3785714286,0)</f>
        <v>0.25312968771348526</v>
      </c>
      <c r="AE72" s="11"/>
      <c r="AF72" s="11"/>
      <c r="AG72" s="7">
        <v>-157400</v>
      </c>
      <c r="AH72" s="7">
        <v>238</v>
      </c>
      <c r="AI72" s="7">
        <v>18.739495798299998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3"/>
      <c r="AP72" s="11"/>
      <c r="AQ72" s="7"/>
      <c r="AR72" s="7"/>
      <c r="AS72" s="7"/>
      <c r="AT72" s="7"/>
      <c r="AU72" s="7"/>
    </row>
    <row r="73" spans="1:47" x14ac:dyDescent="0.3">
      <c r="A73" s="5" t="s">
        <v>127</v>
      </c>
      <c r="B73" s="5">
        <v>202524</v>
      </c>
      <c r="C73" s="7"/>
      <c r="D73" s="7">
        <v>7</v>
      </c>
      <c r="E73" s="7"/>
      <c r="F73" s="7">
        <v>487064</v>
      </c>
      <c r="G73" s="7">
        <v>1612</v>
      </c>
      <c r="H73" s="9">
        <f t="shared" si="10"/>
        <v>3.3096266609726854E-3</v>
      </c>
      <c r="I73" s="9"/>
      <c r="J73" s="7">
        <v>2816420</v>
      </c>
      <c r="K73" s="11">
        <f t="shared" si="11"/>
        <v>0</v>
      </c>
      <c r="L73" s="11"/>
      <c r="M73" s="11">
        <v>87.444207332100007</v>
      </c>
      <c r="N73" s="11">
        <f t="shared" si="12"/>
        <v>-87.444207332100007</v>
      </c>
      <c r="O73" s="11"/>
      <c r="P73" s="11"/>
      <c r="Q73" s="11"/>
      <c r="R73" s="7">
        <v>394030</v>
      </c>
      <c r="S73" s="11">
        <f t="shared" si="13"/>
        <v>0</v>
      </c>
      <c r="T73" s="13">
        <f t="shared" si="14"/>
        <v>7.1477298682841406</v>
      </c>
      <c r="U73" s="7">
        <v>688409</v>
      </c>
      <c r="V73" s="11">
        <f t="shared" si="15"/>
        <v>0</v>
      </c>
      <c r="W73" s="11">
        <f t="shared" si="16"/>
        <v>0</v>
      </c>
      <c r="X73" s="11">
        <v>285.8514642431</v>
      </c>
      <c r="Y73" s="11">
        <f t="shared" si="17"/>
        <v>0</v>
      </c>
      <c r="Z73" s="11">
        <f t="shared" si="18"/>
        <v>0</v>
      </c>
      <c r="AA73" s="7">
        <v>1642.4285714286</v>
      </c>
      <c r="AB73" s="15">
        <f>IFERROR(AA73/1478.9285714286,0)</f>
        <v>1.1105530065201621</v>
      </c>
      <c r="AC73" s="11">
        <v>13.2907142857</v>
      </c>
      <c r="AD73" s="15">
        <f>IFERROR(AC73/52.625,0)</f>
        <v>0.25255514082090263</v>
      </c>
      <c r="AE73" s="11"/>
      <c r="AF73" s="11"/>
      <c r="AG73" s="7">
        <v>-164945</v>
      </c>
      <c r="AH73" s="7">
        <v>282</v>
      </c>
      <c r="AI73" s="7">
        <v>18.510638297900002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3"/>
      <c r="AP73" s="11"/>
      <c r="AQ73" s="7"/>
      <c r="AR73" s="7"/>
      <c r="AS73" s="7"/>
      <c r="AT73" s="7"/>
      <c r="AU73" s="7"/>
    </row>
    <row r="74" spans="1:47" x14ac:dyDescent="0.3">
      <c r="A74" s="5" t="s">
        <v>127</v>
      </c>
      <c r="B74" s="5">
        <v>202525</v>
      </c>
      <c r="C74" s="7"/>
      <c r="D74" s="7">
        <v>7</v>
      </c>
      <c r="E74" s="7"/>
      <c r="F74" s="7">
        <v>485513</v>
      </c>
      <c r="G74" s="7">
        <v>1551</v>
      </c>
      <c r="H74" s="9">
        <f t="shared" si="10"/>
        <v>3.194559157015363E-3</v>
      </c>
      <c r="I74" s="9"/>
      <c r="J74" s="7">
        <v>2821880</v>
      </c>
      <c r="K74" s="11">
        <f t="shared" si="11"/>
        <v>0</v>
      </c>
      <c r="L74" s="11"/>
      <c r="M74" s="11">
        <v>87.452300350399994</v>
      </c>
      <c r="N74" s="11">
        <f t="shared" si="12"/>
        <v>-87.452300350399994</v>
      </c>
      <c r="O74" s="11"/>
      <c r="P74" s="11"/>
      <c r="Q74" s="11"/>
      <c r="R74" s="7">
        <v>401700</v>
      </c>
      <c r="S74" s="11">
        <f t="shared" si="13"/>
        <v>0</v>
      </c>
      <c r="T74" s="13">
        <f t="shared" si="14"/>
        <v>7.024844411252178</v>
      </c>
      <c r="U74" s="7">
        <v>678919</v>
      </c>
      <c r="V74" s="11">
        <f t="shared" si="15"/>
        <v>0</v>
      </c>
      <c r="W74" s="11">
        <f t="shared" si="16"/>
        <v>0</v>
      </c>
      <c r="X74" s="11">
        <v>290.45160354209997</v>
      </c>
      <c r="Y74" s="11">
        <f t="shared" si="17"/>
        <v>0</v>
      </c>
      <c r="Z74" s="11">
        <f t="shared" si="18"/>
        <v>0</v>
      </c>
      <c r="AA74" s="7">
        <v>1773.1428571429001</v>
      </c>
      <c r="AB74" s="15">
        <f>IFERROR(AA74/1483.5714285714,0)</f>
        <v>1.1951853635051073</v>
      </c>
      <c r="AC74" s="11">
        <v>13.3107142857</v>
      </c>
      <c r="AD74" s="15">
        <f>IFERROR(AC74/52.8321428571,0)</f>
        <v>0.25194348678422385</v>
      </c>
      <c r="AE74" s="11"/>
      <c r="AF74" s="11"/>
      <c r="AG74" s="7">
        <v>-150266</v>
      </c>
      <c r="AH74" s="7">
        <v>281</v>
      </c>
      <c r="AI74" s="7">
        <v>17.3665480427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3"/>
      <c r="AP74" s="11"/>
      <c r="AQ74" s="7"/>
      <c r="AR74" s="7"/>
      <c r="AS74" s="7"/>
      <c r="AT74" s="7"/>
      <c r="AU74" s="7"/>
    </row>
    <row r="75" spans="1:47" x14ac:dyDescent="0.3">
      <c r="A75" s="5" t="s">
        <v>127</v>
      </c>
      <c r="B75" s="5">
        <v>202526</v>
      </c>
      <c r="C75" s="7"/>
      <c r="D75" s="7">
        <v>7</v>
      </c>
      <c r="E75" s="7"/>
      <c r="F75" s="7">
        <v>483783</v>
      </c>
      <c r="G75" s="7">
        <v>1730</v>
      </c>
      <c r="H75" s="9">
        <f t="shared" si="10"/>
        <v>3.5759834471240206E-3</v>
      </c>
      <c r="I75" s="9"/>
      <c r="J75" s="7">
        <v>2804910</v>
      </c>
      <c r="K75" s="11">
        <f t="shared" si="11"/>
        <v>0</v>
      </c>
      <c r="L75" s="11"/>
      <c r="M75" s="11">
        <v>87.459221593199999</v>
      </c>
      <c r="N75" s="11">
        <f t="shared" si="12"/>
        <v>-87.459221593199999</v>
      </c>
      <c r="O75" s="11"/>
      <c r="P75" s="11"/>
      <c r="Q75" s="11"/>
      <c r="R75" s="7">
        <v>395581</v>
      </c>
      <c r="S75" s="11">
        <f t="shared" si="13"/>
        <v>0</v>
      </c>
      <c r="T75" s="13">
        <f t="shared" si="14"/>
        <v>7.0906084973747472</v>
      </c>
      <c r="U75" s="7">
        <v>662631</v>
      </c>
      <c r="V75" s="11">
        <f t="shared" si="15"/>
        <v>0</v>
      </c>
      <c r="W75" s="11">
        <f t="shared" si="16"/>
        <v>0</v>
      </c>
      <c r="X75" s="11">
        <v>294.01859998330002</v>
      </c>
      <c r="Y75" s="11">
        <f t="shared" si="17"/>
        <v>0</v>
      </c>
      <c r="Z75" s="11">
        <f t="shared" si="18"/>
        <v>0</v>
      </c>
      <c r="AA75" s="7">
        <v>1781.7857142856999</v>
      </c>
      <c r="AB75" s="15">
        <f>IFERROR(AA75/1628.2142857143,0)</f>
        <v>1.0943189295898039</v>
      </c>
      <c r="AC75" s="11">
        <v>22.202857142900001</v>
      </c>
      <c r="AD75" s="15">
        <f>IFERROR(AC75/57.725,0)</f>
        <v>0.38463156592291037</v>
      </c>
      <c r="AE75" s="11"/>
      <c r="AF75" s="11"/>
      <c r="AG75" s="7">
        <v>-156880</v>
      </c>
      <c r="AH75" s="7">
        <v>248</v>
      </c>
      <c r="AI75" s="7">
        <v>19.032258064499999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3"/>
      <c r="AP75" s="11"/>
      <c r="AQ75" s="7"/>
      <c r="AR75" s="7"/>
      <c r="AS75" s="7"/>
      <c r="AT75" s="7"/>
      <c r="AU75" s="7"/>
    </row>
    <row r="76" spans="1:47" x14ac:dyDescent="0.3">
      <c r="A76" s="5" t="s">
        <v>127</v>
      </c>
      <c r="B76" s="5">
        <v>202527</v>
      </c>
      <c r="C76" s="7"/>
      <c r="D76" s="7">
        <v>7</v>
      </c>
      <c r="E76" s="7"/>
      <c r="F76" s="7">
        <v>482053</v>
      </c>
      <c r="G76" s="7">
        <v>1730</v>
      </c>
      <c r="H76" s="9">
        <f t="shared" si="10"/>
        <v>3.5888169973011265E-3</v>
      </c>
      <c r="I76" s="9"/>
      <c r="J76" s="7">
        <v>2798390</v>
      </c>
      <c r="K76" s="11">
        <f t="shared" si="11"/>
        <v>0</v>
      </c>
      <c r="L76" s="11"/>
      <c r="M76" s="11">
        <v>87.169096551600006</v>
      </c>
      <c r="N76" s="11">
        <f t="shared" si="12"/>
        <v>-87.169096551600006</v>
      </c>
      <c r="O76" s="11"/>
      <c r="P76" s="11"/>
      <c r="Q76" s="11"/>
      <c r="R76" s="7">
        <v>389529</v>
      </c>
      <c r="S76" s="11">
        <f t="shared" si="13"/>
        <v>0</v>
      </c>
      <c r="T76" s="13">
        <f t="shared" si="14"/>
        <v>7.1840350782611822</v>
      </c>
      <c r="U76" s="7">
        <v>673541</v>
      </c>
      <c r="V76" s="11">
        <f t="shared" si="15"/>
        <v>0</v>
      </c>
      <c r="W76" s="11">
        <f t="shared" si="16"/>
        <v>0</v>
      </c>
      <c r="X76" s="11">
        <v>293.0062989699</v>
      </c>
      <c r="Y76" s="11">
        <f t="shared" si="17"/>
        <v>0</v>
      </c>
      <c r="Z76" s="11">
        <f t="shared" si="18"/>
        <v>0</v>
      </c>
      <c r="AA76" s="7">
        <v>1848</v>
      </c>
      <c r="AB76" s="15">
        <f>IFERROR(AA76/1487.8571428571,0)</f>
        <v>1.2420547287566368</v>
      </c>
      <c r="AC76" s="11">
        <v>0</v>
      </c>
      <c r="AD76" s="15">
        <f>IFERROR(AC76/53.2035714286,0)</f>
        <v>0</v>
      </c>
      <c r="AE76" s="11"/>
      <c r="AF76" s="11"/>
      <c r="AG76" s="7">
        <v>-143019</v>
      </c>
      <c r="AH76" s="7">
        <v>271</v>
      </c>
      <c r="AI76" s="7">
        <v>13.9483394834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3"/>
      <c r="AP76" s="11"/>
      <c r="AQ76" s="7"/>
      <c r="AR76" s="7"/>
      <c r="AS76" s="7"/>
      <c r="AT76" s="7"/>
      <c r="AU76" s="7"/>
    </row>
    <row r="77" spans="1:47" x14ac:dyDescent="0.3">
      <c r="A77" s="5" t="s">
        <v>127</v>
      </c>
      <c r="B77" s="5">
        <v>202528</v>
      </c>
      <c r="C77" s="7"/>
      <c r="D77" s="7">
        <v>7</v>
      </c>
      <c r="E77" s="7"/>
      <c r="F77" s="7">
        <v>565494</v>
      </c>
      <c r="G77" s="7">
        <v>2228</v>
      </c>
      <c r="H77" s="9">
        <f t="shared" si="10"/>
        <v>3.9399180185819829E-3</v>
      </c>
      <c r="I77" s="9"/>
      <c r="J77" s="7">
        <v>2866840</v>
      </c>
      <c r="K77" s="11">
        <f t="shared" si="11"/>
        <v>0</v>
      </c>
      <c r="L77" s="11"/>
      <c r="M77" s="11">
        <v>76.047797412500003</v>
      </c>
      <c r="N77" s="11">
        <f t="shared" si="12"/>
        <v>-76.047797412500003</v>
      </c>
      <c r="O77" s="11"/>
      <c r="P77" s="11"/>
      <c r="Q77" s="11"/>
      <c r="R77" s="7">
        <v>449387</v>
      </c>
      <c r="S77" s="11">
        <f t="shared" si="13"/>
        <v>0</v>
      </c>
      <c r="T77" s="13">
        <f t="shared" si="14"/>
        <v>6.3794457783602994</v>
      </c>
      <c r="U77" s="7">
        <v>778505</v>
      </c>
      <c r="V77" s="11">
        <f t="shared" si="15"/>
        <v>0</v>
      </c>
      <c r="W77" s="11">
        <f t="shared" si="16"/>
        <v>0</v>
      </c>
      <c r="X77" s="11">
        <v>295.80094378720003</v>
      </c>
      <c r="Y77" s="11">
        <f t="shared" si="17"/>
        <v>0</v>
      </c>
      <c r="Z77" s="11">
        <f t="shared" si="18"/>
        <v>0</v>
      </c>
      <c r="AA77" s="7">
        <v>1731.7058823529001</v>
      </c>
      <c r="AB77" s="15">
        <f>IFERROR(AA77/1478.5294117647,0)</f>
        <v>1.1712353292221771</v>
      </c>
      <c r="AC77" s="11">
        <v>18.336470588200001</v>
      </c>
      <c r="AD77" s="15">
        <f>IFERROR(AC77/52.0029411765,0)</f>
        <v>0.35260449069534949</v>
      </c>
      <c r="AE77" s="11"/>
      <c r="AF77" s="11"/>
      <c r="AG77" s="7">
        <v>-143480</v>
      </c>
      <c r="AH77" s="7">
        <v>269</v>
      </c>
      <c r="AI77" s="7">
        <v>18.810408921899999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3"/>
      <c r="AP77" s="11"/>
      <c r="AQ77" s="7"/>
      <c r="AR77" s="7"/>
      <c r="AS77" s="7"/>
      <c r="AT77" s="7"/>
      <c r="AU77" s="7"/>
    </row>
    <row r="78" spans="1:47" x14ac:dyDescent="0.3">
      <c r="A78" s="5" t="s">
        <v>127</v>
      </c>
      <c r="B78" s="5">
        <v>202529</v>
      </c>
      <c r="C78" s="7"/>
      <c r="D78" s="7">
        <v>7</v>
      </c>
      <c r="E78" s="7"/>
      <c r="F78" s="7">
        <v>553717</v>
      </c>
      <c r="G78" s="7">
        <v>1817</v>
      </c>
      <c r="H78" s="9">
        <f t="shared" si="10"/>
        <v>3.2814596626074329E-3</v>
      </c>
      <c r="I78" s="9"/>
      <c r="J78" s="7">
        <v>2996690</v>
      </c>
      <c r="K78" s="11">
        <f t="shared" si="11"/>
        <v>0</v>
      </c>
      <c r="L78" s="11"/>
      <c r="M78" s="11">
        <v>80.088903176200006</v>
      </c>
      <c r="N78" s="11">
        <f t="shared" si="12"/>
        <v>-80.088903176200006</v>
      </c>
      <c r="O78" s="11"/>
      <c r="P78" s="11"/>
      <c r="Q78" s="11"/>
      <c r="R78" s="7">
        <v>444434</v>
      </c>
      <c r="S78" s="11">
        <f t="shared" si="13"/>
        <v>0</v>
      </c>
      <c r="T78" s="13">
        <f t="shared" si="14"/>
        <v>6.7427109537074124</v>
      </c>
      <c r="U78" s="7">
        <v>778471</v>
      </c>
      <c r="V78" s="11">
        <f t="shared" si="15"/>
        <v>0</v>
      </c>
      <c r="W78" s="11">
        <f t="shared" si="16"/>
        <v>0</v>
      </c>
      <c r="X78" s="11">
        <v>293.30139629280001</v>
      </c>
      <c r="Y78" s="11">
        <f t="shared" si="17"/>
        <v>0</v>
      </c>
      <c r="Z78" s="11">
        <f t="shared" si="18"/>
        <v>0</v>
      </c>
      <c r="AA78" s="7">
        <v>1759.5882352941001</v>
      </c>
      <c r="AB78" s="15">
        <f>IFERROR(AA78/1490.5882352941,0)</f>
        <v>1.1804656669297575</v>
      </c>
      <c r="AC78" s="11">
        <v>18.347058823499999</v>
      </c>
      <c r="AD78" s="15">
        <f>IFERROR(AC78/52.5088235294,0)</f>
        <v>0.34940906290211154</v>
      </c>
      <c r="AE78" s="11"/>
      <c r="AF78" s="11"/>
      <c r="AG78" s="7">
        <v>-107571</v>
      </c>
      <c r="AH78" s="7">
        <v>296</v>
      </c>
      <c r="AI78" s="7">
        <v>18.851351351400002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  <c r="AO78" s="13"/>
      <c r="AP78" s="11"/>
      <c r="AQ78" s="7"/>
      <c r="AR78" s="7"/>
      <c r="AS78" s="7"/>
      <c r="AT78" s="7"/>
      <c r="AU78" s="7"/>
    </row>
    <row r="79" spans="1:47" x14ac:dyDescent="0.3">
      <c r="A79" s="5" t="s">
        <v>127</v>
      </c>
      <c r="B79" s="5">
        <v>202530</v>
      </c>
      <c r="C79" s="7"/>
      <c r="D79" s="7">
        <v>7</v>
      </c>
      <c r="E79" s="7"/>
      <c r="F79" s="7">
        <v>560937</v>
      </c>
      <c r="G79" s="7">
        <v>2310</v>
      </c>
      <c r="H79" s="9">
        <f t="shared" si="10"/>
        <v>4.1181095203204638E-3</v>
      </c>
      <c r="I79" s="9"/>
      <c r="J79" s="7">
        <v>3033040</v>
      </c>
      <c r="K79" s="11">
        <f t="shared" si="11"/>
        <v>0</v>
      </c>
      <c r="L79" s="11"/>
      <c r="M79" s="11">
        <v>84.090433061100001</v>
      </c>
      <c r="N79" s="11">
        <f t="shared" si="12"/>
        <v>-84.090433061100001</v>
      </c>
      <c r="O79" s="11"/>
      <c r="P79" s="11"/>
      <c r="Q79" s="11"/>
      <c r="R79" s="7">
        <v>426065</v>
      </c>
      <c r="S79" s="11">
        <f t="shared" si="13"/>
        <v>0</v>
      </c>
      <c r="T79" s="13">
        <f t="shared" si="14"/>
        <v>7.1187260159834764</v>
      </c>
      <c r="U79" s="7">
        <v>741755</v>
      </c>
      <c r="V79" s="11">
        <f t="shared" si="15"/>
        <v>0</v>
      </c>
      <c r="W79" s="11">
        <f t="shared" si="16"/>
        <v>0</v>
      </c>
      <c r="X79" s="11">
        <v>298.1432323203</v>
      </c>
      <c r="Y79" s="11">
        <f t="shared" si="17"/>
        <v>0</v>
      </c>
      <c r="Z79" s="11">
        <f t="shared" si="18"/>
        <v>0</v>
      </c>
      <c r="AA79" s="7">
        <v>1651.6470588234999</v>
      </c>
      <c r="AB79" s="15">
        <f>IFERROR(AA79/1402.3529411765,0)</f>
        <v>1.1777684563757931</v>
      </c>
      <c r="AC79" s="11">
        <v>18.365294117600001</v>
      </c>
      <c r="AD79" s="15">
        <f>IFERROR(AC79/49.1647058824,0)</f>
        <v>0.37354630294197316</v>
      </c>
      <c r="AE79" s="11"/>
      <c r="AF79" s="11"/>
      <c r="AG79" s="7">
        <v>-268820</v>
      </c>
      <c r="AH79" s="7">
        <v>279</v>
      </c>
      <c r="AI79" s="7">
        <v>19.641577060900001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3"/>
      <c r="AP79" s="11"/>
      <c r="AQ79" s="7"/>
      <c r="AR79" s="7"/>
      <c r="AS79" s="7"/>
      <c r="AT79" s="7"/>
      <c r="AU79" s="7"/>
    </row>
    <row r="80" spans="1:47" x14ac:dyDescent="0.3">
      <c r="A80" s="5" t="s">
        <v>127</v>
      </c>
      <c r="B80" s="5">
        <v>202531</v>
      </c>
      <c r="C80" s="7"/>
      <c r="D80" s="7">
        <v>7</v>
      </c>
      <c r="E80" s="7"/>
      <c r="F80" s="7">
        <v>558235</v>
      </c>
      <c r="G80" s="7">
        <v>2702</v>
      </c>
      <c r="H80" s="9">
        <f t="shared" si="10"/>
        <v>4.8402554479744196E-3</v>
      </c>
      <c r="I80" s="9"/>
      <c r="J80" s="7">
        <v>2925750</v>
      </c>
      <c r="K80" s="11">
        <f t="shared" si="11"/>
        <v>0</v>
      </c>
      <c r="L80" s="11"/>
      <c r="M80" s="11">
        <v>78.335453438100004</v>
      </c>
      <c r="N80" s="11">
        <f t="shared" si="12"/>
        <v>-78.335453438100004</v>
      </c>
      <c r="O80" s="11"/>
      <c r="P80" s="11"/>
      <c r="Q80" s="11"/>
      <c r="R80" s="7">
        <v>430992</v>
      </c>
      <c r="S80" s="11">
        <f t="shared" si="13"/>
        <v>0</v>
      </c>
      <c r="T80" s="13">
        <f t="shared" si="14"/>
        <v>6.7884090655975049</v>
      </c>
      <c r="U80" s="7">
        <v>724284</v>
      </c>
      <c r="V80" s="11">
        <f t="shared" si="15"/>
        <v>0</v>
      </c>
      <c r="W80" s="11">
        <f t="shared" si="16"/>
        <v>0</v>
      </c>
      <c r="X80" s="11">
        <v>300.7973575048</v>
      </c>
      <c r="Y80" s="11">
        <f t="shared" si="17"/>
        <v>0</v>
      </c>
      <c r="Z80" s="11">
        <f t="shared" si="18"/>
        <v>0</v>
      </c>
      <c r="AA80" s="7">
        <v>1555.2352941176</v>
      </c>
      <c r="AB80" s="15">
        <f>IFERROR(AA80/1411.4705882353,0)</f>
        <v>1.1018545530318438</v>
      </c>
      <c r="AC80" s="11">
        <v>18.387647058799999</v>
      </c>
      <c r="AD80" s="15">
        <f>IFERROR(AC80/49.5588235294,0)</f>
        <v>0.37102670623106726</v>
      </c>
      <c r="AE80" s="11"/>
      <c r="AF80" s="11"/>
      <c r="AG80" s="7">
        <v>-135321</v>
      </c>
      <c r="AH80" s="7">
        <v>338</v>
      </c>
      <c r="AI80" s="7">
        <v>16.1538461538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3"/>
      <c r="AP80" s="11"/>
      <c r="AQ80" s="7"/>
      <c r="AR80" s="7"/>
      <c r="AS80" s="7"/>
      <c r="AT80" s="7"/>
      <c r="AU80" s="7"/>
    </row>
    <row r="81" spans="1:47" x14ac:dyDescent="0.3">
      <c r="A81" s="5" t="s">
        <v>127</v>
      </c>
      <c r="B81" s="5">
        <v>202532</v>
      </c>
      <c r="C81" s="7"/>
      <c r="D81" s="7">
        <v>7</v>
      </c>
      <c r="E81" s="7"/>
      <c r="F81" s="7">
        <v>555747</v>
      </c>
      <c r="G81" s="7">
        <v>2488</v>
      </c>
      <c r="H81" s="9">
        <f t="shared" si="10"/>
        <v>4.4768572749830406E-3</v>
      </c>
      <c r="I81" s="9"/>
      <c r="J81" s="7">
        <v>2906050</v>
      </c>
      <c r="K81" s="11">
        <f t="shared" si="11"/>
        <v>0</v>
      </c>
      <c r="L81" s="11"/>
      <c r="M81" s="11">
        <v>78.962127910700005</v>
      </c>
      <c r="N81" s="11">
        <f t="shared" si="12"/>
        <v>-78.962127910700005</v>
      </c>
      <c r="O81" s="11"/>
      <c r="P81" s="11"/>
      <c r="Q81" s="11"/>
      <c r="R81" s="7">
        <v>447487</v>
      </c>
      <c r="S81" s="11">
        <f t="shared" si="13"/>
        <v>0</v>
      </c>
      <c r="T81" s="13">
        <f t="shared" si="14"/>
        <v>6.4941551374676809</v>
      </c>
      <c r="U81" s="7">
        <v>730748</v>
      </c>
      <c r="V81" s="11">
        <f t="shared" si="15"/>
        <v>0</v>
      </c>
      <c r="W81" s="11">
        <f t="shared" si="16"/>
        <v>0</v>
      </c>
      <c r="X81" s="11">
        <v>298.68362852360002</v>
      </c>
      <c r="Y81" s="11">
        <f t="shared" si="17"/>
        <v>0</v>
      </c>
      <c r="Z81" s="11">
        <f t="shared" si="18"/>
        <v>0</v>
      </c>
      <c r="AA81" s="7">
        <v>1633.8823529412</v>
      </c>
      <c r="AB81" s="15">
        <f>IFERROR(AA81/1417.3529411765,0)</f>
        <v>1.1527702842913394</v>
      </c>
      <c r="AC81" s="11">
        <v>18.412352941200002</v>
      </c>
      <c r="AD81" s="15">
        <f>IFERROR(AC81/49.8823529412,0)</f>
        <v>0.36911556603803347</v>
      </c>
      <c r="AE81" s="11"/>
      <c r="AF81" s="11"/>
      <c r="AG81" s="7">
        <v>-165758</v>
      </c>
      <c r="AH81" s="7">
        <v>296</v>
      </c>
      <c r="AI81" s="7">
        <v>18.378378378400001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3"/>
      <c r="AP81" s="11"/>
      <c r="AQ81" s="7"/>
      <c r="AR81" s="7"/>
      <c r="AS81" s="7"/>
      <c r="AT81" s="7"/>
      <c r="AU81" s="7"/>
    </row>
    <row r="82" spans="1:47" x14ac:dyDescent="0.3">
      <c r="A82" s="5" t="s">
        <v>127</v>
      </c>
      <c r="B82" s="5">
        <v>202533</v>
      </c>
      <c r="C82" s="7"/>
      <c r="D82" s="7">
        <v>7</v>
      </c>
      <c r="E82" s="7"/>
      <c r="F82" s="7">
        <v>533259</v>
      </c>
      <c r="G82" s="7">
        <v>2709</v>
      </c>
      <c r="H82" s="9">
        <f t="shared" si="10"/>
        <v>5.0800830365732227E-3</v>
      </c>
      <c r="I82" s="9"/>
      <c r="J82" s="7">
        <v>2811820</v>
      </c>
      <c r="K82" s="11">
        <f t="shared" si="11"/>
        <v>0</v>
      </c>
      <c r="L82" s="11"/>
      <c r="M82" s="11">
        <v>79.694806088600004</v>
      </c>
      <c r="N82" s="11">
        <f t="shared" si="12"/>
        <v>-79.694806088600004</v>
      </c>
      <c r="O82" s="11"/>
      <c r="P82" s="11"/>
      <c r="Q82" s="11"/>
      <c r="R82" s="7">
        <v>430333</v>
      </c>
      <c r="S82" s="11">
        <f t="shared" si="13"/>
        <v>0</v>
      </c>
      <c r="T82" s="13">
        <f t="shared" si="14"/>
        <v>6.5340561843967349</v>
      </c>
      <c r="U82" s="7">
        <v>721161</v>
      </c>
      <c r="V82" s="11">
        <f t="shared" si="15"/>
        <v>0</v>
      </c>
      <c r="W82" s="11">
        <f t="shared" si="16"/>
        <v>0</v>
      </c>
      <c r="X82" s="11">
        <v>303.36605955990001</v>
      </c>
      <c r="Y82" s="11">
        <f t="shared" si="17"/>
        <v>0</v>
      </c>
      <c r="Z82" s="11">
        <f t="shared" si="18"/>
        <v>0</v>
      </c>
      <c r="AA82" s="7">
        <v>1442.1764705881999</v>
      </c>
      <c r="AB82" s="15">
        <f>IFERROR(AA82/1424.7058823529,0)</f>
        <v>1.0122625928984355</v>
      </c>
      <c r="AC82" s="11">
        <v>18.434705882399999</v>
      </c>
      <c r="AD82" s="15">
        <f>IFERROR(AC82/50.1794117647,0)</f>
        <v>0.36737588652580355</v>
      </c>
      <c r="AE82" s="11"/>
      <c r="AF82" s="11"/>
      <c r="AG82" s="7">
        <v>-165638</v>
      </c>
      <c r="AH82" s="7">
        <v>281</v>
      </c>
      <c r="AI82" s="7">
        <v>18.149466192199998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3"/>
      <c r="AP82" s="11"/>
      <c r="AQ82" s="7"/>
      <c r="AR82" s="7"/>
      <c r="AS82" s="7"/>
      <c r="AT82" s="7"/>
      <c r="AU82" s="7"/>
    </row>
    <row r="83" spans="1:47" x14ac:dyDescent="0.3">
      <c r="A83" s="5" t="s">
        <v>127</v>
      </c>
      <c r="B83" s="5">
        <v>202534</v>
      </c>
      <c r="C83" s="7"/>
      <c r="D83" s="7">
        <v>7</v>
      </c>
      <c r="E83" s="7"/>
      <c r="F83" s="7">
        <v>513660</v>
      </c>
      <c r="G83" s="7">
        <v>2362</v>
      </c>
      <c r="H83" s="9">
        <f t="shared" si="10"/>
        <v>4.5983724642759804E-3</v>
      </c>
      <c r="I83" s="9"/>
      <c r="J83" s="7">
        <v>2926120</v>
      </c>
      <c r="K83" s="11">
        <f t="shared" si="11"/>
        <v>0</v>
      </c>
      <c r="L83" s="11"/>
      <c r="M83" s="11">
        <v>88.290929797900006</v>
      </c>
      <c r="N83" s="11">
        <f t="shared" si="12"/>
        <v>-88.290929797900006</v>
      </c>
      <c r="O83" s="11"/>
      <c r="P83" s="11"/>
      <c r="Q83" s="11"/>
      <c r="R83" s="7">
        <v>424142</v>
      </c>
      <c r="S83" s="11">
        <f t="shared" si="13"/>
        <v>0</v>
      </c>
      <c r="T83" s="13">
        <f t="shared" si="14"/>
        <v>6.8989159290992168</v>
      </c>
      <c r="U83" s="7">
        <v>704927</v>
      </c>
      <c r="V83" s="11">
        <f t="shared" si="15"/>
        <v>0</v>
      </c>
      <c r="W83" s="11">
        <f t="shared" si="16"/>
        <v>0</v>
      </c>
      <c r="X83" s="11">
        <v>304.87829100020002</v>
      </c>
      <c r="Y83" s="11">
        <f t="shared" si="17"/>
        <v>0</v>
      </c>
      <c r="Z83" s="11">
        <f t="shared" si="18"/>
        <v>0</v>
      </c>
      <c r="AA83" s="7">
        <v>0</v>
      </c>
      <c r="AB83" s="15">
        <f>IFERROR(AA83/1619,0)</f>
        <v>0</v>
      </c>
      <c r="AC83" s="11">
        <v>0</v>
      </c>
      <c r="AD83" s="15">
        <f>IFERROR(AC83/57.1733333333,0)</f>
        <v>0</v>
      </c>
      <c r="AE83" s="11"/>
      <c r="AF83" s="11"/>
      <c r="AG83" s="7">
        <v>-248486</v>
      </c>
      <c r="AH83" s="7">
        <v>267</v>
      </c>
      <c r="AI83" s="7">
        <v>18.202247191000001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3"/>
      <c r="AP83" s="11"/>
      <c r="AQ83" s="7"/>
      <c r="AR83" s="7"/>
      <c r="AS83" s="7"/>
      <c r="AT83" s="7"/>
      <c r="AU83" s="7"/>
    </row>
    <row r="84" spans="1:47" x14ac:dyDescent="0.3">
      <c r="A84" s="5" t="s">
        <v>127</v>
      </c>
      <c r="B84" s="5">
        <v>202535</v>
      </c>
      <c r="C84" s="7"/>
      <c r="D84" s="7">
        <v>7</v>
      </c>
      <c r="E84" s="7"/>
      <c r="F84" s="7">
        <v>511215</v>
      </c>
      <c r="G84" s="7">
        <v>2336</v>
      </c>
      <c r="H84" s="9">
        <f t="shared" si="10"/>
        <v>4.5695059808495446E-3</v>
      </c>
      <c r="I84" s="9"/>
      <c r="J84" s="7">
        <v>3023630</v>
      </c>
      <c r="K84" s="11">
        <f t="shared" si="11"/>
        <v>0</v>
      </c>
      <c r="L84" s="11"/>
      <c r="M84" s="11">
        <v>83.607964652800007</v>
      </c>
      <c r="N84" s="11">
        <f t="shared" si="12"/>
        <v>-83.607964652800007</v>
      </c>
      <c r="O84" s="11"/>
      <c r="P84" s="11"/>
      <c r="Q84" s="11"/>
      <c r="R84" s="7">
        <v>424339</v>
      </c>
      <c r="S84" s="11">
        <f t="shared" si="13"/>
        <v>0</v>
      </c>
      <c r="T84" s="13">
        <f t="shared" si="14"/>
        <v>7.1255057866469969</v>
      </c>
      <c r="U84" s="7">
        <v>722257</v>
      </c>
      <c r="V84" s="11">
        <f t="shared" si="15"/>
        <v>0</v>
      </c>
      <c r="W84" s="11">
        <f t="shared" si="16"/>
        <v>0</v>
      </c>
      <c r="X84" s="11">
        <v>298.5341264649</v>
      </c>
      <c r="Y84" s="11">
        <f t="shared" si="17"/>
        <v>0</v>
      </c>
      <c r="Z84" s="11">
        <f t="shared" si="18"/>
        <v>0</v>
      </c>
      <c r="AA84" s="7">
        <v>0</v>
      </c>
      <c r="AB84" s="15">
        <f>IFERROR(AA84/1623,0)</f>
        <v>0</v>
      </c>
      <c r="AC84" s="11">
        <v>0</v>
      </c>
      <c r="AD84" s="15">
        <f>IFERROR(AC84/57.4266666667,0)</f>
        <v>0</v>
      </c>
      <c r="AE84" s="11"/>
      <c r="AF84" s="11"/>
      <c r="AG84" s="7">
        <v>31715</v>
      </c>
      <c r="AH84" s="7">
        <v>277</v>
      </c>
      <c r="AI84" s="7">
        <v>21.877256317699999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3"/>
      <c r="AP84" s="11"/>
      <c r="AQ84" s="7"/>
      <c r="AR84" s="7"/>
      <c r="AS84" s="7"/>
      <c r="AT84" s="7"/>
      <c r="AU84" s="7"/>
    </row>
    <row r="85" spans="1:47" x14ac:dyDescent="0.3">
      <c r="A85" s="5" t="s">
        <v>127</v>
      </c>
      <c r="B85" s="5">
        <v>202536</v>
      </c>
      <c r="C85" s="7"/>
      <c r="D85" s="7">
        <v>7</v>
      </c>
      <c r="E85" s="7"/>
      <c r="F85" s="7">
        <v>512508</v>
      </c>
      <c r="G85" s="7">
        <v>2150</v>
      </c>
      <c r="H85" s="9">
        <f t="shared" si="10"/>
        <v>4.1950564674112407E-3</v>
      </c>
      <c r="I85" s="9"/>
      <c r="J85" s="7">
        <v>3182770</v>
      </c>
      <c r="K85" s="11">
        <f t="shared" si="11"/>
        <v>0</v>
      </c>
      <c r="L85" s="11"/>
      <c r="M85" s="11">
        <v>85.600170046100004</v>
      </c>
      <c r="N85" s="11">
        <f t="shared" si="12"/>
        <v>-85.600170046100004</v>
      </c>
      <c r="O85" s="11"/>
      <c r="P85" s="11"/>
      <c r="Q85" s="11"/>
      <c r="R85" s="7">
        <v>416380</v>
      </c>
      <c r="S85" s="11">
        <f t="shared" si="13"/>
        <v>0</v>
      </c>
      <c r="T85" s="13">
        <f t="shared" si="14"/>
        <v>7.643907008021519</v>
      </c>
      <c r="U85" s="7">
        <v>698975</v>
      </c>
      <c r="V85" s="11">
        <f t="shared" si="15"/>
        <v>0</v>
      </c>
      <c r="W85" s="11">
        <f t="shared" si="16"/>
        <v>0</v>
      </c>
      <c r="X85" s="11">
        <v>299.09771011800001</v>
      </c>
      <c r="Y85" s="11">
        <f t="shared" si="17"/>
        <v>0</v>
      </c>
      <c r="Z85" s="11">
        <f t="shared" si="18"/>
        <v>0</v>
      </c>
      <c r="AA85" s="7">
        <v>1297.8125</v>
      </c>
      <c r="AB85" s="15">
        <f>IFERROR(AA85/1620.9375,0)</f>
        <v>0.80065548486601124</v>
      </c>
      <c r="AC85" s="11">
        <v>19.626874999999998</v>
      </c>
      <c r="AD85" s="15">
        <f>IFERROR(AC85/57.94375,0)</f>
        <v>0.33872289936360689</v>
      </c>
      <c r="AE85" s="11"/>
      <c r="AF85" s="11"/>
      <c r="AG85" s="7">
        <v>125114</v>
      </c>
      <c r="AH85" s="7">
        <v>335</v>
      </c>
      <c r="AI85" s="7">
        <v>17.970149253700001</v>
      </c>
      <c r="AJ85" s="11">
        <v>5.5</v>
      </c>
      <c r="AK85" s="11">
        <v>5.3125</v>
      </c>
      <c r="AL85" s="11">
        <v>0</v>
      </c>
      <c r="AM85" s="11">
        <v>0</v>
      </c>
      <c r="AN85" s="11">
        <v>0</v>
      </c>
      <c r="AO85" s="13"/>
      <c r="AP85" s="11"/>
      <c r="AQ85" s="7"/>
      <c r="AR85" s="7"/>
      <c r="AS85" s="7"/>
      <c r="AT85" s="7"/>
      <c r="AU85" s="7"/>
    </row>
    <row r="86" spans="1:47" x14ac:dyDescent="0.3">
      <c r="A86" s="5" t="s">
        <v>127</v>
      </c>
      <c r="B86" s="5">
        <v>202537</v>
      </c>
      <c r="C86" s="7"/>
      <c r="D86" s="7">
        <v>7</v>
      </c>
      <c r="E86" s="7"/>
      <c r="F86" s="7">
        <v>494520</v>
      </c>
      <c r="G86" s="7">
        <v>2434</v>
      </c>
      <c r="H86" s="9">
        <f t="shared" si="10"/>
        <v>4.9219445118498743E-3</v>
      </c>
      <c r="I86" s="9"/>
      <c r="J86" s="7">
        <v>2777811</v>
      </c>
      <c r="K86" s="11">
        <f t="shared" si="11"/>
        <v>0</v>
      </c>
      <c r="L86" s="11"/>
      <c r="M86" s="11">
        <v>86.871105617599994</v>
      </c>
      <c r="N86" s="11">
        <f t="shared" si="12"/>
        <v>-86.871105617599994</v>
      </c>
      <c r="O86" s="11"/>
      <c r="P86" s="11"/>
      <c r="Q86" s="11"/>
      <c r="R86" s="7">
        <v>374352</v>
      </c>
      <c r="S86" s="11">
        <f t="shared" si="13"/>
        <v>0</v>
      </c>
      <c r="T86" s="13">
        <f t="shared" si="14"/>
        <v>7.4203183100397485</v>
      </c>
      <c r="U86" s="7">
        <v>655426</v>
      </c>
      <c r="V86" s="11">
        <f t="shared" si="15"/>
        <v>0</v>
      </c>
      <c r="W86" s="11">
        <f t="shared" si="16"/>
        <v>0</v>
      </c>
      <c r="X86" s="11">
        <v>295.97716117829998</v>
      </c>
      <c r="Y86" s="11">
        <f t="shared" si="17"/>
        <v>0</v>
      </c>
      <c r="Z86" s="11">
        <f t="shared" si="18"/>
        <v>0</v>
      </c>
      <c r="AA86" s="7">
        <v>1534.6666666666999</v>
      </c>
      <c r="AB86" s="15">
        <f>IFERROR(AA86/1628.6666666667,0)</f>
        <v>0.94228407695456529</v>
      </c>
      <c r="AC86" s="11">
        <v>20.957333333299999</v>
      </c>
      <c r="AD86" s="15">
        <f>IFERROR(AC86/57.87,0)</f>
        <v>0.36214503772766549</v>
      </c>
      <c r="AE86" s="11"/>
      <c r="AF86" s="11"/>
      <c r="AG86" s="7">
        <v>-242414</v>
      </c>
      <c r="AH86" s="7">
        <v>592.5</v>
      </c>
      <c r="AI86" s="7">
        <v>11.8312236287</v>
      </c>
      <c r="AJ86" s="11">
        <v>6</v>
      </c>
      <c r="AK86" s="11">
        <v>6.2666666666999999</v>
      </c>
      <c r="AL86" s="11">
        <v>0.53333333329999999</v>
      </c>
      <c r="AM86" s="11">
        <v>0</v>
      </c>
      <c r="AN86" s="11">
        <v>0</v>
      </c>
      <c r="AO86" s="13"/>
      <c r="AP86" s="11"/>
      <c r="AQ86" s="7"/>
      <c r="AR86" s="7"/>
      <c r="AS86" s="7"/>
      <c r="AT86" s="7"/>
      <c r="AU86" s="7"/>
    </row>
    <row r="87" spans="1:47" x14ac:dyDescent="0.3">
      <c r="A87" s="5" t="s">
        <v>127</v>
      </c>
      <c r="B87" s="5">
        <v>202538</v>
      </c>
      <c r="C87" s="7"/>
      <c r="D87" s="7">
        <v>7</v>
      </c>
      <c r="E87" s="7"/>
      <c r="F87" s="7">
        <v>492101</v>
      </c>
      <c r="G87" s="7">
        <v>2240</v>
      </c>
      <c r="H87" s="9">
        <f t="shared" si="10"/>
        <v>4.5519110914222895E-3</v>
      </c>
      <c r="I87" s="9"/>
      <c r="J87" s="7">
        <v>2644850</v>
      </c>
      <c r="K87" s="11">
        <f t="shared" si="11"/>
        <v>0</v>
      </c>
      <c r="L87" s="11"/>
      <c r="M87" s="11">
        <v>87.183696842700002</v>
      </c>
      <c r="N87" s="11">
        <f t="shared" si="12"/>
        <v>-87.183696842700002</v>
      </c>
      <c r="O87" s="11"/>
      <c r="P87" s="11"/>
      <c r="Q87" s="11"/>
      <c r="R87" s="7">
        <v>381400</v>
      </c>
      <c r="S87" s="11">
        <f t="shared" si="13"/>
        <v>0</v>
      </c>
      <c r="T87" s="13">
        <f t="shared" si="14"/>
        <v>6.9345831148400627</v>
      </c>
      <c r="U87" s="7">
        <v>623862</v>
      </c>
      <c r="V87" s="11">
        <f t="shared" si="15"/>
        <v>0</v>
      </c>
      <c r="W87" s="11">
        <f t="shared" si="16"/>
        <v>0</v>
      </c>
      <c r="X87" s="11">
        <v>299.64095262569998</v>
      </c>
      <c r="Y87" s="11">
        <f t="shared" si="17"/>
        <v>0</v>
      </c>
      <c r="Z87" s="11">
        <f t="shared" si="18"/>
        <v>0</v>
      </c>
      <c r="AA87" s="7">
        <v>1275.2666666667001</v>
      </c>
      <c r="AB87" s="15">
        <f>IFERROR(AA87/1527.3333333333,0)</f>
        <v>0.83496289829772663</v>
      </c>
      <c r="AC87" s="11">
        <v>12.558666666700001</v>
      </c>
      <c r="AD87" s="15">
        <f>IFERROR(AC87/53.9233333333,0)</f>
        <v>0.2328985596842634</v>
      </c>
      <c r="AE87" s="11"/>
      <c r="AF87" s="11"/>
      <c r="AG87" s="7">
        <v>-372443</v>
      </c>
      <c r="AH87" s="7">
        <v>561</v>
      </c>
      <c r="AI87" s="7">
        <v>10</v>
      </c>
      <c r="AJ87" s="11">
        <v>6.0666666666999998</v>
      </c>
      <c r="AK87" s="11">
        <v>4.7333333333000001</v>
      </c>
      <c r="AL87" s="11">
        <v>0</v>
      </c>
      <c r="AM87" s="11">
        <v>0</v>
      </c>
      <c r="AN87" s="11">
        <v>0</v>
      </c>
      <c r="AO87" s="13"/>
      <c r="AP87" s="11"/>
      <c r="AQ87" s="7"/>
      <c r="AR87" s="7"/>
      <c r="AS87" s="7"/>
      <c r="AT87" s="7"/>
      <c r="AU87" s="7"/>
    </row>
    <row r="88" spans="1:47" x14ac:dyDescent="0.3">
      <c r="A88" s="5" t="s">
        <v>127</v>
      </c>
      <c r="B88" s="5">
        <v>202539</v>
      </c>
      <c r="C88" s="7"/>
      <c r="D88" s="7">
        <v>7</v>
      </c>
      <c r="E88" s="7"/>
      <c r="F88" s="7">
        <v>489899</v>
      </c>
      <c r="G88" s="7">
        <v>2049</v>
      </c>
      <c r="H88" s="9">
        <f t="shared" si="10"/>
        <v>4.1824947591238195E-3</v>
      </c>
      <c r="I88" s="9"/>
      <c r="J88" s="7">
        <v>2665270</v>
      </c>
      <c r="K88" s="11">
        <f t="shared" si="11"/>
        <v>0</v>
      </c>
      <c r="L88" s="11"/>
      <c r="M88" s="11">
        <v>87.251310168000003</v>
      </c>
      <c r="N88" s="11">
        <f t="shared" si="12"/>
        <v>-87.251310168000003</v>
      </c>
      <c r="O88" s="11"/>
      <c r="P88" s="11"/>
      <c r="Q88" s="11"/>
      <c r="R88" s="7">
        <v>402027</v>
      </c>
      <c r="S88" s="11">
        <f t="shared" si="13"/>
        <v>0</v>
      </c>
      <c r="T88" s="13">
        <f t="shared" si="14"/>
        <v>6.629579605349889</v>
      </c>
      <c r="U88" s="7">
        <v>635060</v>
      </c>
      <c r="V88" s="11">
        <f t="shared" si="15"/>
        <v>0</v>
      </c>
      <c r="W88" s="11">
        <f t="shared" si="16"/>
        <v>0</v>
      </c>
      <c r="X88" s="11">
        <v>296.50034592439999</v>
      </c>
      <c r="Y88" s="11">
        <f t="shared" si="17"/>
        <v>0</v>
      </c>
      <c r="Z88" s="11">
        <f t="shared" si="18"/>
        <v>0</v>
      </c>
      <c r="AA88" s="7">
        <v>1528.7333333332999</v>
      </c>
      <c r="AB88" s="15">
        <f>IFERROR(AA88/1528.3333333333,0)</f>
        <v>1.0002617230098145</v>
      </c>
      <c r="AC88" s="11">
        <v>20.73</v>
      </c>
      <c r="AD88" s="15">
        <f>IFERROR(AC88/54.0006666667,0)</f>
        <v>0.3838841495781633</v>
      </c>
      <c r="AE88" s="11"/>
      <c r="AF88" s="11"/>
      <c r="AG88" s="7">
        <v>-342643</v>
      </c>
      <c r="AH88" s="7">
        <v>622.5</v>
      </c>
      <c r="AI88" s="7">
        <v>10.2489959839</v>
      </c>
      <c r="AJ88" s="11">
        <v>6.4666666667000001</v>
      </c>
      <c r="AK88" s="11">
        <v>6.6666666667000003</v>
      </c>
      <c r="AL88" s="11">
        <v>0</v>
      </c>
      <c r="AM88" s="11">
        <v>0</v>
      </c>
      <c r="AN88" s="11">
        <v>0</v>
      </c>
      <c r="AO88" s="13"/>
      <c r="AP88" s="11"/>
      <c r="AQ88" s="7"/>
      <c r="AR88" s="7"/>
      <c r="AS88" s="7"/>
      <c r="AT88" s="7"/>
      <c r="AU88" s="7"/>
    </row>
    <row r="89" spans="1:47" x14ac:dyDescent="0.3">
      <c r="A89" s="5" t="s">
        <v>127</v>
      </c>
      <c r="B89" s="5">
        <v>202540</v>
      </c>
      <c r="C89" s="7"/>
      <c r="D89" s="7">
        <v>7</v>
      </c>
      <c r="E89" s="7"/>
      <c r="F89" s="7">
        <v>585407</v>
      </c>
      <c r="G89" s="7">
        <v>2107</v>
      </c>
      <c r="H89" s="9">
        <f t="shared" si="10"/>
        <v>3.5992053391913658E-3</v>
      </c>
      <c r="I89" s="9"/>
      <c r="J89" s="7">
        <v>2704460</v>
      </c>
      <c r="K89" s="11">
        <f t="shared" si="11"/>
        <v>0</v>
      </c>
      <c r="L89" s="11"/>
      <c r="M89" s="11">
        <v>70.200850092300001</v>
      </c>
      <c r="N89" s="11">
        <f t="shared" si="12"/>
        <v>-70.200850092300001</v>
      </c>
      <c r="O89" s="11"/>
      <c r="P89" s="11"/>
      <c r="Q89" s="11"/>
      <c r="R89" s="7">
        <v>460299</v>
      </c>
      <c r="S89" s="11">
        <f t="shared" si="13"/>
        <v>0</v>
      </c>
      <c r="T89" s="13">
        <f t="shared" si="14"/>
        <v>5.8754418323741744</v>
      </c>
      <c r="U89" s="7">
        <v>742100</v>
      </c>
      <c r="V89" s="11">
        <f t="shared" si="15"/>
        <v>0</v>
      </c>
      <c r="W89" s="11">
        <f t="shared" si="16"/>
        <v>0</v>
      </c>
      <c r="X89" s="11">
        <v>297.92952692860001</v>
      </c>
      <c r="Y89" s="11">
        <f t="shared" si="17"/>
        <v>0</v>
      </c>
      <c r="Z89" s="11">
        <f t="shared" si="18"/>
        <v>0</v>
      </c>
      <c r="AA89" s="7">
        <v>1334.9411764706001</v>
      </c>
      <c r="AB89" s="15">
        <f>IFERROR(AA89/1429.4117647059,0)</f>
        <v>0.93390946502057293</v>
      </c>
      <c r="AC89" s="11">
        <v>20.99</v>
      </c>
      <c r="AD89" s="15">
        <f>IFERROR(AC89/49.6735294118,0)</f>
        <v>0.42255906211113325</v>
      </c>
      <c r="AE89" s="11"/>
      <c r="AF89" s="11"/>
      <c r="AG89" s="7">
        <v>-473455</v>
      </c>
      <c r="AH89" s="7">
        <v>502</v>
      </c>
      <c r="AI89" s="7">
        <v>11.115537848600001</v>
      </c>
      <c r="AJ89" s="11">
        <v>5.4117647058999996</v>
      </c>
      <c r="AK89" s="11">
        <v>5.5294117646999998</v>
      </c>
      <c r="AL89" s="11">
        <v>0</v>
      </c>
      <c r="AM89" s="11">
        <v>0</v>
      </c>
      <c r="AN89" s="11">
        <v>0</v>
      </c>
      <c r="AO89" s="13"/>
      <c r="AP89" s="11"/>
      <c r="AQ89" s="7"/>
      <c r="AR89" s="7"/>
      <c r="AS89" s="7"/>
      <c r="AT89" s="7"/>
      <c r="AU89" s="7"/>
    </row>
    <row r="90" spans="1:47" x14ac:dyDescent="0.3">
      <c r="A90" s="5" t="s">
        <v>127</v>
      </c>
      <c r="B90" s="5">
        <v>202541</v>
      </c>
      <c r="C90" s="7"/>
      <c r="D90" s="7">
        <v>7</v>
      </c>
      <c r="E90" s="7"/>
      <c r="F90" s="7">
        <v>583152</v>
      </c>
      <c r="G90" s="7">
        <v>2189</v>
      </c>
      <c r="H90" s="9">
        <f t="shared" si="10"/>
        <v>3.7537383049359345E-3</v>
      </c>
      <c r="I90" s="9"/>
      <c r="J90" s="7">
        <v>3086860</v>
      </c>
      <c r="K90" s="11">
        <f t="shared" si="11"/>
        <v>0</v>
      </c>
      <c r="L90" s="11"/>
      <c r="M90" s="11">
        <v>80.493794585299995</v>
      </c>
      <c r="N90" s="11">
        <f t="shared" si="12"/>
        <v>-80.493794585299995</v>
      </c>
      <c r="O90" s="11"/>
      <c r="P90" s="11"/>
      <c r="Q90" s="11"/>
      <c r="R90" s="7">
        <v>467293</v>
      </c>
      <c r="S90" s="11">
        <f t="shared" si="13"/>
        <v>0</v>
      </c>
      <c r="T90" s="13">
        <f t="shared" si="14"/>
        <v>6.6058340270451303</v>
      </c>
      <c r="U90" s="7">
        <v>762837</v>
      </c>
      <c r="V90" s="11">
        <f t="shared" si="15"/>
        <v>0</v>
      </c>
      <c r="W90" s="11">
        <f t="shared" si="16"/>
        <v>0</v>
      </c>
      <c r="X90" s="11">
        <v>285.6557734594</v>
      </c>
      <c r="Y90" s="11">
        <f t="shared" si="17"/>
        <v>0</v>
      </c>
      <c r="Z90" s="11">
        <f t="shared" si="18"/>
        <v>0</v>
      </c>
      <c r="AA90" s="7">
        <v>1753.1764705881999</v>
      </c>
      <c r="AB90" s="15">
        <f>IFERROR(AA90/1527.9411764706,0)</f>
        <v>1.1474109720885146</v>
      </c>
      <c r="AC90" s="11">
        <v>21.162352941200002</v>
      </c>
      <c r="AD90" s="15">
        <f>IFERROR(AC90/53.4911764706,0)</f>
        <v>0.39562324737485116</v>
      </c>
      <c r="AE90" s="11"/>
      <c r="AF90" s="11"/>
      <c r="AG90" s="7">
        <v>-214218</v>
      </c>
      <c r="AH90" s="7">
        <v>527</v>
      </c>
      <c r="AI90" s="7">
        <v>12.523719165099999</v>
      </c>
      <c r="AJ90" s="11">
        <v>5.5294117646999998</v>
      </c>
      <c r="AK90" s="11">
        <v>4.4705882353000002</v>
      </c>
      <c r="AL90" s="11">
        <v>0</v>
      </c>
      <c r="AM90" s="11">
        <v>0</v>
      </c>
      <c r="AN90" s="11">
        <v>0</v>
      </c>
      <c r="AO90" s="13"/>
      <c r="AP90" s="11"/>
      <c r="AQ90" s="7"/>
      <c r="AR90" s="7"/>
      <c r="AS90" s="7"/>
      <c r="AT90" s="7"/>
      <c r="AU90" s="7"/>
    </row>
    <row r="91" spans="1:47" ht="15" thickBot="1" x14ac:dyDescent="0.35">
      <c r="A91" s="5" t="s">
        <v>127</v>
      </c>
      <c r="B91" s="5">
        <v>202542</v>
      </c>
      <c r="C91" s="7"/>
      <c r="D91" s="7">
        <v>7</v>
      </c>
      <c r="E91" s="7"/>
      <c r="F91" s="7">
        <v>580834</v>
      </c>
      <c r="G91" s="7">
        <v>2165</v>
      </c>
      <c r="H91" s="9">
        <f t="shared" si="10"/>
        <v>3.7273988781648458E-3</v>
      </c>
      <c r="I91" s="9"/>
      <c r="J91" s="7">
        <v>3053330</v>
      </c>
      <c r="K91" s="11">
        <f t="shared" si="11"/>
        <v>0</v>
      </c>
      <c r="L91" s="11"/>
      <c r="M91" s="11">
        <v>73.896033806600002</v>
      </c>
      <c r="N91" s="11">
        <f t="shared" si="12"/>
        <v>-73.896033806600002</v>
      </c>
      <c r="O91" s="11"/>
      <c r="P91" s="11"/>
      <c r="Q91" s="11"/>
      <c r="R91" s="7">
        <v>429795</v>
      </c>
      <c r="S91" s="11">
        <f t="shared" si="13"/>
        <v>0</v>
      </c>
      <c r="T91" s="13">
        <f t="shared" si="14"/>
        <v>7.1041543061226866</v>
      </c>
      <c r="U91" s="7">
        <v>746810</v>
      </c>
      <c r="V91" s="11">
        <f t="shared" si="15"/>
        <v>0</v>
      </c>
      <c r="W91" s="11">
        <f t="shared" si="16"/>
        <v>0</v>
      </c>
      <c r="X91" s="11">
        <v>290.5613546779</v>
      </c>
      <c r="Y91" s="11">
        <f t="shared" si="17"/>
        <v>0</v>
      </c>
      <c r="Z91" s="11">
        <f t="shared" si="18"/>
        <v>0</v>
      </c>
      <c r="AA91" s="7">
        <v>1302.5882352941001</v>
      </c>
      <c r="AB91" s="15">
        <f>IFERROR(AA91/1535.8823529412,0)</f>
        <v>0.8481041746457052</v>
      </c>
      <c r="AC91" s="11">
        <v>13.8247058824</v>
      </c>
      <c r="AD91" s="15">
        <f>IFERROR(AC91/53.7382352941,0)</f>
        <v>0.25726013901907629</v>
      </c>
      <c r="AE91" s="11"/>
      <c r="AF91" s="11"/>
      <c r="AG91" s="7">
        <v>32637</v>
      </c>
      <c r="AH91" s="7">
        <v>549</v>
      </c>
      <c r="AI91" s="7">
        <v>11.038251366100001</v>
      </c>
      <c r="AJ91" s="11">
        <v>4.9411764706000003</v>
      </c>
      <c r="AK91" s="11">
        <v>4.4705882353000002</v>
      </c>
      <c r="AL91" s="11">
        <v>0</v>
      </c>
      <c r="AM91" s="11">
        <v>0</v>
      </c>
      <c r="AN91" s="11">
        <v>0</v>
      </c>
      <c r="AO91" s="13"/>
      <c r="AP91" s="11"/>
      <c r="AQ91" s="7"/>
      <c r="AR91" s="7"/>
      <c r="AS91" s="7"/>
      <c r="AT91" s="7"/>
      <c r="AU91" s="7"/>
    </row>
    <row r="92" spans="1:47" ht="15" thickBot="1" x14ac:dyDescent="0.35">
      <c r="A92" s="16" t="s">
        <v>73</v>
      </c>
      <c r="B92" s="16"/>
      <c r="C92" s="17"/>
      <c r="D92" s="17">
        <f>AVERAGE(D50:D91)</f>
        <v>6.9285714285714288</v>
      </c>
      <c r="E92" s="17">
        <f>SUM(E50:E91)</f>
        <v>0</v>
      </c>
      <c r="F92" s="17">
        <f>SUM(F50:F91)</f>
        <v>21728114</v>
      </c>
      <c r="G92" s="17">
        <f>SUM(G50:G91)</f>
        <v>70937</v>
      </c>
      <c r="H92" s="18">
        <f t="shared" si="10"/>
        <v>3.2647564349119304E-3</v>
      </c>
      <c r="I92" s="18"/>
      <c r="J92" s="17">
        <f>SUM(J50:J91)</f>
        <v>119028592</v>
      </c>
      <c r="K92" s="19">
        <f>IFERROR(J92/D92/F92*100,0)</f>
        <v>79.065235079174983</v>
      </c>
      <c r="L92" s="19"/>
      <c r="M92" s="19">
        <f>IFERROR(SUMPRODUCT($F50:$F91,M50:M91)/$F92, 0)</f>
        <v>82.564640644827307</v>
      </c>
      <c r="N92" s="19">
        <f t="shared" si="12"/>
        <v>-3.4994055656523244</v>
      </c>
      <c r="O92" s="19">
        <f>IFERROR(SUMPRODUCT($E50:$E91,O50:O91)/$E92, 0)</f>
        <v>0</v>
      </c>
      <c r="P92" s="19">
        <f>IFERROR(SUMPRODUCT($E50:$E91,P50:P91)/$E92, 0)</f>
        <v>0</v>
      </c>
      <c r="Q92" s="19">
        <f>IFERROR(SUMPRODUCT($E50:$E91,Q50:Q91)/$E92, 0)</f>
        <v>0</v>
      </c>
      <c r="R92" s="17">
        <f>SUM(R50:R91)</f>
        <v>17187037</v>
      </c>
      <c r="S92" s="19">
        <f>IFERROR(R92/D92/$F92*1000,0)</f>
        <v>114.16560490940518</v>
      </c>
      <c r="T92" s="20">
        <f t="shared" si="14"/>
        <v>6.9254864581952083</v>
      </c>
      <c r="U92" s="17">
        <f>SUM(U50:U91)</f>
        <v>28909674</v>
      </c>
      <c r="V92" s="19">
        <f>IFERROR(U92/D92/$F92*1000,0)</f>
        <v>192.03370656289988</v>
      </c>
      <c r="W92" s="19">
        <f t="shared" si="16"/>
        <v>1.6820627080746959</v>
      </c>
      <c r="X92" s="19">
        <f>IFERROR(SUMPRODUCT(R50:R91,X50:X91)/R92,0)</f>
        <v>439.30757972620029</v>
      </c>
      <c r="Y92" s="19">
        <f>IFERROR(($F92*S92)/($F92*K92)*100,0)</f>
        <v>144.3941889189112</v>
      </c>
      <c r="Z92" s="19">
        <f t="shared" si="18"/>
        <v>63.433461660494608</v>
      </c>
      <c r="AA92" s="17"/>
      <c r="AB92" s="21">
        <f>IFERROR(SUMPRODUCT($F50:$F91,AB50:AB91)/$F92,0)</f>
        <v>0.98647365130959541</v>
      </c>
      <c r="AC92" s="19"/>
      <c r="AD92" s="21">
        <f>AVERAGE(AD50:AD91)</f>
        <v>0.38748529932731335</v>
      </c>
      <c r="AE92" s="19"/>
      <c r="AF92" s="19"/>
      <c r="AG92" s="17">
        <f>SUM(AG50:AG91)</f>
        <v>-5858112</v>
      </c>
      <c r="AH92" s="17">
        <f>SUM(AH50:AH91)</f>
        <v>13486.75</v>
      </c>
      <c r="AI92" s="17">
        <f>IFERROR(SUMPRODUCT(AH50:AH91,AI50:AI91)/AH92, 0)</f>
        <v>15.884479211071582</v>
      </c>
      <c r="AJ92" s="19">
        <f>AVERAGE(AJ50:AJ91)</f>
        <v>1.4237628384690477</v>
      </c>
      <c r="AK92" s="19">
        <f>AVERAGE(AK50:AK91)</f>
        <v>1.2880193744190476</v>
      </c>
      <c r="AL92" s="19">
        <f>AVERAGE(AL50:AL91)</f>
        <v>0.18636788048571429</v>
      </c>
      <c r="AM92" s="19">
        <f>AVERAGE(AM50:AM91)</f>
        <v>0</v>
      </c>
      <c r="AN92" s="19">
        <f>AVERAGE(AN50:AN91)</f>
        <v>0</v>
      </c>
      <c r="AO92" s="20"/>
      <c r="AP92" s="19"/>
      <c r="AQ92" s="17"/>
      <c r="AR92" s="17"/>
      <c r="AS92" s="17"/>
      <c r="AT92" s="17"/>
      <c r="AU92" s="17"/>
    </row>
    <row r="94" spans="1:47" x14ac:dyDescent="0.3">
      <c r="A94" s="4" t="s">
        <v>74</v>
      </c>
      <c r="B94" s="4">
        <v>202501</v>
      </c>
      <c r="C94" s="6"/>
      <c r="D94" s="6">
        <v>4</v>
      </c>
      <c r="E94" s="6"/>
      <c r="F94" s="6">
        <v>503779</v>
      </c>
      <c r="G94" s="6">
        <v>806</v>
      </c>
      <c r="H94" s="8">
        <f t="shared" ref="H94:H136" si="19">IFERROR(G94/F94,0)</f>
        <v>1.5999078961211166E-3</v>
      </c>
      <c r="I94" s="8"/>
      <c r="J94" s="6">
        <v>1595290</v>
      </c>
      <c r="K94" s="10">
        <f t="shared" ref="K94:K135" si="20">IFERROR(J94/E94/F94*100,0)</f>
        <v>0</v>
      </c>
      <c r="L94" s="10"/>
      <c r="M94" s="10">
        <v>87.027005492399994</v>
      </c>
      <c r="N94" s="10">
        <f t="shared" ref="N94:N136" si="21">K94-M94</f>
        <v>-87.027005492399994</v>
      </c>
      <c r="O94" s="10"/>
      <c r="P94" s="10"/>
      <c r="Q94" s="10"/>
      <c r="R94" s="6">
        <v>244982</v>
      </c>
      <c r="S94" s="10">
        <f t="shared" ref="S94:S135" si="22">IFERROR(R94/E94/F94*1000,0)</f>
        <v>0</v>
      </c>
      <c r="T94" s="12">
        <f t="shared" ref="T94:T136" si="23">IFERROR(J94/R94,0)</f>
        <v>6.5118661779232756</v>
      </c>
      <c r="U94" s="6">
        <v>372976</v>
      </c>
      <c r="V94" s="10">
        <f t="shared" ref="V94:V135" si="24">IFERROR(U94/E94/F94*1000,0)</f>
        <v>0</v>
      </c>
      <c r="W94" s="10">
        <f t="shared" ref="W94:W136" si="25">IFERROR(V94/S94,0)</f>
        <v>0</v>
      </c>
      <c r="X94" s="10">
        <v>300.05772567989999</v>
      </c>
      <c r="Y94" s="10">
        <f t="shared" ref="Y94:Y135" si="26">IFERROR((F94*S94)/(F94*K94)*100,0)</f>
        <v>0</v>
      </c>
      <c r="Z94" s="10">
        <f t="shared" ref="Z94:Z136" si="27">IFERROR(Y94*X94/1000,0)</f>
        <v>0</v>
      </c>
      <c r="AA94" s="6">
        <v>1310.6333333333</v>
      </c>
      <c r="AB94" s="14">
        <f>IFERROR(AA94/1468.6666666667,0)</f>
        <v>0.89239673172941691</v>
      </c>
      <c r="AC94" s="10">
        <v>14.1746666667</v>
      </c>
      <c r="AD94" s="14">
        <f>IFERROR(AC94/49.9266666667,0)</f>
        <v>0.28390973427741761</v>
      </c>
      <c r="AE94" s="10"/>
      <c r="AF94" s="10"/>
      <c r="AG94" s="6">
        <v>-277209</v>
      </c>
      <c r="AH94" s="6">
        <v>136</v>
      </c>
      <c r="AI94" s="6">
        <v>16.470588235299999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2"/>
      <c r="AP94" s="10"/>
      <c r="AQ94" s="6"/>
      <c r="AR94" s="6"/>
      <c r="AS94" s="6"/>
      <c r="AT94" s="6"/>
      <c r="AU94" s="6"/>
    </row>
    <row r="95" spans="1:47" x14ac:dyDescent="0.3">
      <c r="A95" s="5" t="s">
        <v>74</v>
      </c>
      <c r="B95" s="5">
        <v>202502</v>
      </c>
      <c r="C95" s="7"/>
      <c r="D95" s="7">
        <v>7</v>
      </c>
      <c r="E95" s="7"/>
      <c r="F95" s="7">
        <v>508761</v>
      </c>
      <c r="G95" s="7">
        <v>1453</v>
      </c>
      <c r="H95" s="9">
        <f t="shared" si="19"/>
        <v>2.8559579055784544E-3</v>
      </c>
      <c r="I95" s="9"/>
      <c r="J95" s="7">
        <v>2771540</v>
      </c>
      <c r="K95" s="11">
        <f t="shared" si="20"/>
        <v>0</v>
      </c>
      <c r="L95" s="11"/>
      <c r="M95" s="11">
        <v>82.517209062800006</v>
      </c>
      <c r="N95" s="11">
        <f t="shared" si="21"/>
        <v>-82.517209062800006</v>
      </c>
      <c r="O95" s="11"/>
      <c r="P95" s="11"/>
      <c r="Q95" s="11"/>
      <c r="R95" s="7">
        <v>394477</v>
      </c>
      <c r="S95" s="11">
        <f t="shared" si="22"/>
        <v>0</v>
      </c>
      <c r="T95" s="13">
        <f t="shared" si="23"/>
        <v>7.0258595558169423</v>
      </c>
      <c r="U95" s="7">
        <v>637796</v>
      </c>
      <c r="V95" s="11">
        <f t="shared" si="24"/>
        <v>0</v>
      </c>
      <c r="W95" s="11">
        <f t="shared" si="25"/>
        <v>0</v>
      </c>
      <c r="X95" s="11">
        <v>304.44082650119998</v>
      </c>
      <c r="Y95" s="11">
        <f t="shared" si="26"/>
        <v>0</v>
      </c>
      <c r="Z95" s="11">
        <f t="shared" si="27"/>
        <v>0</v>
      </c>
      <c r="AA95" s="7">
        <v>1223</v>
      </c>
      <c r="AB95" s="15">
        <f>IFERROR(AA95/1470.6666666667,0)</f>
        <v>0.83159564823207544</v>
      </c>
      <c r="AC95" s="11">
        <v>10.2183333334</v>
      </c>
      <c r="AD95" s="15">
        <f>IFERROR(AC95/50.2583333334,0)</f>
        <v>0.20331619963627481</v>
      </c>
      <c r="AE95" s="11"/>
      <c r="AF95" s="11"/>
      <c r="AG95" s="7">
        <v>-167168</v>
      </c>
      <c r="AH95" s="7">
        <v>202</v>
      </c>
      <c r="AI95" s="7">
        <v>20.396039603999998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3"/>
      <c r="AP95" s="11"/>
      <c r="AQ95" s="7"/>
      <c r="AR95" s="7"/>
      <c r="AS95" s="7"/>
      <c r="AT95" s="7"/>
      <c r="AU95" s="7"/>
    </row>
    <row r="96" spans="1:47" x14ac:dyDescent="0.3">
      <c r="A96" s="5" t="s">
        <v>74</v>
      </c>
      <c r="B96" s="5">
        <v>202503</v>
      </c>
      <c r="C96" s="7"/>
      <c r="D96" s="7">
        <v>7</v>
      </c>
      <c r="E96" s="7"/>
      <c r="F96" s="7">
        <v>507345</v>
      </c>
      <c r="G96" s="7">
        <v>1416</v>
      </c>
      <c r="H96" s="9">
        <f t="shared" si="19"/>
        <v>2.791000206959761E-3</v>
      </c>
      <c r="I96" s="9"/>
      <c r="J96" s="7">
        <v>2629350</v>
      </c>
      <c r="K96" s="11">
        <f t="shared" si="20"/>
        <v>0</v>
      </c>
      <c r="L96" s="11"/>
      <c r="M96" s="11">
        <v>80.526819225599994</v>
      </c>
      <c r="N96" s="11">
        <f t="shared" si="21"/>
        <v>-80.526819225599994</v>
      </c>
      <c r="O96" s="11"/>
      <c r="P96" s="11"/>
      <c r="Q96" s="11"/>
      <c r="R96" s="7">
        <v>388550</v>
      </c>
      <c r="S96" s="11">
        <f t="shared" si="22"/>
        <v>0</v>
      </c>
      <c r="T96" s="13">
        <f t="shared" si="23"/>
        <v>6.7670827435336509</v>
      </c>
      <c r="U96" s="7">
        <v>615538</v>
      </c>
      <c r="V96" s="11">
        <f t="shared" si="24"/>
        <v>0</v>
      </c>
      <c r="W96" s="11">
        <f t="shared" si="25"/>
        <v>0</v>
      </c>
      <c r="X96" s="11">
        <v>304.85459700349998</v>
      </c>
      <c r="Y96" s="11">
        <f t="shared" si="26"/>
        <v>0</v>
      </c>
      <c r="Z96" s="11">
        <f t="shared" si="27"/>
        <v>0</v>
      </c>
      <c r="AA96" s="7">
        <v>869.46666666670001</v>
      </c>
      <c r="AB96" s="15">
        <f>IFERROR(AA96/1476.6666666667,0)</f>
        <v>0.58880361173815832</v>
      </c>
      <c r="AC96" s="11">
        <v>12.236000000000001</v>
      </c>
      <c r="AD96" s="15">
        <f>IFERROR(AC96/50.51,0)</f>
        <v>0.24224905959216</v>
      </c>
      <c r="AE96" s="11"/>
      <c r="AF96" s="11"/>
      <c r="AG96" s="7">
        <v>-230492</v>
      </c>
      <c r="AH96" s="7">
        <v>212.25</v>
      </c>
      <c r="AI96" s="7">
        <v>18.468786808000001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3"/>
      <c r="AP96" s="11"/>
      <c r="AQ96" s="7"/>
      <c r="AR96" s="7"/>
      <c r="AS96" s="7"/>
      <c r="AT96" s="7"/>
      <c r="AU96" s="7"/>
    </row>
    <row r="97" spans="1:47" x14ac:dyDescent="0.3">
      <c r="A97" s="5" t="s">
        <v>74</v>
      </c>
      <c r="B97" s="5">
        <v>202504</v>
      </c>
      <c r="C97" s="7"/>
      <c r="D97" s="7">
        <v>7</v>
      </c>
      <c r="E97" s="7"/>
      <c r="F97" s="7">
        <v>506011</v>
      </c>
      <c r="G97" s="7">
        <v>1334</v>
      </c>
      <c r="H97" s="9">
        <f t="shared" si="19"/>
        <v>2.6363063253565635E-3</v>
      </c>
      <c r="I97" s="9"/>
      <c r="J97" s="7">
        <v>2627680</v>
      </c>
      <c r="K97" s="11">
        <f t="shared" si="20"/>
        <v>0</v>
      </c>
      <c r="L97" s="11"/>
      <c r="M97" s="11">
        <v>77.185366029600004</v>
      </c>
      <c r="N97" s="11">
        <f t="shared" si="21"/>
        <v>-77.185366029600004</v>
      </c>
      <c r="O97" s="11"/>
      <c r="P97" s="11"/>
      <c r="Q97" s="11"/>
      <c r="R97" s="7">
        <v>390357</v>
      </c>
      <c r="S97" s="11">
        <f t="shared" si="22"/>
        <v>0</v>
      </c>
      <c r="T97" s="13">
        <f t="shared" si="23"/>
        <v>6.7314791332037087</v>
      </c>
      <c r="U97" s="7">
        <v>624130</v>
      </c>
      <c r="V97" s="11">
        <f t="shared" si="24"/>
        <v>0</v>
      </c>
      <c r="W97" s="11">
        <f t="shared" si="25"/>
        <v>0</v>
      </c>
      <c r="X97" s="11">
        <v>304.74202755789997</v>
      </c>
      <c r="Y97" s="11">
        <f t="shared" si="26"/>
        <v>0</v>
      </c>
      <c r="Z97" s="11">
        <f t="shared" si="27"/>
        <v>0</v>
      </c>
      <c r="AA97" s="7">
        <v>728.06666666670003</v>
      </c>
      <c r="AB97" s="15">
        <f>IFERROR(AA97/1481.1666666667,0)</f>
        <v>0.49154945425904151</v>
      </c>
      <c r="AC97" s="11">
        <v>14.336666666699999</v>
      </c>
      <c r="AD97" s="15">
        <f>IFERROR(AC97/50.5366666667,0)</f>
        <v>0.28368841105515225</v>
      </c>
      <c r="AE97" s="11"/>
      <c r="AF97" s="11"/>
      <c r="AG97" s="7">
        <v>-106285</v>
      </c>
      <c r="AH97" s="7">
        <v>205</v>
      </c>
      <c r="AI97" s="7">
        <v>20.585365853700001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3"/>
      <c r="AP97" s="11"/>
      <c r="AQ97" s="7"/>
      <c r="AR97" s="7"/>
      <c r="AS97" s="7"/>
      <c r="AT97" s="7"/>
      <c r="AU97" s="7"/>
    </row>
    <row r="98" spans="1:47" x14ac:dyDescent="0.3">
      <c r="A98" s="5" t="s">
        <v>74</v>
      </c>
      <c r="B98" s="5">
        <v>202505</v>
      </c>
      <c r="C98" s="7"/>
      <c r="D98" s="7">
        <v>7</v>
      </c>
      <c r="E98" s="7"/>
      <c r="F98" s="7">
        <v>504707</v>
      </c>
      <c r="G98" s="7">
        <v>1304</v>
      </c>
      <c r="H98" s="9">
        <f t="shared" si="19"/>
        <v>2.5836772622531488E-3</v>
      </c>
      <c r="I98" s="9"/>
      <c r="J98" s="7">
        <v>2703700</v>
      </c>
      <c r="K98" s="11">
        <f t="shared" si="20"/>
        <v>0</v>
      </c>
      <c r="L98" s="11"/>
      <c r="M98" s="11">
        <v>77.063033106299997</v>
      </c>
      <c r="N98" s="11">
        <f t="shared" si="21"/>
        <v>-77.063033106299997</v>
      </c>
      <c r="O98" s="11"/>
      <c r="P98" s="11"/>
      <c r="Q98" s="11"/>
      <c r="R98" s="7">
        <v>406937</v>
      </c>
      <c r="S98" s="11">
        <f t="shared" si="22"/>
        <v>0</v>
      </c>
      <c r="T98" s="13">
        <f t="shared" si="23"/>
        <v>6.6440259794513645</v>
      </c>
      <c r="U98" s="7">
        <v>636834</v>
      </c>
      <c r="V98" s="11">
        <f t="shared" si="24"/>
        <v>0</v>
      </c>
      <c r="W98" s="11">
        <f t="shared" si="25"/>
        <v>0</v>
      </c>
      <c r="X98" s="11">
        <v>306.16446917539997</v>
      </c>
      <c r="Y98" s="11">
        <f t="shared" si="26"/>
        <v>0</v>
      </c>
      <c r="Z98" s="11">
        <f t="shared" si="27"/>
        <v>0</v>
      </c>
      <c r="AA98" s="7">
        <v>1344.9333333334</v>
      </c>
      <c r="AB98" s="15">
        <f>IFERROR(AA98/1484.6666666667,0)</f>
        <v>0.90588235294120112</v>
      </c>
      <c r="AC98" s="11">
        <v>6.3366666667000002</v>
      </c>
      <c r="AD98" s="15">
        <f>IFERROR(AC98/51.0283333334,0)</f>
        <v>0.12417937747052399</v>
      </c>
      <c r="AE98" s="11"/>
      <c r="AF98" s="11"/>
      <c r="AG98" s="7">
        <v>-71358</v>
      </c>
      <c r="AH98" s="7">
        <v>278</v>
      </c>
      <c r="AI98" s="7">
        <v>15.9352517986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3"/>
      <c r="AP98" s="11"/>
      <c r="AQ98" s="7"/>
      <c r="AR98" s="7"/>
      <c r="AS98" s="7"/>
      <c r="AT98" s="7"/>
      <c r="AU98" s="7"/>
    </row>
    <row r="99" spans="1:47" x14ac:dyDescent="0.3">
      <c r="A99" s="5" t="s">
        <v>74</v>
      </c>
      <c r="B99" s="5">
        <v>202506</v>
      </c>
      <c r="C99" s="7"/>
      <c r="D99" s="7">
        <v>7</v>
      </c>
      <c r="E99" s="7"/>
      <c r="F99" s="7">
        <v>575266</v>
      </c>
      <c r="G99" s="7">
        <v>1090</v>
      </c>
      <c r="H99" s="9">
        <f t="shared" si="19"/>
        <v>1.8947756342283396E-3</v>
      </c>
      <c r="I99" s="9"/>
      <c r="J99" s="7">
        <v>2865530</v>
      </c>
      <c r="K99" s="11">
        <f t="shared" si="20"/>
        <v>0</v>
      </c>
      <c r="L99" s="11"/>
      <c r="M99" s="11">
        <v>71.206510205699999</v>
      </c>
      <c r="N99" s="11">
        <f t="shared" si="21"/>
        <v>-71.206510205699999</v>
      </c>
      <c r="O99" s="11"/>
      <c r="P99" s="11"/>
      <c r="Q99" s="11"/>
      <c r="R99" s="7">
        <v>453153</v>
      </c>
      <c r="S99" s="11">
        <f t="shared" si="22"/>
        <v>0</v>
      </c>
      <c r="T99" s="13">
        <f t="shared" si="23"/>
        <v>6.323537524853637</v>
      </c>
      <c r="U99" s="7">
        <v>720155</v>
      </c>
      <c r="V99" s="11">
        <f t="shared" si="24"/>
        <v>0</v>
      </c>
      <c r="W99" s="11">
        <f t="shared" si="25"/>
        <v>0</v>
      </c>
      <c r="X99" s="11">
        <v>3086.6963615348</v>
      </c>
      <c r="Y99" s="11">
        <f t="shared" si="26"/>
        <v>0</v>
      </c>
      <c r="Z99" s="11">
        <f t="shared" si="27"/>
        <v>0</v>
      </c>
      <c r="AA99" s="7">
        <v>101.6176470588</v>
      </c>
      <c r="AB99" s="15">
        <f>IFERROR(AA99/1490.2941176471,0)</f>
        <v>6.8186303532644654E-2</v>
      </c>
      <c r="AC99" s="11">
        <v>1.8117647058999999</v>
      </c>
      <c r="AD99" s="15">
        <f>IFERROR(AC99/50.987254902,0)</f>
        <v>3.5533678159028186E-2</v>
      </c>
      <c r="AE99" s="11"/>
      <c r="AF99" s="11"/>
      <c r="AG99" s="7">
        <v>-1858</v>
      </c>
      <c r="AH99" s="7">
        <v>221</v>
      </c>
      <c r="AI99" s="7">
        <v>13.1221719457</v>
      </c>
      <c r="AJ99" s="11">
        <v>1.0882352941</v>
      </c>
      <c r="AK99" s="11">
        <v>1.2352941177000001</v>
      </c>
      <c r="AL99" s="11">
        <v>1.6470588236000001</v>
      </c>
      <c r="AM99" s="11">
        <v>0</v>
      </c>
      <c r="AN99" s="11">
        <v>0</v>
      </c>
      <c r="AO99" s="13"/>
      <c r="AP99" s="11"/>
      <c r="AQ99" s="7"/>
      <c r="AR99" s="7"/>
      <c r="AS99" s="7"/>
      <c r="AT99" s="7"/>
      <c r="AU99" s="7"/>
    </row>
    <row r="100" spans="1:47" x14ac:dyDescent="0.3">
      <c r="A100" s="5" t="s">
        <v>74</v>
      </c>
      <c r="B100" s="5">
        <v>202507</v>
      </c>
      <c r="C100" s="7"/>
      <c r="D100" s="7">
        <v>7</v>
      </c>
      <c r="E100" s="7"/>
      <c r="F100" s="7">
        <v>573605</v>
      </c>
      <c r="G100" s="7">
        <v>1350</v>
      </c>
      <c r="H100" s="9">
        <f t="shared" si="19"/>
        <v>2.3535359698747395E-3</v>
      </c>
      <c r="I100" s="9"/>
      <c r="J100" s="7">
        <v>3021417</v>
      </c>
      <c r="K100" s="11">
        <f t="shared" si="20"/>
        <v>0</v>
      </c>
      <c r="L100" s="11"/>
      <c r="M100" s="11">
        <v>76.943504066399996</v>
      </c>
      <c r="N100" s="11">
        <f t="shared" si="21"/>
        <v>-76.943504066399996</v>
      </c>
      <c r="O100" s="11"/>
      <c r="P100" s="11"/>
      <c r="Q100" s="11"/>
      <c r="R100" s="7">
        <v>452139</v>
      </c>
      <c r="S100" s="11">
        <f t="shared" si="22"/>
        <v>0</v>
      </c>
      <c r="T100" s="13">
        <f t="shared" si="23"/>
        <v>6.6824958696330112</v>
      </c>
      <c r="U100" s="7">
        <v>740433</v>
      </c>
      <c r="V100" s="11">
        <f t="shared" si="24"/>
        <v>0</v>
      </c>
      <c r="W100" s="11">
        <f t="shared" si="25"/>
        <v>0</v>
      </c>
      <c r="X100" s="11">
        <v>3116.7805979451</v>
      </c>
      <c r="Y100" s="11">
        <f t="shared" si="26"/>
        <v>0</v>
      </c>
      <c r="Z100" s="11">
        <f t="shared" si="27"/>
        <v>0</v>
      </c>
      <c r="AA100" s="7">
        <v>572.67647058830005</v>
      </c>
      <c r="AB100" s="15">
        <f>IFERROR(AA100/1494.2647058824,0)</f>
        <v>0.38324968014962285</v>
      </c>
      <c r="AC100" s="11">
        <v>11.8782352941</v>
      </c>
      <c r="AD100" s="15">
        <f>IFERROR(AC100/51.2014705883,0)</f>
        <v>0.2319901197684405</v>
      </c>
      <c r="AE100" s="11"/>
      <c r="AF100" s="11"/>
      <c r="AG100" s="7">
        <v>-68045</v>
      </c>
      <c r="AH100" s="7">
        <v>223</v>
      </c>
      <c r="AI100" s="7">
        <v>14.798206278</v>
      </c>
      <c r="AJ100" s="11">
        <v>4.2352941176999996</v>
      </c>
      <c r="AK100" s="11">
        <v>3.3823529412000002</v>
      </c>
      <c r="AL100" s="11">
        <v>0.52941176469999995</v>
      </c>
      <c r="AM100" s="11">
        <v>0</v>
      </c>
      <c r="AN100" s="11">
        <v>0</v>
      </c>
      <c r="AO100" s="13"/>
      <c r="AP100" s="11"/>
      <c r="AQ100" s="7"/>
      <c r="AR100" s="7"/>
      <c r="AS100" s="7"/>
      <c r="AT100" s="7"/>
      <c r="AU100" s="7"/>
    </row>
    <row r="101" spans="1:47" x14ac:dyDescent="0.3">
      <c r="A101" s="5" t="s">
        <v>74</v>
      </c>
      <c r="B101" s="5">
        <v>202508</v>
      </c>
      <c r="C101" s="7"/>
      <c r="D101" s="7">
        <v>7</v>
      </c>
      <c r="E101" s="7"/>
      <c r="F101" s="7">
        <v>572133</v>
      </c>
      <c r="G101" s="7">
        <v>1147</v>
      </c>
      <c r="H101" s="9">
        <f t="shared" si="19"/>
        <v>2.0047786091695464E-3</v>
      </c>
      <c r="I101" s="9"/>
      <c r="J101" s="7">
        <v>3128500</v>
      </c>
      <c r="K101" s="11">
        <f t="shared" si="20"/>
        <v>0</v>
      </c>
      <c r="L101" s="11"/>
      <c r="M101" s="11">
        <v>80.698286499800005</v>
      </c>
      <c r="N101" s="11">
        <f t="shared" si="21"/>
        <v>-80.698286499800005</v>
      </c>
      <c r="O101" s="11"/>
      <c r="P101" s="11"/>
      <c r="Q101" s="11"/>
      <c r="R101" s="7">
        <v>463392</v>
      </c>
      <c r="S101" s="11">
        <f t="shared" si="22"/>
        <v>0</v>
      </c>
      <c r="T101" s="13">
        <f t="shared" si="23"/>
        <v>6.7513034320834198</v>
      </c>
      <c r="U101" s="7">
        <v>762641</v>
      </c>
      <c r="V101" s="11">
        <f t="shared" si="24"/>
        <v>0</v>
      </c>
      <c r="W101" s="11">
        <f t="shared" si="25"/>
        <v>0</v>
      </c>
      <c r="X101" s="11">
        <v>302.7673129291</v>
      </c>
      <c r="Y101" s="11">
        <f t="shared" si="26"/>
        <v>0</v>
      </c>
      <c r="Z101" s="11">
        <f t="shared" si="27"/>
        <v>0</v>
      </c>
      <c r="AA101" s="7">
        <v>651.97058823530006</v>
      </c>
      <c r="AB101" s="15">
        <f>IFERROR(AA101/1499.0196078431,0)</f>
        <v>0.43493132766515541</v>
      </c>
      <c r="AC101" s="11">
        <v>11.979117647100001</v>
      </c>
      <c r="AD101" s="15">
        <f>IFERROR(AC101/51.3598039216,0)</f>
        <v>0.23323916238827452</v>
      </c>
      <c r="AE101" s="11"/>
      <c r="AF101" s="11"/>
      <c r="AG101" s="7">
        <v>-103411</v>
      </c>
      <c r="AH101" s="7">
        <v>174</v>
      </c>
      <c r="AI101" s="7">
        <v>16.666666666699999</v>
      </c>
      <c r="AJ101" s="11">
        <v>4.6176470588000003</v>
      </c>
      <c r="AK101" s="11">
        <v>3.7058823529999998</v>
      </c>
      <c r="AL101" s="11">
        <v>1.4705882352999999</v>
      </c>
      <c r="AM101" s="11">
        <v>0</v>
      </c>
      <c r="AN101" s="11">
        <v>0</v>
      </c>
      <c r="AO101" s="13"/>
      <c r="AP101" s="11"/>
      <c r="AQ101" s="7"/>
      <c r="AR101" s="7"/>
      <c r="AS101" s="7"/>
      <c r="AT101" s="7"/>
      <c r="AU101" s="7"/>
    </row>
    <row r="102" spans="1:47" x14ac:dyDescent="0.3">
      <c r="A102" s="5" t="s">
        <v>74</v>
      </c>
      <c r="B102" s="5">
        <v>202509</v>
      </c>
      <c r="C102" s="7"/>
      <c r="D102" s="7">
        <v>7</v>
      </c>
      <c r="E102" s="7"/>
      <c r="F102" s="7">
        <v>570433</v>
      </c>
      <c r="G102" s="7">
        <v>1700</v>
      </c>
      <c r="H102" s="9">
        <f t="shared" si="19"/>
        <v>2.9801922399300181E-3</v>
      </c>
      <c r="I102" s="9"/>
      <c r="J102" s="7">
        <v>3137850</v>
      </c>
      <c r="K102" s="11">
        <f t="shared" si="20"/>
        <v>0</v>
      </c>
      <c r="L102" s="11"/>
      <c r="M102" s="11">
        <v>81.451428651499995</v>
      </c>
      <c r="N102" s="11">
        <f t="shared" si="21"/>
        <v>-81.451428651499995</v>
      </c>
      <c r="O102" s="11"/>
      <c r="P102" s="11"/>
      <c r="Q102" s="11"/>
      <c r="R102" s="7">
        <v>443643</v>
      </c>
      <c r="S102" s="11">
        <f t="shared" si="22"/>
        <v>0</v>
      </c>
      <c r="T102" s="13">
        <f t="shared" si="23"/>
        <v>7.072916737106187</v>
      </c>
      <c r="U102" s="7">
        <v>756466</v>
      </c>
      <c r="V102" s="11">
        <f t="shared" si="24"/>
        <v>0</v>
      </c>
      <c r="W102" s="11">
        <f t="shared" si="25"/>
        <v>0</v>
      </c>
      <c r="X102" s="11">
        <v>293.44911167629999</v>
      </c>
      <c r="Y102" s="11">
        <f t="shared" si="26"/>
        <v>0</v>
      </c>
      <c r="Z102" s="11">
        <f t="shared" si="27"/>
        <v>0</v>
      </c>
      <c r="AA102" s="7">
        <v>1265.5539215686999</v>
      </c>
      <c r="AB102" s="15">
        <f>IFERROR(AA102/1451.8627450981,0)</f>
        <v>0.87167600783308785</v>
      </c>
      <c r="AC102" s="11">
        <v>12.1020588236</v>
      </c>
      <c r="AD102" s="15">
        <f>IFERROR(AC102/49.6289215687,0)</f>
        <v>0.2438509329050691</v>
      </c>
      <c r="AE102" s="11"/>
      <c r="AF102" s="11"/>
      <c r="AG102" s="7">
        <v>-114531</v>
      </c>
      <c r="AH102" s="7">
        <v>199</v>
      </c>
      <c r="AI102" s="7">
        <v>15.175879396999999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3"/>
      <c r="AP102" s="11"/>
      <c r="AQ102" s="7"/>
      <c r="AR102" s="7"/>
      <c r="AS102" s="7"/>
      <c r="AT102" s="7"/>
      <c r="AU102" s="7"/>
    </row>
    <row r="103" spans="1:47" x14ac:dyDescent="0.3">
      <c r="A103" s="5" t="s">
        <v>74</v>
      </c>
      <c r="B103" s="5">
        <v>202510</v>
      </c>
      <c r="C103" s="7"/>
      <c r="D103" s="7">
        <v>7</v>
      </c>
      <c r="E103" s="7"/>
      <c r="F103" s="7">
        <v>568827</v>
      </c>
      <c r="G103" s="7">
        <v>1606</v>
      </c>
      <c r="H103" s="9">
        <f t="shared" si="19"/>
        <v>2.8233540250374896E-3</v>
      </c>
      <c r="I103" s="9"/>
      <c r="J103" s="7">
        <v>3145844</v>
      </c>
      <c r="K103" s="11">
        <f t="shared" si="20"/>
        <v>0</v>
      </c>
      <c r="L103" s="11"/>
      <c r="M103" s="11">
        <v>82.005568389000004</v>
      </c>
      <c r="N103" s="11">
        <f t="shared" si="21"/>
        <v>-82.005568389000004</v>
      </c>
      <c r="O103" s="11"/>
      <c r="P103" s="11"/>
      <c r="Q103" s="11"/>
      <c r="R103" s="7">
        <v>456403</v>
      </c>
      <c r="S103" s="11">
        <f t="shared" si="22"/>
        <v>0</v>
      </c>
      <c r="T103" s="13">
        <f t="shared" si="23"/>
        <v>6.8926891365744751</v>
      </c>
      <c r="U103" s="7">
        <v>723461</v>
      </c>
      <c r="V103" s="11">
        <f t="shared" si="24"/>
        <v>0</v>
      </c>
      <c r="W103" s="11">
        <f t="shared" si="25"/>
        <v>0</v>
      </c>
      <c r="X103" s="11">
        <v>295.44422939819998</v>
      </c>
      <c r="Y103" s="11">
        <f t="shared" si="26"/>
        <v>0</v>
      </c>
      <c r="Z103" s="11">
        <f t="shared" si="27"/>
        <v>0</v>
      </c>
      <c r="AA103" s="7">
        <v>1106.887254902</v>
      </c>
      <c r="AB103" s="15">
        <f>IFERROR(AA103/1455.3921568628,0)</f>
        <v>0.76054227012461939</v>
      </c>
      <c r="AC103" s="11">
        <v>14.143529411799999</v>
      </c>
      <c r="AD103" s="15">
        <f>IFERROR(AC103/49.7985294118,0)</f>
        <v>0.28401500162469906</v>
      </c>
      <c r="AE103" s="11"/>
      <c r="AF103" s="11"/>
      <c r="AG103" s="7">
        <v>-119445</v>
      </c>
      <c r="AH103" s="7">
        <v>285</v>
      </c>
      <c r="AI103" s="7">
        <v>17.263157894700001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3"/>
      <c r="AP103" s="11"/>
      <c r="AQ103" s="7"/>
      <c r="AR103" s="7"/>
      <c r="AS103" s="7"/>
      <c r="AT103" s="7"/>
      <c r="AU103" s="7"/>
    </row>
    <row r="104" spans="1:47" x14ac:dyDescent="0.3">
      <c r="A104" s="5" t="s">
        <v>74</v>
      </c>
      <c r="B104" s="5">
        <v>202511</v>
      </c>
      <c r="C104" s="7"/>
      <c r="D104" s="7">
        <v>7</v>
      </c>
      <c r="E104" s="7"/>
      <c r="F104" s="7">
        <v>567514</v>
      </c>
      <c r="G104" s="7">
        <v>1307</v>
      </c>
      <c r="H104" s="9">
        <f t="shared" si="19"/>
        <v>2.3030268856803534E-3</v>
      </c>
      <c r="I104" s="9"/>
      <c r="J104" s="7">
        <v>3208940</v>
      </c>
      <c r="K104" s="11">
        <f t="shared" si="20"/>
        <v>0</v>
      </c>
      <c r="L104" s="11"/>
      <c r="M104" s="11">
        <v>82.5341704346</v>
      </c>
      <c r="N104" s="11">
        <f t="shared" si="21"/>
        <v>-82.5341704346</v>
      </c>
      <c r="O104" s="11"/>
      <c r="P104" s="11"/>
      <c r="Q104" s="11"/>
      <c r="R104" s="7">
        <v>467057</v>
      </c>
      <c r="S104" s="11">
        <f t="shared" si="22"/>
        <v>0</v>
      </c>
      <c r="T104" s="13">
        <f t="shared" si="23"/>
        <v>6.8705532729409899</v>
      </c>
      <c r="U104" s="7">
        <v>759431</v>
      </c>
      <c r="V104" s="11">
        <f t="shared" si="24"/>
        <v>0</v>
      </c>
      <c r="W104" s="11">
        <f t="shared" si="25"/>
        <v>0</v>
      </c>
      <c r="X104" s="11">
        <v>298.41495596279998</v>
      </c>
      <c r="Y104" s="11">
        <f t="shared" si="26"/>
        <v>0</v>
      </c>
      <c r="Z104" s="11">
        <f t="shared" si="27"/>
        <v>0</v>
      </c>
      <c r="AA104" s="7">
        <v>1370.8774509804</v>
      </c>
      <c r="AB104" s="15">
        <f>IFERROR(AA104/1457.4509803922,0)</f>
        <v>0.94059935423110896</v>
      </c>
      <c r="AC104" s="11">
        <v>12.385294117700001</v>
      </c>
      <c r="AD104" s="15">
        <f>IFERROR(AC104/49.9382352941,0)</f>
        <v>0.24801225042814587</v>
      </c>
      <c r="AE104" s="11"/>
      <c r="AF104" s="11"/>
      <c r="AG104" s="7">
        <v>-69811</v>
      </c>
      <c r="AH104" s="7">
        <v>322</v>
      </c>
      <c r="AI104" s="7">
        <v>16.211180124199998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3"/>
      <c r="AP104" s="11"/>
      <c r="AQ104" s="7"/>
      <c r="AR104" s="7"/>
      <c r="AS104" s="7"/>
      <c r="AT104" s="7"/>
      <c r="AU104" s="7"/>
    </row>
    <row r="105" spans="1:47" x14ac:dyDescent="0.3">
      <c r="A105" s="5" t="s">
        <v>74</v>
      </c>
      <c r="B105" s="5">
        <v>202512</v>
      </c>
      <c r="C105" s="7"/>
      <c r="D105" s="7">
        <v>7</v>
      </c>
      <c r="E105" s="7"/>
      <c r="F105" s="7">
        <v>566109</v>
      </c>
      <c r="G105" s="7">
        <v>1405</v>
      </c>
      <c r="H105" s="9">
        <f t="shared" si="19"/>
        <v>2.4818542012227328E-3</v>
      </c>
      <c r="I105" s="9"/>
      <c r="J105" s="7">
        <v>3229880</v>
      </c>
      <c r="K105" s="11">
        <f t="shared" si="20"/>
        <v>0</v>
      </c>
      <c r="L105" s="11"/>
      <c r="M105" s="11">
        <v>82.841903591000005</v>
      </c>
      <c r="N105" s="11">
        <f t="shared" si="21"/>
        <v>-82.841903591000005</v>
      </c>
      <c r="O105" s="11"/>
      <c r="P105" s="11"/>
      <c r="Q105" s="11"/>
      <c r="R105" s="7">
        <v>466939</v>
      </c>
      <c r="S105" s="11">
        <f t="shared" si="22"/>
        <v>0</v>
      </c>
      <c r="T105" s="13">
        <f t="shared" si="23"/>
        <v>6.9171347863425412</v>
      </c>
      <c r="U105" s="7">
        <v>735018</v>
      </c>
      <c r="V105" s="11">
        <f t="shared" si="24"/>
        <v>0</v>
      </c>
      <c r="W105" s="11">
        <f t="shared" si="25"/>
        <v>0</v>
      </c>
      <c r="X105" s="11">
        <v>302.32078169890002</v>
      </c>
      <c r="Y105" s="11">
        <f t="shared" si="26"/>
        <v>0</v>
      </c>
      <c r="Z105" s="11">
        <f t="shared" si="27"/>
        <v>0</v>
      </c>
      <c r="AA105" s="7">
        <v>1442.2303921569001</v>
      </c>
      <c r="AB105" s="15">
        <f>IFERROR(AA105/1459.2156862746,0)</f>
        <v>0.98835998387526669</v>
      </c>
      <c r="AC105" s="11">
        <v>10.636764705899999</v>
      </c>
      <c r="AD105" s="15">
        <f>IFERROR(AC105/50.0710784314,0)</f>
        <v>0.2124333055952235</v>
      </c>
      <c r="AE105" s="11"/>
      <c r="AF105" s="11"/>
      <c r="AG105" s="7">
        <v>-75269</v>
      </c>
      <c r="AH105" s="7">
        <v>286</v>
      </c>
      <c r="AI105" s="7">
        <v>17.762237762200002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3"/>
      <c r="AP105" s="11"/>
      <c r="AQ105" s="7"/>
      <c r="AR105" s="7"/>
      <c r="AS105" s="7"/>
      <c r="AT105" s="7"/>
      <c r="AU105" s="7"/>
    </row>
    <row r="106" spans="1:47" x14ac:dyDescent="0.3">
      <c r="A106" s="5" t="s">
        <v>74</v>
      </c>
      <c r="B106" s="5">
        <v>202513</v>
      </c>
      <c r="C106" s="7"/>
      <c r="D106" s="7">
        <v>7</v>
      </c>
      <c r="E106" s="7"/>
      <c r="F106" s="7">
        <v>564686</v>
      </c>
      <c r="G106" s="7">
        <v>1423</v>
      </c>
      <c r="H106" s="9">
        <f t="shared" si="19"/>
        <v>2.519984557789639E-3</v>
      </c>
      <c r="I106" s="9"/>
      <c r="J106" s="7">
        <v>3263860</v>
      </c>
      <c r="K106" s="11">
        <f t="shared" si="20"/>
        <v>0</v>
      </c>
      <c r="L106" s="11"/>
      <c r="M106" s="11">
        <v>83.311755293999994</v>
      </c>
      <c r="N106" s="11">
        <f t="shared" si="21"/>
        <v>-83.311755293999994</v>
      </c>
      <c r="O106" s="11"/>
      <c r="P106" s="11"/>
      <c r="Q106" s="11"/>
      <c r="R106" s="7">
        <v>468258</v>
      </c>
      <c r="S106" s="11">
        <f t="shared" si="22"/>
        <v>0</v>
      </c>
      <c r="T106" s="13">
        <f t="shared" si="23"/>
        <v>6.9702172733834766</v>
      </c>
      <c r="U106" s="7">
        <v>727183</v>
      </c>
      <c r="V106" s="11">
        <f t="shared" si="24"/>
        <v>0</v>
      </c>
      <c r="W106" s="11">
        <f t="shared" si="25"/>
        <v>0</v>
      </c>
      <c r="X106" s="11">
        <v>304.58684105769998</v>
      </c>
      <c r="Y106" s="11">
        <f t="shared" si="26"/>
        <v>0</v>
      </c>
      <c r="Z106" s="11">
        <f t="shared" si="27"/>
        <v>0</v>
      </c>
      <c r="AA106" s="7">
        <v>1090.1176470588</v>
      </c>
      <c r="AB106" s="15">
        <f>IFERROR(AA106/1460.637254902,0)</f>
        <v>0.74633016746648728</v>
      </c>
      <c r="AC106" s="11">
        <v>16.3885294118</v>
      </c>
      <c r="AD106" s="15">
        <f>IFERROR(AC106/50.1460784314,0)</f>
        <v>0.32681577352493402</v>
      </c>
      <c r="AE106" s="11"/>
      <c r="AF106" s="11"/>
      <c r="AG106" s="7">
        <v>-29289</v>
      </c>
      <c r="AH106" s="7">
        <v>320</v>
      </c>
      <c r="AI106" s="7">
        <v>17.6875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3"/>
      <c r="AP106" s="11"/>
      <c r="AQ106" s="7"/>
      <c r="AR106" s="7"/>
      <c r="AS106" s="7"/>
      <c r="AT106" s="7"/>
      <c r="AU106" s="7"/>
    </row>
    <row r="107" spans="1:47" x14ac:dyDescent="0.3">
      <c r="A107" s="5" t="s">
        <v>74</v>
      </c>
      <c r="B107" s="5">
        <v>202514</v>
      </c>
      <c r="C107" s="7"/>
      <c r="D107" s="7">
        <v>7</v>
      </c>
      <c r="E107" s="7"/>
      <c r="F107" s="7">
        <v>547450</v>
      </c>
      <c r="G107" s="7">
        <v>1449</v>
      </c>
      <c r="H107" s="9">
        <f t="shared" si="19"/>
        <v>2.6468170609188052E-3</v>
      </c>
      <c r="I107" s="9"/>
      <c r="J107" s="7">
        <v>3238470</v>
      </c>
      <c r="K107" s="11">
        <f t="shared" si="20"/>
        <v>0</v>
      </c>
      <c r="L107" s="11"/>
      <c r="M107" s="11">
        <v>84.916661064899998</v>
      </c>
      <c r="N107" s="11">
        <f t="shared" si="21"/>
        <v>-84.916661064899998</v>
      </c>
      <c r="O107" s="11"/>
      <c r="P107" s="11"/>
      <c r="Q107" s="11"/>
      <c r="R107" s="7">
        <v>451519</v>
      </c>
      <c r="S107" s="11">
        <f t="shared" si="22"/>
        <v>0</v>
      </c>
      <c r="T107" s="13">
        <f t="shared" si="23"/>
        <v>7.1723892017833135</v>
      </c>
      <c r="U107" s="7">
        <v>700380</v>
      </c>
      <c r="V107" s="11">
        <f t="shared" si="24"/>
        <v>0</v>
      </c>
      <c r="W107" s="11">
        <f t="shared" si="25"/>
        <v>0</v>
      </c>
      <c r="X107" s="11">
        <v>294.62607006569999</v>
      </c>
      <c r="Y107" s="11">
        <f t="shared" si="26"/>
        <v>0</v>
      </c>
      <c r="Z107" s="11">
        <f t="shared" si="27"/>
        <v>0</v>
      </c>
      <c r="AA107" s="7">
        <v>1278.0098039216</v>
      </c>
      <c r="AB107" s="15">
        <f>IFERROR(AA107/1462.3529411765,0)</f>
        <v>0.87394073478144663</v>
      </c>
      <c r="AC107" s="11">
        <v>12.693823529399999</v>
      </c>
      <c r="AD107" s="15">
        <f>IFERROR(AC107/50.212254902,0)</f>
        <v>0.25280329581244104</v>
      </c>
      <c r="AE107" s="11"/>
      <c r="AF107" s="11"/>
      <c r="AG107" s="7">
        <v>7043</v>
      </c>
      <c r="AH107" s="7">
        <v>279</v>
      </c>
      <c r="AI107" s="7">
        <v>18.6379928315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3"/>
      <c r="AP107" s="11"/>
      <c r="AQ107" s="7"/>
      <c r="AR107" s="7"/>
      <c r="AS107" s="7"/>
      <c r="AT107" s="7"/>
      <c r="AU107" s="7"/>
    </row>
    <row r="108" spans="1:47" x14ac:dyDescent="0.3">
      <c r="A108" s="5" t="s">
        <v>74</v>
      </c>
      <c r="B108" s="5">
        <v>202515</v>
      </c>
      <c r="C108" s="7"/>
      <c r="D108" s="7">
        <v>7</v>
      </c>
      <c r="E108" s="7"/>
      <c r="F108" s="7">
        <v>530849</v>
      </c>
      <c r="G108" s="7">
        <v>1309</v>
      </c>
      <c r="H108" s="9">
        <f t="shared" si="19"/>
        <v>2.4658612901220498E-3</v>
      </c>
      <c r="I108" s="9"/>
      <c r="J108" s="7">
        <v>3177640</v>
      </c>
      <c r="K108" s="11">
        <f t="shared" si="20"/>
        <v>0</v>
      </c>
      <c r="L108" s="11"/>
      <c r="M108" s="11">
        <v>85.905430075200002</v>
      </c>
      <c r="N108" s="11">
        <f t="shared" si="21"/>
        <v>-85.905430075200002</v>
      </c>
      <c r="O108" s="11"/>
      <c r="P108" s="11"/>
      <c r="Q108" s="11"/>
      <c r="R108" s="7">
        <v>435205</v>
      </c>
      <c r="S108" s="11">
        <f t="shared" si="22"/>
        <v>0</v>
      </c>
      <c r="T108" s="13">
        <f t="shared" si="23"/>
        <v>7.3014786135269585</v>
      </c>
      <c r="U108" s="7">
        <v>666452</v>
      </c>
      <c r="V108" s="11">
        <f t="shared" si="24"/>
        <v>0</v>
      </c>
      <c r="W108" s="11">
        <f t="shared" si="25"/>
        <v>0</v>
      </c>
      <c r="X108" s="11">
        <v>278.03264213419999</v>
      </c>
      <c r="Y108" s="11">
        <f t="shared" si="26"/>
        <v>0</v>
      </c>
      <c r="Z108" s="11">
        <f t="shared" si="27"/>
        <v>0</v>
      </c>
      <c r="AA108" s="7">
        <v>0</v>
      </c>
      <c r="AB108" s="15">
        <f>IFERROR(AA108/1488,0)</f>
        <v>0</v>
      </c>
      <c r="AC108" s="11">
        <v>0</v>
      </c>
      <c r="AD108" s="15">
        <f>IFERROR(AC108/51.3666666667,0)</f>
        <v>0</v>
      </c>
      <c r="AE108" s="11"/>
      <c r="AF108" s="11"/>
      <c r="AG108" s="7">
        <v>-14557</v>
      </c>
      <c r="AH108" s="7">
        <v>412.5</v>
      </c>
      <c r="AI108" s="7">
        <v>15.030303030300001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3"/>
      <c r="AP108" s="11"/>
      <c r="AQ108" s="7"/>
      <c r="AR108" s="7"/>
      <c r="AS108" s="7"/>
      <c r="AT108" s="7"/>
      <c r="AU108" s="7"/>
    </row>
    <row r="109" spans="1:47" x14ac:dyDescent="0.3">
      <c r="A109" s="5" t="s">
        <v>74</v>
      </c>
      <c r="B109" s="5">
        <v>202516</v>
      </c>
      <c r="C109" s="7"/>
      <c r="D109" s="7">
        <v>7</v>
      </c>
      <c r="E109" s="7"/>
      <c r="F109" s="7">
        <v>529443</v>
      </c>
      <c r="G109" s="7">
        <v>1406</v>
      </c>
      <c r="H109" s="9">
        <f t="shared" si="19"/>
        <v>2.6556210961331058E-3</v>
      </c>
      <c r="I109" s="9"/>
      <c r="J109" s="7">
        <v>3061130</v>
      </c>
      <c r="K109" s="11">
        <f t="shared" si="20"/>
        <v>0</v>
      </c>
      <c r="L109" s="11"/>
      <c r="M109" s="11">
        <v>86.370239761400001</v>
      </c>
      <c r="N109" s="11">
        <f t="shared" si="21"/>
        <v>-86.370239761400001</v>
      </c>
      <c r="O109" s="11"/>
      <c r="P109" s="11"/>
      <c r="Q109" s="11"/>
      <c r="R109" s="7">
        <v>437313</v>
      </c>
      <c r="S109" s="11">
        <f t="shared" si="22"/>
        <v>0</v>
      </c>
      <c r="T109" s="13">
        <f t="shared" si="23"/>
        <v>6.9998605118073325</v>
      </c>
      <c r="U109" s="7">
        <v>677335</v>
      </c>
      <c r="V109" s="11">
        <f t="shared" si="24"/>
        <v>0</v>
      </c>
      <c r="W109" s="11">
        <f t="shared" si="25"/>
        <v>0</v>
      </c>
      <c r="X109" s="11">
        <v>268.6723456034</v>
      </c>
      <c r="Y109" s="11">
        <f t="shared" si="26"/>
        <v>0</v>
      </c>
      <c r="Z109" s="11">
        <f t="shared" si="27"/>
        <v>0</v>
      </c>
      <c r="AA109" s="7">
        <v>1713.95</v>
      </c>
      <c r="AB109" s="15">
        <f>IFERROR(AA109/1490.6666666667,0)</f>
        <v>1.1497875670840532</v>
      </c>
      <c r="AC109" s="11">
        <v>16.555</v>
      </c>
      <c r="AD109" s="15">
        <f>IFERROR(AC109/51.475,0)</f>
        <v>0.32161243322000971</v>
      </c>
      <c r="AE109" s="11"/>
      <c r="AF109" s="11"/>
      <c r="AG109" s="7">
        <v>-139838</v>
      </c>
      <c r="AH109" s="7">
        <v>260</v>
      </c>
      <c r="AI109" s="7">
        <v>20.076923076900002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3"/>
      <c r="AP109" s="11"/>
      <c r="AQ109" s="7"/>
      <c r="AR109" s="7"/>
      <c r="AS109" s="7"/>
      <c r="AT109" s="7"/>
      <c r="AU109" s="7"/>
    </row>
    <row r="110" spans="1:47" x14ac:dyDescent="0.3">
      <c r="A110" s="5" t="s">
        <v>74</v>
      </c>
      <c r="B110" s="5">
        <v>202517</v>
      </c>
      <c r="C110" s="7"/>
      <c r="D110" s="7">
        <v>7</v>
      </c>
      <c r="E110" s="7"/>
      <c r="F110" s="7">
        <v>527979</v>
      </c>
      <c r="G110" s="7">
        <v>1464</v>
      </c>
      <c r="H110" s="9">
        <f t="shared" si="19"/>
        <v>2.7728375560391607E-3</v>
      </c>
      <c r="I110" s="9"/>
      <c r="J110" s="7">
        <v>3072580</v>
      </c>
      <c r="K110" s="11">
        <f t="shared" si="20"/>
        <v>0</v>
      </c>
      <c r="L110" s="11"/>
      <c r="M110" s="11">
        <v>86.203544175100006</v>
      </c>
      <c r="N110" s="11">
        <f t="shared" si="21"/>
        <v>-86.203544175100006</v>
      </c>
      <c r="O110" s="11"/>
      <c r="P110" s="11"/>
      <c r="Q110" s="11"/>
      <c r="R110" s="7">
        <v>431913</v>
      </c>
      <c r="S110" s="11">
        <f t="shared" si="22"/>
        <v>0</v>
      </c>
      <c r="T110" s="13">
        <f t="shared" si="23"/>
        <v>7.1138863613737024</v>
      </c>
      <c r="U110" s="7">
        <v>673871</v>
      </c>
      <c r="V110" s="11">
        <f t="shared" si="24"/>
        <v>0</v>
      </c>
      <c r="W110" s="11">
        <f t="shared" si="25"/>
        <v>0</v>
      </c>
      <c r="X110" s="11">
        <v>269.71929657459998</v>
      </c>
      <c r="Y110" s="11">
        <f t="shared" si="26"/>
        <v>0</v>
      </c>
      <c r="Z110" s="11">
        <f t="shared" si="27"/>
        <v>0</v>
      </c>
      <c r="AA110" s="7">
        <v>1580.75</v>
      </c>
      <c r="AB110" s="15">
        <f>IFERROR(AA110/1491.1666666667,0)</f>
        <v>1.0600760031295169</v>
      </c>
      <c r="AC110" s="11">
        <v>14.4433333334</v>
      </c>
      <c r="AD110" s="15">
        <f>IFERROR(AC110/51.5433333334,0)</f>
        <v>0.28021729289364261</v>
      </c>
      <c r="AE110" s="11"/>
      <c r="AF110" s="11"/>
      <c r="AG110" s="7">
        <v>-113377</v>
      </c>
      <c r="AH110" s="7">
        <v>299</v>
      </c>
      <c r="AI110" s="7">
        <v>18.394648829400001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3"/>
      <c r="AP110" s="11"/>
      <c r="AQ110" s="7"/>
      <c r="AR110" s="7"/>
      <c r="AS110" s="7"/>
      <c r="AT110" s="7"/>
      <c r="AU110" s="7"/>
    </row>
    <row r="111" spans="1:47" x14ac:dyDescent="0.3">
      <c r="A111" s="5" t="s">
        <v>74</v>
      </c>
      <c r="B111" s="5">
        <v>202518</v>
      </c>
      <c r="C111" s="7"/>
      <c r="D111" s="7">
        <v>7</v>
      </c>
      <c r="E111" s="7"/>
      <c r="F111" s="7">
        <v>526054</v>
      </c>
      <c r="G111" s="7">
        <v>1925</v>
      </c>
      <c r="H111" s="9">
        <f t="shared" si="19"/>
        <v>3.6593201458405412E-3</v>
      </c>
      <c r="I111" s="9"/>
      <c r="J111" s="7">
        <v>3032270</v>
      </c>
      <c r="K111" s="11">
        <f t="shared" si="20"/>
        <v>0</v>
      </c>
      <c r="L111" s="11"/>
      <c r="M111" s="11">
        <v>86.189876229399999</v>
      </c>
      <c r="N111" s="11">
        <f t="shared" si="21"/>
        <v>-86.189876229399999</v>
      </c>
      <c r="O111" s="11"/>
      <c r="P111" s="11"/>
      <c r="Q111" s="11"/>
      <c r="R111" s="7">
        <v>443278</v>
      </c>
      <c r="S111" s="11">
        <f t="shared" si="22"/>
        <v>0</v>
      </c>
      <c r="T111" s="13">
        <f t="shared" si="23"/>
        <v>6.8405605511665364</v>
      </c>
      <c r="U111" s="7">
        <v>656110</v>
      </c>
      <c r="V111" s="11">
        <f t="shared" si="24"/>
        <v>0</v>
      </c>
      <c r="W111" s="11">
        <f t="shared" si="25"/>
        <v>0</v>
      </c>
      <c r="X111" s="11">
        <v>278.77326345350002</v>
      </c>
      <c r="Y111" s="11">
        <f t="shared" si="26"/>
        <v>0</v>
      </c>
      <c r="Z111" s="11">
        <f t="shared" si="27"/>
        <v>0</v>
      </c>
      <c r="AA111" s="7">
        <v>1526.55</v>
      </c>
      <c r="AB111" s="15">
        <f>IFERROR(AA111/1491.5,0)</f>
        <v>1.0234998323835065</v>
      </c>
      <c r="AC111" s="11">
        <v>12.5333333334</v>
      </c>
      <c r="AD111" s="15">
        <f>IFERROR(AC111/51.6,0)</f>
        <v>0.24289405684883719</v>
      </c>
      <c r="AE111" s="11"/>
      <c r="AF111" s="11"/>
      <c r="AG111" s="7">
        <v>-141567</v>
      </c>
      <c r="AH111" s="7">
        <v>413</v>
      </c>
      <c r="AI111" s="7">
        <v>19.5641646489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3"/>
      <c r="AP111" s="11"/>
      <c r="AQ111" s="7"/>
      <c r="AR111" s="7"/>
      <c r="AS111" s="7"/>
      <c r="AT111" s="7"/>
      <c r="AU111" s="7"/>
    </row>
    <row r="112" spans="1:47" x14ac:dyDescent="0.3">
      <c r="A112" s="5" t="s">
        <v>74</v>
      </c>
      <c r="B112" s="5">
        <v>202519</v>
      </c>
      <c r="C112" s="7"/>
      <c r="D112" s="7">
        <v>7</v>
      </c>
      <c r="E112" s="7"/>
      <c r="F112" s="7">
        <v>589338</v>
      </c>
      <c r="G112" s="7">
        <v>1692</v>
      </c>
      <c r="H112" s="9">
        <f t="shared" si="19"/>
        <v>2.8710179896765525E-3</v>
      </c>
      <c r="I112" s="9"/>
      <c r="J112" s="7">
        <v>3093420</v>
      </c>
      <c r="K112" s="11">
        <f t="shared" si="20"/>
        <v>0</v>
      </c>
      <c r="L112" s="11"/>
      <c r="M112" s="11">
        <v>78.146012135700005</v>
      </c>
      <c r="N112" s="11">
        <f t="shared" si="21"/>
        <v>-78.146012135700005</v>
      </c>
      <c r="O112" s="11"/>
      <c r="P112" s="11"/>
      <c r="Q112" s="11"/>
      <c r="R112" s="7">
        <v>466099</v>
      </c>
      <c r="S112" s="11">
        <f t="shared" si="22"/>
        <v>0</v>
      </c>
      <c r="T112" s="13">
        <f t="shared" si="23"/>
        <v>6.6368303729465197</v>
      </c>
      <c r="U112" s="7">
        <v>739520</v>
      </c>
      <c r="V112" s="11">
        <f t="shared" si="24"/>
        <v>0</v>
      </c>
      <c r="W112" s="11">
        <f t="shared" si="25"/>
        <v>0</v>
      </c>
      <c r="X112" s="11">
        <v>283.8947223843</v>
      </c>
      <c r="Y112" s="11">
        <f t="shared" si="26"/>
        <v>0</v>
      </c>
      <c r="Z112" s="11">
        <f t="shared" si="27"/>
        <v>0</v>
      </c>
      <c r="AA112" s="7">
        <v>1714.375</v>
      </c>
      <c r="AB112" s="15">
        <f>IFERROR(AA112/1429.1145833334,0)</f>
        <v>1.199606399650077</v>
      </c>
      <c r="AC112" s="11">
        <v>15.6371875</v>
      </c>
      <c r="AD112" s="15">
        <f>IFERROR(AC112/49.4640625,0)</f>
        <v>0.31613229301576273</v>
      </c>
      <c r="AE112" s="11"/>
      <c r="AF112" s="11"/>
      <c r="AG112" s="7">
        <v>-130389</v>
      </c>
      <c r="AH112" s="7">
        <v>441.5</v>
      </c>
      <c r="AI112" s="7">
        <v>14.677236693099999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3"/>
      <c r="AP112" s="11"/>
      <c r="AQ112" s="7"/>
      <c r="AR112" s="7"/>
      <c r="AS112" s="7"/>
      <c r="AT112" s="7"/>
      <c r="AU112" s="7"/>
    </row>
    <row r="113" spans="1:47" x14ac:dyDescent="0.3">
      <c r="A113" s="5" t="s">
        <v>74</v>
      </c>
      <c r="B113" s="5">
        <v>202520</v>
      </c>
      <c r="C113" s="7"/>
      <c r="D113" s="7">
        <v>7</v>
      </c>
      <c r="E113" s="7"/>
      <c r="F113" s="7">
        <v>608733</v>
      </c>
      <c r="G113" s="7">
        <v>1629</v>
      </c>
      <c r="H113" s="9">
        <f t="shared" si="19"/>
        <v>2.6760500909265637E-3</v>
      </c>
      <c r="I113" s="9"/>
      <c r="J113" s="7">
        <v>3180130</v>
      </c>
      <c r="K113" s="11">
        <f t="shared" si="20"/>
        <v>0</v>
      </c>
      <c r="L113" s="11"/>
      <c r="M113" s="11">
        <v>78.910564155299994</v>
      </c>
      <c r="N113" s="11">
        <f t="shared" si="21"/>
        <v>-78.910564155299994</v>
      </c>
      <c r="O113" s="11"/>
      <c r="P113" s="11"/>
      <c r="Q113" s="11"/>
      <c r="R113" s="7">
        <v>488316</v>
      </c>
      <c r="S113" s="11">
        <f t="shared" si="22"/>
        <v>0</v>
      </c>
      <c r="T113" s="13">
        <f t="shared" si="23"/>
        <v>6.51244276247348</v>
      </c>
      <c r="U113" s="7">
        <v>767033</v>
      </c>
      <c r="V113" s="11">
        <f t="shared" si="24"/>
        <v>0</v>
      </c>
      <c r="W113" s="11">
        <f t="shared" si="25"/>
        <v>0</v>
      </c>
      <c r="X113" s="11">
        <v>283.55354427700001</v>
      </c>
      <c r="Y113" s="11">
        <f t="shared" si="26"/>
        <v>0</v>
      </c>
      <c r="Z113" s="11">
        <f t="shared" si="27"/>
        <v>0</v>
      </c>
      <c r="AA113" s="7">
        <v>1604.5833333334001</v>
      </c>
      <c r="AB113" s="15">
        <f>IFERROR(AA113/1440.9803921569,0)</f>
        <v>1.1135358552184145</v>
      </c>
      <c r="AC113" s="11">
        <v>11.0097058824</v>
      </c>
      <c r="AD113" s="15">
        <f>IFERROR(AC113/49.6990196079,0)</f>
        <v>0.22152762708924609</v>
      </c>
      <c r="AE113" s="11"/>
      <c r="AF113" s="11"/>
      <c r="AG113" s="7">
        <v>-182352</v>
      </c>
      <c r="AH113" s="7">
        <v>415.5</v>
      </c>
      <c r="AI113" s="7">
        <v>14.440433213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3"/>
      <c r="AP113" s="11"/>
      <c r="AQ113" s="7"/>
      <c r="AR113" s="7"/>
      <c r="AS113" s="7"/>
      <c r="AT113" s="7"/>
      <c r="AU113" s="7"/>
    </row>
    <row r="114" spans="1:47" x14ac:dyDescent="0.3">
      <c r="A114" s="5" t="s">
        <v>74</v>
      </c>
      <c r="B114" s="5">
        <v>202521</v>
      </c>
      <c r="C114" s="7"/>
      <c r="D114" s="7">
        <v>7</v>
      </c>
      <c r="E114" s="7"/>
      <c r="F114" s="7">
        <v>568083</v>
      </c>
      <c r="G114" s="7">
        <v>2157</v>
      </c>
      <c r="H114" s="9">
        <f t="shared" si="19"/>
        <v>3.7969803708260939E-3</v>
      </c>
      <c r="I114" s="9"/>
      <c r="J114" s="7">
        <v>3162550</v>
      </c>
      <c r="K114" s="11">
        <f t="shared" si="20"/>
        <v>0</v>
      </c>
      <c r="L114" s="11"/>
      <c r="M114" s="11">
        <v>82.219629261899996</v>
      </c>
      <c r="N114" s="11">
        <f t="shared" si="21"/>
        <v>-82.219629261899996</v>
      </c>
      <c r="O114" s="11"/>
      <c r="P114" s="11"/>
      <c r="Q114" s="11"/>
      <c r="R114" s="7">
        <v>461203</v>
      </c>
      <c r="S114" s="11">
        <f t="shared" si="22"/>
        <v>0</v>
      </c>
      <c r="T114" s="13">
        <f t="shared" si="23"/>
        <v>6.8571756905310677</v>
      </c>
      <c r="U114" s="7">
        <v>715873</v>
      </c>
      <c r="V114" s="11">
        <f t="shared" si="24"/>
        <v>0</v>
      </c>
      <c r="W114" s="11">
        <f t="shared" si="25"/>
        <v>0</v>
      </c>
      <c r="X114" s="11">
        <v>293.42774011199998</v>
      </c>
      <c r="Y114" s="11">
        <f t="shared" si="26"/>
        <v>0</v>
      </c>
      <c r="Z114" s="11">
        <f t="shared" si="27"/>
        <v>0</v>
      </c>
      <c r="AA114" s="7">
        <v>1285.8137254902001</v>
      </c>
      <c r="AB114" s="15">
        <f>IFERROR(AA114/1384.6568627451,0)</f>
        <v>0.92861542818706577</v>
      </c>
      <c r="AC114" s="11">
        <v>11.0311764706</v>
      </c>
      <c r="AD114" s="15">
        <f>IFERROR(AC114/47.9382352941,0)</f>
        <v>0.23011227682712934</v>
      </c>
      <c r="AE114" s="11"/>
      <c r="AF114" s="11"/>
      <c r="AG114" s="7">
        <v>-173280</v>
      </c>
      <c r="AH114" s="7">
        <v>299</v>
      </c>
      <c r="AI114" s="7">
        <v>18.394648829400001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3"/>
      <c r="AP114" s="11"/>
      <c r="AQ114" s="7"/>
      <c r="AR114" s="7"/>
      <c r="AS114" s="7"/>
      <c r="AT114" s="7"/>
      <c r="AU114" s="7"/>
    </row>
    <row r="115" spans="1:47" x14ac:dyDescent="0.3">
      <c r="A115" s="5" t="s">
        <v>74</v>
      </c>
      <c r="B115" s="5">
        <v>202522</v>
      </c>
      <c r="C115" s="7"/>
      <c r="D115" s="7">
        <v>7</v>
      </c>
      <c r="E115" s="7"/>
      <c r="F115" s="7">
        <v>566543</v>
      </c>
      <c r="G115" s="7">
        <v>1540</v>
      </c>
      <c r="H115" s="9">
        <f t="shared" si="19"/>
        <v>2.7182402747893803E-3</v>
      </c>
      <c r="I115" s="9"/>
      <c r="J115" s="7">
        <v>3035770</v>
      </c>
      <c r="K115" s="11">
        <f t="shared" si="20"/>
        <v>0</v>
      </c>
      <c r="L115" s="11"/>
      <c r="M115" s="11">
        <v>84.818801838499994</v>
      </c>
      <c r="N115" s="11">
        <f t="shared" si="21"/>
        <v>-84.818801838499994</v>
      </c>
      <c r="O115" s="11"/>
      <c r="P115" s="11"/>
      <c r="Q115" s="11"/>
      <c r="R115" s="7">
        <v>429680</v>
      </c>
      <c r="S115" s="11">
        <f t="shared" si="22"/>
        <v>0</v>
      </c>
      <c r="T115" s="13">
        <f t="shared" si="23"/>
        <v>7.065188046918637</v>
      </c>
      <c r="U115" s="7">
        <v>681238</v>
      </c>
      <c r="V115" s="11">
        <f t="shared" si="24"/>
        <v>0</v>
      </c>
      <c r="W115" s="11">
        <f t="shared" si="25"/>
        <v>0</v>
      </c>
      <c r="X115" s="11">
        <v>298.016804622</v>
      </c>
      <c r="Y115" s="11">
        <f t="shared" si="26"/>
        <v>0</v>
      </c>
      <c r="Z115" s="11">
        <f t="shared" si="27"/>
        <v>0</v>
      </c>
      <c r="AA115" s="7">
        <v>1645.4</v>
      </c>
      <c r="AB115" s="15">
        <f>IFERROR(AA115/1471,0)</f>
        <v>1.1185588035350102</v>
      </c>
      <c r="AC115" s="11">
        <v>12.180999999999999</v>
      </c>
      <c r="AD115" s="15">
        <f>IFERROR(AC115/50.915,0)</f>
        <v>0.2392418737110871</v>
      </c>
      <c r="AE115" s="11"/>
      <c r="AF115" s="11"/>
      <c r="AG115" s="7">
        <v>-275220</v>
      </c>
      <c r="AH115" s="7">
        <v>292</v>
      </c>
      <c r="AI115" s="7">
        <v>16.301369863000001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3"/>
      <c r="AP115" s="11"/>
      <c r="AQ115" s="7"/>
      <c r="AR115" s="7"/>
      <c r="AS115" s="7"/>
      <c r="AT115" s="7"/>
      <c r="AU115" s="7"/>
    </row>
    <row r="116" spans="1:47" x14ac:dyDescent="0.3">
      <c r="A116" s="5" t="s">
        <v>74</v>
      </c>
      <c r="B116" s="5">
        <v>202523</v>
      </c>
      <c r="C116" s="7"/>
      <c r="D116" s="7">
        <v>7</v>
      </c>
      <c r="E116" s="7"/>
      <c r="F116" s="7">
        <v>526910</v>
      </c>
      <c r="G116" s="7">
        <v>1607</v>
      </c>
      <c r="H116" s="9">
        <f t="shared" si="19"/>
        <v>3.0498567117724089E-3</v>
      </c>
      <c r="I116" s="9"/>
      <c r="J116" s="7">
        <v>3038300</v>
      </c>
      <c r="K116" s="11">
        <f t="shared" si="20"/>
        <v>0</v>
      </c>
      <c r="L116" s="11"/>
      <c r="M116" s="11">
        <v>87.071341595299998</v>
      </c>
      <c r="N116" s="11">
        <f t="shared" si="21"/>
        <v>-87.071341595299998</v>
      </c>
      <c r="O116" s="11"/>
      <c r="P116" s="11"/>
      <c r="Q116" s="11"/>
      <c r="R116" s="7">
        <v>423956</v>
      </c>
      <c r="S116" s="11">
        <f t="shared" si="22"/>
        <v>0</v>
      </c>
      <c r="T116" s="13">
        <f t="shared" si="23"/>
        <v>7.1665455849191897</v>
      </c>
      <c r="U116" s="7">
        <v>688243</v>
      </c>
      <c r="V116" s="11">
        <f t="shared" si="24"/>
        <v>0</v>
      </c>
      <c r="W116" s="11">
        <f t="shared" si="25"/>
        <v>0</v>
      </c>
      <c r="X116" s="11">
        <v>296.61721467059999</v>
      </c>
      <c r="Y116" s="11">
        <f t="shared" si="26"/>
        <v>0</v>
      </c>
      <c r="Z116" s="11">
        <f t="shared" si="27"/>
        <v>0</v>
      </c>
      <c r="AA116" s="7">
        <v>1657.9880952381</v>
      </c>
      <c r="AB116" s="15">
        <f>IFERROR(AA116/1523.0357142857,0)</f>
        <v>1.0886074959940728</v>
      </c>
      <c r="AC116" s="11">
        <v>6.6292857142999999</v>
      </c>
      <c r="AD116" s="15">
        <f>IFERROR(AC116/52.805952381,0)</f>
        <v>0.12554050093574809</v>
      </c>
      <c r="AE116" s="11"/>
      <c r="AF116" s="11"/>
      <c r="AG116" s="7">
        <v>-173213</v>
      </c>
      <c r="AH116" s="7">
        <v>238</v>
      </c>
      <c r="AI116" s="7">
        <v>18.739495798299998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3"/>
      <c r="AP116" s="11"/>
      <c r="AQ116" s="7"/>
      <c r="AR116" s="7"/>
      <c r="AS116" s="7"/>
      <c r="AT116" s="7"/>
      <c r="AU116" s="7"/>
    </row>
    <row r="117" spans="1:47" x14ac:dyDescent="0.3">
      <c r="A117" s="5" t="s">
        <v>74</v>
      </c>
      <c r="B117" s="5">
        <v>202524</v>
      </c>
      <c r="C117" s="7"/>
      <c r="D117" s="7">
        <v>7</v>
      </c>
      <c r="E117" s="7"/>
      <c r="F117" s="7">
        <v>525200</v>
      </c>
      <c r="G117" s="7">
        <v>1710</v>
      </c>
      <c r="H117" s="9">
        <f t="shared" si="19"/>
        <v>3.255902513328256E-3</v>
      </c>
      <c r="I117" s="9"/>
      <c r="J117" s="7">
        <v>3026870</v>
      </c>
      <c r="K117" s="11">
        <f t="shared" si="20"/>
        <v>0</v>
      </c>
      <c r="L117" s="11"/>
      <c r="M117" s="11">
        <v>87.151864813399996</v>
      </c>
      <c r="N117" s="11">
        <f t="shared" si="21"/>
        <v>-87.151864813399996</v>
      </c>
      <c r="O117" s="11"/>
      <c r="P117" s="11"/>
      <c r="Q117" s="11"/>
      <c r="R117" s="7">
        <v>429202</v>
      </c>
      <c r="S117" s="11">
        <f t="shared" si="22"/>
        <v>0</v>
      </c>
      <c r="T117" s="13">
        <f t="shared" si="23"/>
        <v>7.0523203526544611</v>
      </c>
      <c r="U117" s="7">
        <v>703529</v>
      </c>
      <c r="V117" s="11">
        <f t="shared" si="24"/>
        <v>0</v>
      </c>
      <c r="W117" s="11">
        <f t="shared" si="25"/>
        <v>0</v>
      </c>
      <c r="X117" s="11">
        <v>292.46498815410001</v>
      </c>
      <c r="Y117" s="11">
        <f t="shared" si="26"/>
        <v>0</v>
      </c>
      <c r="Z117" s="11">
        <f t="shared" si="27"/>
        <v>0</v>
      </c>
      <c r="AA117" s="7">
        <v>1622.7976190477</v>
      </c>
      <c r="AB117" s="15">
        <f>IFERROR(AA117/1524.4642857143,0)</f>
        <v>1.0645035336379329</v>
      </c>
      <c r="AC117" s="11">
        <v>6.6453571429</v>
      </c>
      <c r="AD117" s="15">
        <f>IFERROR(AC117/52.9458333334,0)</f>
        <v>0.12551237225891176</v>
      </c>
      <c r="AE117" s="11"/>
      <c r="AF117" s="11"/>
      <c r="AG117" s="7">
        <v>-177181</v>
      </c>
      <c r="AH117" s="7">
        <v>282</v>
      </c>
      <c r="AI117" s="7">
        <v>18.510638297900002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3"/>
      <c r="AP117" s="11"/>
      <c r="AQ117" s="7"/>
      <c r="AR117" s="7"/>
      <c r="AS117" s="7"/>
      <c r="AT117" s="7"/>
      <c r="AU117" s="7"/>
    </row>
    <row r="118" spans="1:47" x14ac:dyDescent="0.3">
      <c r="A118" s="5" t="s">
        <v>74</v>
      </c>
      <c r="B118" s="5">
        <v>202525</v>
      </c>
      <c r="C118" s="7"/>
      <c r="D118" s="7">
        <v>7</v>
      </c>
      <c r="E118" s="7"/>
      <c r="F118" s="7">
        <v>523538</v>
      </c>
      <c r="G118" s="7">
        <v>1662</v>
      </c>
      <c r="H118" s="9">
        <f t="shared" si="19"/>
        <v>3.1745546646088727E-3</v>
      </c>
      <c r="I118" s="9"/>
      <c r="J118" s="7">
        <v>3032180</v>
      </c>
      <c r="K118" s="11">
        <f t="shared" si="20"/>
        <v>0</v>
      </c>
      <c r="L118" s="11"/>
      <c r="M118" s="11">
        <v>87.1512969451</v>
      </c>
      <c r="N118" s="11">
        <f t="shared" si="21"/>
        <v>-87.1512969451</v>
      </c>
      <c r="O118" s="11"/>
      <c r="P118" s="11"/>
      <c r="Q118" s="11"/>
      <c r="R118" s="7">
        <v>437096</v>
      </c>
      <c r="S118" s="11">
        <f t="shared" si="22"/>
        <v>0</v>
      </c>
      <c r="T118" s="13">
        <f t="shared" si="23"/>
        <v>6.937103062027564</v>
      </c>
      <c r="U118" s="7">
        <v>694039</v>
      </c>
      <c r="V118" s="11">
        <f t="shared" si="24"/>
        <v>0</v>
      </c>
      <c r="W118" s="11">
        <f t="shared" si="25"/>
        <v>0</v>
      </c>
      <c r="X118" s="11">
        <v>296.12466241480001</v>
      </c>
      <c r="Y118" s="11">
        <f t="shared" si="26"/>
        <v>0</v>
      </c>
      <c r="Z118" s="11">
        <f t="shared" si="27"/>
        <v>0</v>
      </c>
      <c r="AA118" s="7">
        <v>886.57142857149995</v>
      </c>
      <c r="AB118" s="15">
        <f>IFERROR(AA118/1526.7857142857,0)</f>
        <v>0.58067836257315164</v>
      </c>
      <c r="AC118" s="11">
        <v>6.6553571428999998</v>
      </c>
      <c r="AD118" s="15">
        <f>IFERROR(AC118/53.0827380952,0)</f>
        <v>0.12537705065183535</v>
      </c>
      <c r="AE118" s="11"/>
      <c r="AF118" s="11"/>
      <c r="AG118" s="7">
        <v>-161711</v>
      </c>
      <c r="AH118" s="7">
        <v>281</v>
      </c>
      <c r="AI118" s="7">
        <v>17.3665480427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3"/>
      <c r="AP118" s="11"/>
      <c r="AQ118" s="7"/>
      <c r="AR118" s="7"/>
      <c r="AS118" s="7"/>
      <c r="AT118" s="7"/>
      <c r="AU118" s="7"/>
    </row>
    <row r="119" spans="1:47" x14ac:dyDescent="0.3">
      <c r="A119" s="5" t="s">
        <v>74</v>
      </c>
      <c r="B119" s="5">
        <v>202526</v>
      </c>
      <c r="C119" s="7"/>
      <c r="D119" s="7">
        <v>7</v>
      </c>
      <c r="E119" s="7"/>
      <c r="F119" s="7">
        <v>521719</v>
      </c>
      <c r="G119" s="7">
        <v>1819</v>
      </c>
      <c r="H119" s="9">
        <f t="shared" si="19"/>
        <v>3.4865511894333922E-3</v>
      </c>
      <c r="I119" s="9"/>
      <c r="J119" s="7">
        <v>3013660</v>
      </c>
      <c r="K119" s="11">
        <f t="shared" si="20"/>
        <v>0</v>
      </c>
      <c r="L119" s="11"/>
      <c r="M119" s="11">
        <v>87.058248980800002</v>
      </c>
      <c r="N119" s="11">
        <f t="shared" si="21"/>
        <v>-87.058248980800002</v>
      </c>
      <c r="O119" s="11"/>
      <c r="P119" s="11"/>
      <c r="Q119" s="11"/>
      <c r="R119" s="7">
        <v>430598</v>
      </c>
      <c r="S119" s="11">
        <f t="shared" si="22"/>
        <v>0</v>
      </c>
      <c r="T119" s="13">
        <f t="shared" si="23"/>
        <v>6.9987784430025224</v>
      </c>
      <c r="U119" s="7">
        <v>677751</v>
      </c>
      <c r="V119" s="11">
        <f t="shared" si="24"/>
        <v>0</v>
      </c>
      <c r="W119" s="11">
        <f t="shared" si="25"/>
        <v>0</v>
      </c>
      <c r="X119" s="11">
        <v>300.00798888989999</v>
      </c>
      <c r="Y119" s="11">
        <f t="shared" si="26"/>
        <v>0</v>
      </c>
      <c r="Z119" s="11">
        <f t="shared" si="27"/>
        <v>0</v>
      </c>
      <c r="AA119" s="7">
        <v>890.89285714289997</v>
      </c>
      <c r="AB119" s="15">
        <f>IFERROR(AA119/1599.1071428572,0)</f>
        <v>0.55711892797320617</v>
      </c>
      <c r="AC119" s="11">
        <v>11.1014285715</v>
      </c>
      <c r="AD119" s="15">
        <f>IFERROR(AC119/55.5458333334,0)</f>
        <v>0.19986068990749398</v>
      </c>
      <c r="AE119" s="11"/>
      <c r="AF119" s="11"/>
      <c r="AG119" s="7">
        <v>-165736</v>
      </c>
      <c r="AH119" s="7">
        <v>248</v>
      </c>
      <c r="AI119" s="7">
        <v>19.032258064499999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3"/>
      <c r="AP119" s="11"/>
      <c r="AQ119" s="7"/>
      <c r="AR119" s="7"/>
      <c r="AS119" s="7"/>
      <c r="AT119" s="7"/>
      <c r="AU119" s="7"/>
    </row>
    <row r="120" spans="1:47" x14ac:dyDescent="0.3">
      <c r="A120" s="5" t="s">
        <v>74</v>
      </c>
      <c r="B120" s="5">
        <v>202527</v>
      </c>
      <c r="C120" s="7"/>
      <c r="D120" s="7">
        <v>7</v>
      </c>
      <c r="E120" s="7"/>
      <c r="F120" s="7">
        <v>519886</v>
      </c>
      <c r="G120" s="7">
        <v>1833</v>
      </c>
      <c r="H120" s="9">
        <f t="shared" si="19"/>
        <v>3.5257729579176974E-3</v>
      </c>
      <c r="I120" s="9"/>
      <c r="J120" s="7">
        <v>3004850</v>
      </c>
      <c r="K120" s="11">
        <f t="shared" si="20"/>
        <v>0</v>
      </c>
      <c r="L120" s="11"/>
      <c r="M120" s="11">
        <v>86.767047006400006</v>
      </c>
      <c r="N120" s="11">
        <f t="shared" si="21"/>
        <v>-86.767047006400006</v>
      </c>
      <c r="O120" s="11"/>
      <c r="P120" s="11"/>
      <c r="Q120" s="11"/>
      <c r="R120" s="7">
        <v>424037</v>
      </c>
      <c r="S120" s="11">
        <f t="shared" si="22"/>
        <v>0</v>
      </c>
      <c r="T120" s="13">
        <f t="shared" si="23"/>
        <v>7.0862919981039392</v>
      </c>
      <c r="U120" s="7">
        <v>688661</v>
      </c>
      <c r="V120" s="11">
        <f t="shared" si="24"/>
        <v>0</v>
      </c>
      <c r="W120" s="11">
        <f t="shared" si="25"/>
        <v>0</v>
      </c>
      <c r="X120" s="11">
        <v>299.0791606427</v>
      </c>
      <c r="Y120" s="11">
        <f t="shared" si="26"/>
        <v>0</v>
      </c>
      <c r="Z120" s="11">
        <f t="shared" si="27"/>
        <v>0</v>
      </c>
      <c r="AA120" s="7">
        <v>1741.6666666666999</v>
      </c>
      <c r="AB120" s="15">
        <f>IFERROR(AA120/1528.9285714286,0)</f>
        <v>1.1391419450284206</v>
      </c>
      <c r="AC120" s="11">
        <v>0</v>
      </c>
      <c r="AD120" s="15">
        <f>IFERROR(AC120/53.3101190477,0)</f>
        <v>0</v>
      </c>
      <c r="AE120" s="11"/>
      <c r="AF120" s="11"/>
      <c r="AG120" s="7">
        <v>-152778</v>
      </c>
      <c r="AH120" s="7">
        <v>271</v>
      </c>
      <c r="AI120" s="7">
        <v>13.9483394834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3"/>
      <c r="AP120" s="11"/>
      <c r="AQ120" s="7"/>
      <c r="AR120" s="7"/>
      <c r="AS120" s="7"/>
      <c r="AT120" s="7"/>
      <c r="AU120" s="7"/>
    </row>
    <row r="121" spans="1:47" x14ac:dyDescent="0.3">
      <c r="A121" s="5" t="s">
        <v>74</v>
      </c>
      <c r="B121" s="5">
        <v>202528</v>
      </c>
      <c r="C121" s="7"/>
      <c r="D121" s="7">
        <v>7</v>
      </c>
      <c r="E121" s="7"/>
      <c r="F121" s="7">
        <v>603249</v>
      </c>
      <c r="G121" s="7">
        <v>2306</v>
      </c>
      <c r="H121" s="9">
        <f t="shared" si="19"/>
        <v>3.8226337714608728E-3</v>
      </c>
      <c r="I121" s="9"/>
      <c r="J121" s="7">
        <v>3070360</v>
      </c>
      <c r="K121" s="11">
        <f t="shared" si="20"/>
        <v>0</v>
      </c>
      <c r="L121" s="11"/>
      <c r="M121" s="11">
        <v>76.317346817000001</v>
      </c>
      <c r="N121" s="11">
        <f t="shared" si="21"/>
        <v>-76.317346817000001</v>
      </c>
      <c r="O121" s="11"/>
      <c r="P121" s="11"/>
      <c r="Q121" s="11"/>
      <c r="R121" s="7">
        <v>484756</v>
      </c>
      <c r="S121" s="11">
        <f t="shared" si="22"/>
        <v>0</v>
      </c>
      <c r="T121" s="13">
        <f t="shared" si="23"/>
        <v>6.3338256772479351</v>
      </c>
      <c r="U121" s="7">
        <v>793625</v>
      </c>
      <c r="V121" s="11">
        <f t="shared" si="24"/>
        <v>0</v>
      </c>
      <c r="W121" s="11">
        <f t="shared" si="25"/>
        <v>0</v>
      </c>
      <c r="X121" s="11">
        <v>300.96218884490003</v>
      </c>
      <c r="Y121" s="11">
        <f t="shared" si="26"/>
        <v>0</v>
      </c>
      <c r="Z121" s="11">
        <f t="shared" si="27"/>
        <v>0</v>
      </c>
      <c r="AA121" s="7">
        <v>1045.8529411765001</v>
      </c>
      <c r="AB121" s="15">
        <f>IFERROR(AA121/1524.2647058824,0)</f>
        <v>0.68613603473227025</v>
      </c>
      <c r="AC121" s="11">
        <v>9.1682352941000005</v>
      </c>
      <c r="AD121" s="15">
        <f>IFERROR(AC121/52.7098039216,0)</f>
        <v>0.17393795104487081</v>
      </c>
      <c r="AE121" s="11"/>
      <c r="AF121" s="11"/>
      <c r="AG121" s="7">
        <v>-152325</v>
      </c>
      <c r="AH121" s="7">
        <v>269</v>
      </c>
      <c r="AI121" s="7">
        <v>18.810408921899999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3"/>
      <c r="AP121" s="11"/>
      <c r="AQ121" s="7"/>
      <c r="AR121" s="7"/>
      <c r="AS121" s="7"/>
      <c r="AT121" s="7"/>
      <c r="AU121" s="7"/>
    </row>
    <row r="122" spans="1:47" x14ac:dyDescent="0.3">
      <c r="A122" s="5" t="s">
        <v>74</v>
      </c>
      <c r="B122" s="5">
        <v>202529</v>
      </c>
      <c r="C122" s="7"/>
      <c r="D122" s="7">
        <v>7</v>
      </c>
      <c r="E122" s="7"/>
      <c r="F122" s="7">
        <v>591367</v>
      </c>
      <c r="G122" s="7">
        <v>1922</v>
      </c>
      <c r="H122" s="9">
        <f t="shared" si="19"/>
        <v>3.2500968095953951E-3</v>
      </c>
      <c r="I122" s="9"/>
      <c r="J122" s="7">
        <v>3199880</v>
      </c>
      <c r="K122" s="11">
        <f t="shared" si="20"/>
        <v>0</v>
      </c>
      <c r="L122" s="11"/>
      <c r="M122" s="11">
        <v>80.132757154199993</v>
      </c>
      <c r="N122" s="11">
        <f t="shared" si="21"/>
        <v>-80.132757154199993</v>
      </c>
      <c r="O122" s="11"/>
      <c r="P122" s="11"/>
      <c r="Q122" s="11"/>
      <c r="R122" s="7">
        <v>480412</v>
      </c>
      <c r="S122" s="11">
        <f t="shared" si="22"/>
        <v>0</v>
      </c>
      <c r="T122" s="13">
        <f t="shared" si="23"/>
        <v>6.6606995662056736</v>
      </c>
      <c r="U122" s="7">
        <v>793591</v>
      </c>
      <c r="V122" s="11">
        <f t="shared" si="24"/>
        <v>0</v>
      </c>
      <c r="W122" s="11">
        <f t="shared" si="25"/>
        <v>0</v>
      </c>
      <c r="X122" s="11">
        <v>298.86331007550001</v>
      </c>
      <c r="Y122" s="11">
        <f t="shared" si="26"/>
        <v>0</v>
      </c>
      <c r="Z122" s="11">
        <f t="shared" si="27"/>
        <v>0</v>
      </c>
      <c r="AA122" s="7">
        <v>1706.3774509804</v>
      </c>
      <c r="AB122" s="15">
        <f>IFERROR(AA122/1531.9607843137,0)</f>
        <v>1.1138519134775611</v>
      </c>
      <c r="AC122" s="11">
        <v>9.1735294118000006</v>
      </c>
      <c r="AD122" s="15">
        <f>IFERROR(AC122/52.9960784314,0)</f>
        <v>0.17309826846291168</v>
      </c>
      <c r="AE122" s="11"/>
      <c r="AF122" s="11"/>
      <c r="AG122" s="7">
        <v>-117271</v>
      </c>
      <c r="AH122" s="7">
        <v>296</v>
      </c>
      <c r="AI122" s="7">
        <v>18.851351351400002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3"/>
      <c r="AP122" s="11"/>
      <c r="AQ122" s="7"/>
      <c r="AR122" s="7"/>
      <c r="AS122" s="7"/>
      <c r="AT122" s="7"/>
      <c r="AU122" s="7"/>
    </row>
    <row r="123" spans="1:47" x14ac:dyDescent="0.3">
      <c r="A123" s="5" t="s">
        <v>74</v>
      </c>
      <c r="B123" s="5">
        <v>202530</v>
      </c>
      <c r="C123" s="7"/>
      <c r="D123" s="7">
        <v>7</v>
      </c>
      <c r="E123" s="7"/>
      <c r="F123" s="7">
        <v>598494</v>
      </c>
      <c r="G123" s="7">
        <v>2403</v>
      </c>
      <c r="H123" s="9">
        <f t="shared" si="19"/>
        <v>4.0150778453919341E-3</v>
      </c>
      <c r="I123" s="9"/>
      <c r="J123" s="7">
        <v>3235270</v>
      </c>
      <c r="K123" s="11">
        <f t="shared" si="20"/>
        <v>0</v>
      </c>
      <c r="L123" s="11"/>
      <c r="M123" s="11">
        <v>83.853617997800001</v>
      </c>
      <c r="N123" s="11">
        <f t="shared" si="21"/>
        <v>-83.853617997800001</v>
      </c>
      <c r="O123" s="11"/>
      <c r="P123" s="11"/>
      <c r="Q123" s="11"/>
      <c r="R123" s="7">
        <v>462637</v>
      </c>
      <c r="S123" s="11">
        <f t="shared" si="22"/>
        <v>0</v>
      </c>
      <c r="T123" s="13">
        <f t="shared" si="23"/>
        <v>6.9931069067108771</v>
      </c>
      <c r="U123" s="7">
        <v>756875</v>
      </c>
      <c r="V123" s="11">
        <f t="shared" si="24"/>
        <v>0</v>
      </c>
      <c r="W123" s="11">
        <f t="shared" si="25"/>
        <v>0</v>
      </c>
      <c r="X123" s="11">
        <v>303.63043748889999</v>
      </c>
      <c r="Y123" s="11">
        <f t="shared" si="26"/>
        <v>0</v>
      </c>
      <c r="Z123" s="11">
        <f t="shared" si="27"/>
        <v>0</v>
      </c>
      <c r="AA123" s="7">
        <v>1335.3235294118001</v>
      </c>
      <c r="AB123" s="15">
        <f>IFERROR(AA123/1487.8431372549,0)</f>
        <v>0.89748945703745242</v>
      </c>
      <c r="AC123" s="11">
        <v>9.1826470588000007</v>
      </c>
      <c r="AD123" s="15">
        <f>IFERROR(AC123/51.3240196079,0)</f>
        <v>0.17891519660682562</v>
      </c>
      <c r="AE123" s="11"/>
      <c r="AF123" s="11"/>
      <c r="AG123" s="7">
        <v>-277742</v>
      </c>
      <c r="AH123" s="7">
        <v>279</v>
      </c>
      <c r="AI123" s="7">
        <v>19.641577060900001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3"/>
      <c r="AP123" s="11"/>
      <c r="AQ123" s="7"/>
      <c r="AR123" s="7"/>
      <c r="AS123" s="7"/>
      <c r="AT123" s="7"/>
      <c r="AU123" s="7"/>
    </row>
    <row r="124" spans="1:47" x14ac:dyDescent="0.3">
      <c r="A124" s="5" t="s">
        <v>74</v>
      </c>
      <c r="B124" s="5">
        <v>202531</v>
      </c>
      <c r="C124" s="7"/>
      <c r="D124" s="7">
        <v>7</v>
      </c>
      <c r="E124" s="7"/>
      <c r="F124" s="7">
        <v>595661</v>
      </c>
      <c r="G124" s="7">
        <v>2833</v>
      </c>
      <c r="H124" s="9">
        <f t="shared" si="19"/>
        <v>4.7560609138419339E-3</v>
      </c>
      <c r="I124" s="9"/>
      <c r="J124" s="7">
        <v>3127150</v>
      </c>
      <c r="K124" s="11">
        <f t="shared" si="20"/>
        <v>0</v>
      </c>
      <c r="L124" s="11"/>
      <c r="M124" s="11">
        <v>78.453164383800001</v>
      </c>
      <c r="N124" s="11">
        <f t="shared" si="21"/>
        <v>-78.453164383800001</v>
      </c>
      <c r="O124" s="11"/>
      <c r="P124" s="11"/>
      <c r="Q124" s="11"/>
      <c r="R124" s="7">
        <v>465862</v>
      </c>
      <c r="S124" s="11">
        <f t="shared" si="22"/>
        <v>0</v>
      </c>
      <c r="T124" s="13">
        <f t="shared" si="23"/>
        <v>6.712610172111054</v>
      </c>
      <c r="U124" s="7">
        <v>739404</v>
      </c>
      <c r="V124" s="11">
        <f t="shared" si="24"/>
        <v>0</v>
      </c>
      <c r="W124" s="11">
        <f t="shared" si="25"/>
        <v>0</v>
      </c>
      <c r="X124" s="11">
        <v>305.80371851690001</v>
      </c>
      <c r="Y124" s="11">
        <f t="shared" si="26"/>
        <v>0</v>
      </c>
      <c r="Z124" s="11">
        <f t="shared" si="27"/>
        <v>0</v>
      </c>
      <c r="AA124" s="7">
        <v>1610.5343137254999</v>
      </c>
      <c r="AB124" s="15">
        <f>IFERROR(AA124/1492.4019607843,0)</f>
        <v>1.0791558548201841</v>
      </c>
      <c r="AC124" s="11">
        <v>9.1938235293999995</v>
      </c>
      <c r="AD124" s="15">
        <f>IFERROR(AC124/51.5210784314,0)</f>
        <v>0.17844780834006646</v>
      </c>
      <c r="AE124" s="11"/>
      <c r="AF124" s="11"/>
      <c r="AG124" s="7">
        <v>-144054</v>
      </c>
      <c r="AH124" s="7">
        <v>338</v>
      </c>
      <c r="AI124" s="7">
        <v>16.1538461538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3"/>
      <c r="AP124" s="11"/>
      <c r="AQ124" s="7"/>
      <c r="AR124" s="7"/>
      <c r="AS124" s="7"/>
      <c r="AT124" s="7"/>
      <c r="AU124" s="7"/>
    </row>
    <row r="125" spans="1:47" x14ac:dyDescent="0.3">
      <c r="A125" s="5" t="s">
        <v>74</v>
      </c>
      <c r="B125" s="5">
        <v>202532</v>
      </c>
      <c r="C125" s="7"/>
      <c r="D125" s="7">
        <v>7</v>
      </c>
      <c r="E125" s="7"/>
      <c r="F125" s="7">
        <v>593030</v>
      </c>
      <c r="G125" s="7">
        <v>2631</v>
      </c>
      <c r="H125" s="9">
        <f t="shared" si="19"/>
        <v>4.4365377805507308E-3</v>
      </c>
      <c r="I125" s="9"/>
      <c r="J125" s="7">
        <v>3103420</v>
      </c>
      <c r="K125" s="11">
        <f t="shared" si="20"/>
        <v>0</v>
      </c>
      <c r="L125" s="11"/>
      <c r="M125" s="11">
        <v>78.991367553100005</v>
      </c>
      <c r="N125" s="11">
        <f t="shared" si="21"/>
        <v>-78.991367553100005</v>
      </c>
      <c r="O125" s="11"/>
      <c r="P125" s="11"/>
      <c r="Q125" s="11"/>
      <c r="R125" s="7">
        <v>481566</v>
      </c>
      <c r="S125" s="11">
        <f t="shared" si="22"/>
        <v>0</v>
      </c>
      <c r="T125" s="13">
        <f t="shared" si="23"/>
        <v>6.4444333694654521</v>
      </c>
      <c r="U125" s="7">
        <v>745868</v>
      </c>
      <c r="V125" s="11">
        <f t="shared" si="24"/>
        <v>0</v>
      </c>
      <c r="W125" s="11">
        <f t="shared" si="25"/>
        <v>0</v>
      </c>
      <c r="X125" s="11">
        <v>303.5748361121</v>
      </c>
      <c r="Y125" s="11">
        <f t="shared" si="26"/>
        <v>0</v>
      </c>
      <c r="Z125" s="11">
        <f t="shared" si="27"/>
        <v>0</v>
      </c>
      <c r="AA125" s="7">
        <v>1652.524509804</v>
      </c>
      <c r="AB125" s="15">
        <f>IFERROR(AA125/1497.0098039216,0)</f>
        <v>1.103883558728213</v>
      </c>
      <c r="AC125" s="11">
        <v>9.2061764706000009</v>
      </c>
      <c r="AD125" s="15">
        <f>IFERROR(AC125/51.699509804,0)</f>
        <v>0.17807086576839684</v>
      </c>
      <c r="AE125" s="11"/>
      <c r="AF125" s="11"/>
      <c r="AG125" s="7">
        <v>-175678</v>
      </c>
      <c r="AH125" s="7">
        <v>296</v>
      </c>
      <c r="AI125" s="7">
        <v>18.378378378400001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3"/>
      <c r="AP125" s="11"/>
      <c r="AQ125" s="7"/>
      <c r="AR125" s="7"/>
      <c r="AS125" s="7"/>
      <c r="AT125" s="7"/>
      <c r="AU125" s="7"/>
    </row>
    <row r="126" spans="1:47" x14ac:dyDescent="0.3">
      <c r="A126" s="5" t="s">
        <v>74</v>
      </c>
      <c r="B126" s="5">
        <v>202533</v>
      </c>
      <c r="C126" s="7"/>
      <c r="D126" s="7">
        <v>7</v>
      </c>
      <c r="E126" s="7"/>
      <c r="F126" s="7">
        <v>570409</v>
      </c>
      <c r="G126" s="7">
        <v>2842</v>
      </c>
      <c r="H126" s="9">
        <f t="shared" si="19"/>
        <v>4.9823898290524866E-3</v>
      </c>
      <c r="I126" s="9"/>
      <c r="J126" s="7">
        <v>3005830</v>
      </c>
      <c r="K126" s="11">
        <f t="shared" si="20"/>
        <v>0</v>
      </c>
      <c r="L126" s="11"/>
      <c r="M126" s="11">
        <v>79.663011277899997</v>
      </c>
      <c r="N126" s="11">
        <f t="shared" si="21"/>
        <v>-79.663011277899997</v>
      </c>
      <c r="O126" s="11"/>
      <c r="P126" s="11"/>
      <c r="Q126" s="11"/>
      <c r="R126" s="7">
        <v>464485</v>
      </c>
      <c r="S126" s="11">
        <f t="shared" si="22"/>
        <v>0</v>
      </c>
      <c r="T126" s="13">
        <f t="shared" si="23"/>
        <v>6.471317695942818</v>
      </c>
      <c r="U126" s="7">
        <v>736281</v>
      </c>
      <c r="V126" s="11">
        <f t="shared" si="24"/>
        <v>0</v>
      </c>
      <c r="W126" s="11">
        <f t="shared" si="25"/>
        <v>0</v>
      </c>
      <c r="X126" s="11">
        <v>308.10608897719999</v>
      </c>
      <c r="Y126" s="11">
        <f t="shared" si="26"/>
        <v>0</v>
      </c>
      <c r="Z126" s="11">
        <f t="shared" si="27"/>
        <v>0</v>
      </c>
      <c r="AA126" s="7">
        <v>1244.8382352941001</v>
      </c>
      <c r="AB126" s="15">
        <f>IFERROR(AA126/1500.6862745098,0)</f>
        <v>0.82951264127522406</v>
      </c>
      <c r="AC126" s="11">
        <v>9.2173529411999997</v>
      </c>
      <c r="AD126" s="15">
        <f>IFERROR(AC126/51.8647058824,0)</f>
        <v>0.17771917885931474</v>
      </c>
      <c r="AE126" s="11"/>
      <c r="AF126" s="11"/>
      <c r="AG126" s="7">
        <v>-177605</v>
      </c>
      <c r="AH126" s="7">
        <v>281</v>
      </c>
      <c r="AI126" s="7">
        <v>18.149466192199998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3"/>
      <c r="AP126" s="11"/>
      <c r="AQ126" s="7"/>
      <c r="AR126" s="7"/>
      <c r="AS126" s="7"/>
      <c r="AT126" s="7"/>
      <c r="AU126" s="7"/>
    </row>
    <row r="127" spans="1:47" x14ac:dyDescent="0.3">
      <c r="A127" s="5" t="s">
        <v>74</v>
      </c>
      <c r="B127" s="5">
        <v>202534</v>
      </c>
      <c r="C127" s="7"/>
      <c r="D127" s="7">
        <v>7</v>
      </c>
      <c r="E127" s="7"/>
      <c r="F127" s="7">
        <v>555238</v>
      </c>
      <c r="G127" s="7">
        <v>2524</v>
      </c>
      <c r="H127" s="9">
        <f t="shared" si="19"/>
        <v>4.545798378353067E-3</v>
      </c>
      <c r="I127" s="9"/>
      <c r="J127" s="7">
        <v>3112390</v>
      </c>
      <c r="K127" s="11">
        <f t="shared" si="20"/>
        <v>0</v>
      </c>
      <c r="L127" s="11"/>
      <c r="M127" s="11">
        <v>87.541578566300004</v>
      </c>
      <c r="N127" s="11">
        <f t="shared" si="21"/>
        <v>-87.541578566300004</v>
      </c>
      <c r="O127" s="11"/>
      <c r="P127" s="11"/>
      <c r="Q127" s="11"/>
      <c r="R127" s="7">
        <v>457487</v>
      </c>
      <c r="S127" s="11">
        <f t="shared" si="22"/>
        <v>0</v>
      </c>
      <c r="T127" s="13">
        <f t="shared" si="23"/>
        <v>6.8032315672357901</v>
      </c>
      <c r="U127" s="7">
        <v>716447</v>
      </c>
      <c r="V127" s="11">
        <f t="shared" si="24"/>
        <v>0</v>
      </c>
      <c r="W127" s="11">
        <f t="shared" si="25"/>
        <v>0</v>
      </c>
      <c r="X127" s="11">
        <v>308.9555331876</v>
      </c>
      <c r="Y127" s="11">
        <f t="shared" si="26"/>
        <v>0</v>
      </c>
      <c r="Z127" s="11">
        <f t="shared" si="27"/>
        <v>0</v>
      </c>
      <c r="AA127" s="7">
        <v>0</v>
      </c>
      <c r="AB127" s="15">
        <f>IFERROR(AA127/1597.8333333334,0)</f>
        <v>0</v>
      </c>
      <c r="AC127" s="11">
        <v>0</v>
      </c>
      <c r="AD127" s="15">
        <f>IFERROR(AC127/55.3616666667,0)</f>
        <v>0</v>
      </c>
      <c r="AE127" s="11"/>
      <c r="AF127" s="11"/>
      <c r="AG127" s="7">
        <v>-274683</v>
      </c>
      <c r="AH127" s="7">
        <v>267</v>
      </c>
      <c r="AI127" s="7">
        <v>18.202247191000001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3"/>
      <c r="AP127" s="11"/>
      <c r="AQ127" s="7"/>
      <c r="AR127" s="7"/>
      <c r="AS127" s="7"/>
      <c r="AT127" s="7"/>
      <c r="AU127" s="7"/>
    </row>
    <row r="128" spans="1:47" x14ac:dyDescent="0.3">
      <c r="A128" s="5" t="s">
        <v>74</v>
      </c>
      <c r="B128" s="5">
        <v>202535</v>
      </c>
      <c r="C128" s="7"/>
      <c r="D128" s="7">
        <v>7</v>
      </c>
      <c r="E128" s="7"/>
      <c r="F128" s="7">
        <v>548666</v>
      </c>
      <c r="G128" s="7">
        <v>2491</v>
      </c>
      <c r="H128" s="9">
        <f t="shared" si="19"/>
        <v>4.5401027218745105E-3</v>
      </c>
      <c r="I128" s="9"/>
      <c r="J128" s="7">
        <v>3210170</v>
      </c>
      <c r="K128" s="11">
        <f t="shared" si="20"/>
        <v>0</v>
      </c>
      <c r="L128" s="11"/>
      <c r="M128" s="11">
        <v>83.294118188400006</v>
      </c>
      <c r="N128" s="11">
        <f t="shared" si="21"/>
        <v>-83.294118188400006</v>
      </c>
      <c r="O128" s="11"/>
      <c r="P128" s="11"/>
      <c r="Q128" s="11"/>
      <c r="R128" s="7">
        <v>457802</v>
      </c>
      <c r="S128" s="11">
        <f t="shared" si="22"/>
        <v>0</v>
      </c>
      <c r="T128" s="13">
        <f t="shared" si="23"/>
        <v>7.0121362510430272</v>
      </c>
      <c r="U128" s="7">
        <v>731617</v>
      </c>
      <c r="V128" s="11">
        <f t="shared" si="24"/>
        <v>0</v>
      </c>
      <c r="W128" s="11">
        <f t="shared" si="25"/>
        <v>0</v>
      </c>
      <c r="X128" s="11">
        <v>301.97129858699998</v>
      </c>
      <c r="Y128" s="11">
        <f t="shared" si="26"/>
        <v>0</v>
      </c>
      <c r="Z128" s="11">
        <f t="shared" si="27"/>
        <v>0</v>
      </c>
      <c r="AA128" s="7">
        <v>0</v>
      </c>
      <c r="AB128" s="15">
        <f>IFERROR(AA128/1559.5,0)</f>
        <v>0</v>
      </c>
      <c r="AC128" s="11">
        <v>0</v>
      </c>
      <c r="AD128" s="15">
        <f>IFERROR(AC128/54.3333333334,0)</f>
        <v>0</v>
      </c>
      <c r="AE128" s="11"/>
      <c r="AF128" s="11"/>
      <c r="AG128" s="7">
        <v>11125</v>
      </c>
      <c r="AH128" s="7">
        <v>277</v>
      </c>
      <c r="AI128" s="7">
        <v>21.877256317699999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3"/>
      <c r="AP128" s="11"/>
      <c r="AQ128" s="7"/>
      <c r="AR128" s="7"/>
      <c r="AS128" s="7"/>
      <c r="AT128" s="7"/>
      <c r="AU128" s="7"/>
    </row>
    <row r="129" spans="1:47" x14ac:dyDescent="0.3">
      <c r="A129" s="5" t="s">
        <v>74</v>
      </c>
      <c r="B129" s="5">
        <v>202536</v>
      </c>
      <c r="C129" s="7"/>
      <c r="D129" s="7">
        <v>7</v>
      </c>
      <c r="E129" s="7"/>
      <c r="F129" s="7">
        <v>549816</v>
      </c>
      <c r="G129" s="7">
        <v>2293</v>
      </c>
      <c r="H129" s="9">
        <f t="shared" si="19"/>
        <v>4.170486126267697E-3</v>
      </c>
      <c r="I129" s="9"/>
      <c r="J129" s="7">
        <v>3369970</v>
      </c>
      <c r="K129" s="11">
        <f t="shared" si="20"/>
        <v>0</v>
      </c>
      <c r="L129" s="11"/>
      <c r="M129" s="11">
        <v>84.158858508999998</v>
      </c>
      <c r="N129" s="11">
        <f t="shared" si="21"/>
        <v>-84.158858508999998</v>
      </c>
      <c r="O129" s="11"/>
      <c r="P129" s="11"/>
      <c r="Q129" s="11"/>
      <c r="R129" s="7">
        <v>450081</v>
      </c>
      <c r="S129" s="11">
        <f t="shared" si="22"/>
        <v>0</v>
      </c>
      <c r="T129" s="13">
        <f t="shared" si="23"/>
        <v>7.487474476816395</v>
      </c>
      <c r="U129" s="7">
        <v>709055</v>
      </c>
      <c r="V129" s="11">
        <f t="shared" si="24"/>
        <v>0</v>
      </c>
      <c r="W129" s="11">
        <f t="shared" si="25"/>
        <v>0</v>
      </c>
      <c r="X129" s="11">
        <v>303.54887231169999</v>
      </c>
      <c r="Y129" s="11">
        <f t="shared" si="26"/>
        <v>0</v>
      </c>
      <c r="Z129" s="11">
        <f t="shared" si="27"/>
        <v>0</v>
      </c>
      <c r="AA129" s="7">
        <v>1031.3062500000001</v>
      </c>
      <c r="AB129" s="15">
        <f>IFERROR(AA129/1558.46875,0)</f>
        <v>0.66174329770808693</v>
      </c>
      <c r="AC129" s="11">
        <v>9.8134374999999991</v>
      </c>
      <c r="AD129" s="15">
        <f>IFERROR(AC129/54.611875,0)</f>
        <v>0.17969420570159877</v>
      </c>
      <c r="AE129" s="11"/>
      <c r="AF129" s="11"/>
      <c r="AG129" s="7">
        <v>120236</v>
      </c>
      <c r="AH129" s="7">
        <v>335</v>
      </c>
      <c r="AI129" s="7">
        <v>17.970149253700001</v>
      </c>
      <c r="AJ129" s="11">
        <v>2.75</v>
      </c>
      <c r="AK129" s="11">
        <v>2.65625</v>
      </c>
      <c r="AL129" s="11">
        <v>0</v>
      </c>
      <c r="AM129" s="11">
        <v>0</v>
      </c>
      <c r="AN129" s="11">
        <v>0</v>
      </c>
      <c r="AO129" s="13"/>
      <c r="AP129" s="11"/>
      <c r="AQ129" s="7"/>
      <c r="AR129" s="7"/>
      <c r="AS129" s="7"/>
      <c r="AT129" s="7"/>
      <c r="AU129" s="7"/>
    </row>
    <row r="130" spans="1:47" x14ac:dyDescent="0.3">
      <c r="A130" s="5" t="s">
        <v>74</v>
      </c>
      <c r="B130" s="5">
        <v>202537</v>
      </c>
      <c r="C130" s="7"/>
      <c r="D130" s="7">
        <v>7</v>
      </c>
      <c r="E130" s="7"/>
      <c r="F130" s="7">
        <v>531652</v>
      </c>
      <c r="G130" s="7">
        <v>2610</v>
      </c>
      <c r="H130" s="9">
        <f t="shared" si="19"/>
        <v>4.9092263360243169E-3</v>
      </c>
      <c r="I130" s="9"/>
      <c r="J130" s="7">
        <v>2965329</v>
      </c>
      <c r="K130" s="11">
        <f t="shared" si="20"/>
        <v>0</v>
      </c>
      <c r="L130" s="11"/>
      <c r="M130" s="11">
        <v>85.407842254000002</v>
      </c>
      <c r="N130" s="11">
        <f t="shared" si="21"/>
        <v>-85.407842254000002</v>
      </c>
      <c r="O130" s="11"/>
      <c r="P130" s="11"/>
      <c r="Q130" s="11"/>
      <c r="R130" s="7">
        <v>407715</v>
      </c>
      <c r="S130" s="11">
        <f t="shared" si="22"/>
        <v>0</v>
      </c>
      <c r="T130" s="13">
        <f t="shared" si="23"/>
        <v>7.273043670210809</v>
      </c>
      <c r="U130" s="7">
        <v>665506</v>
      </c>
      <c r="V130" s="11">
        <f t="shared" si="24"/>
        <v>0</v>
      </c>
      <c r="W130" s="11">
        <f t="shared" si="25"/>
        <v>0</v>
      </c>
      <c r="X130" s="11">
        <v>301.09342266390001</v>
      </c>
      <c r="Y130" s="11">
        <f t="shared" si="26"/>
        <v>0</v>
      </c>
      <c r="Z130" s="11">
        <f t="shared" si="27"/>
        <v>0</v>
      </c>
      <c r="AA130" s="7">
        <v>1551.1333333334001</v>
      </c>
      <c r="AB130" s="15">
        <f>IFERROR(AA130/1562.3333333334,0)</f>
        <v>0.99283123533176898</v>
      </c>
      <c r="AC130" s="11">
        <v>10.478666666700001</v>
      </c>
      <c r="AD130" s="15">
        <f>IFERROR(AC130/54.575,0)</f>
        <v>0.19200488624278517</v>
      </c>
      <c r="AE130" s="11"/>
      <c r="AF130" s="11"/>
      <c r="AG130" s="7">
        <v>-249159</v>
      </c>
      <c r="AH130" s="7">
        <v>592.5</v>
      </c>
      <c r="AI130" s="7">
        <v>11.8312236287</v>
      </c>
      <c r="AJ130" s="11">
        <v>3</v>
      </c>
      <c r="AK130" s="11">
        <v>3.1333333334</v>
      </c>
      <c r="AL130" s="11">
        <v>0.2666666667</v>
      </c>
      <c r="AM130" s="11">
        <v>0</v>
      </c>
      <c r="AN130" s="11">
        <v>0</v>
      </c>
      <c r="AO130" s="13"/>
      <c r="AP130" s="11"/>
      <c r="AQ130" s="7"/>
      <c r="AR130" s="7"/>
      <c r="AS130" s="7"/>
      <c r="AT130" s="7"/>
      <c r="AU130" s="7"/>
    </row>
    <row r="131" spans="1:47" x14ac:dyDescent="0.3">
      <c r="A131" s="5" t="s">
        <v>74</v>
      </c>
      <c r="B131" s="5">
        <v>202538</v>
      </c>
      <c r="C131" s="7"/>
      <c r="D131" s="7">
        <v>7</v>
      </c>
      <c r="E131" s="7"/>
      <c r="F131" s="7">
        <v>529060</v>
      </c>
      <c r="G131" s="7">
        <v>2413</v>
      </c>
      <c r="H131" s="9">
        <f t="shared" si="19"/>
        <v>4.560919366423468E-3</v>
      </c>
      <c r="I131" s="9"/>
      <c r="J131" s="7">
        <v>2827140</v>
      </c>
      <c r="K131" s="11">
        <f t="shared" si="20"/>
        <v>0</v>
      </c>
      <c r="L131" s="11"/>
      <c r="M131" s="11">
        <v>85.656752353200005</v>
      </c>
      <c r="N131" s="11">
        <f t="shared" si="21"/>
        <v>-85.656752353200005</v>
      </c>
      <c r="O131" s="11"/>
      <c r="P131" s="11"/>
      <c r="Q131" s="11"/>
      <c r="R131" s="7">
        <v>414684</v>
      </c>
      <c r="S131" s="11">
        <f t="shared" si="22"/>
        <v>0</v>
      </c>
      <c r="T131" s="13">
        <f t="shared" si="23"/>
        <v>6.8175767572416586</v>
      </c>
      <c r="U131" s="7">
        <v>633942</v>
      </c>
      <c r="V131" s="11">
        <f t="shared" si="24"/>
        <v>0</v>
      </c>
      <c r="W131" s="11">
        <f t="shared" si="25"/>
        <v>0</v>
      </c>
      <c r="X131" s="11">
        <v>302.825212196</v>
      </c>
      <c r="Y131" s="11">
        <f t="shared" si="26"/>
        <v>0</v>
      </c>
      <c r="Z131" s="11">
        <f t="shared" si="27"/>
        <v>0</v>
      </c>
      <c r="AA131" s="7">
        <v>1424.4333333334</v>
      </c>
      <c r="AB131" s="15">
        <f>IFERROR(AA131/1511.6666666667,0)</f>
        <v>0.94229327453144562</v>
      </c>
      <c r="AC131" s="11">
        <v>6.2793333334000003</v>
      </c>
      <c r="AD131" s="15">
        <f>IFERROR(AC131/52.6366666667,0)</f>
        <v>0.1192958014070551</v>
      </c>
      <c r="AE131" s="11"/>
      <c r="AF131" s="11"/>
      <c r="AG131" s="7">
        <v>-381749</v>
      </c>
      <c r="AH131" s="7">
        <v>561</v>
      </c>
      <c r="AI131" s="7">
        <v>10</v>
      </c>
      <c r="AJ131" s="11">
        <v>3.0333333333999999</v>
      </c>
      <c r="AK131" s="11">
        <v>2.3666666667</v>
      </c>
      <c r="AL131" s="11">
        <v>0</v>
      </c>
      <c r="AM131" s="11">
        <v>0</v>
      </c>
      <c r="AN131" s="11">
        <v>0</v>
      </c>
      <c r="AO131" s="13"/>
      <c r="AP131" s="11"/>
      <c r="AQ131" s="7"/>
      <c r="AR131" s="7"/>
      <c r="AS131" s="7"/>
      <c r="AT131" s="7"/>
      <c r="AU131" s="7"/>
    </row>
    <row r="132" spans="1:47" x14ac:dyDescent="0.3">
      <c r="A132" s="5" t="s">
        <v>74</v>
      </c>
      <c r="B132" s="5">
        <v>202539</v>
      </c>
      <c r="C132" s="7"/>
      <c r="D132" s="7">
        <v>7</v>
      </c>
      <c r="E132" s="7"/>
      <c r="F132" s="7">
        <v>526670</v>
      </c>
      <c r="G132" s="7">
        <v>2237</v>
      </c>
      <c r="H132" s="9">
        <f t="shared" si="19"/>
        <v>4.2474414718894184E-3</v>
      </c>
      <c r="I132" s="9"/>
      <c r="J132" s="7">
        <v>2845493</v>
      </c>
      <c r="K132" s="11">
        <f t="shared" si="20"/>
        <v>0</v>
      </c>
      <c r="L132" s="11"/>
      <c r="M132" s="11">
        <v>85.717082993099993</v>
      </c>
      <c r="N132" s="11">
        <f t="shared" si="21"/>
        <v>-85.717082993099993</v>
      </c>
      <c r="O132" s="11"/>
      <c r="P132" s="11"/>
      <c r="Q132" s="11"/>
      <c r="R132" s="7">
        <v>434945</v>
      </c>
      <c r="S132" s="11">
        <f t="shared" si="22"/>
        <v>0</v>
      </c>
      <c r="T132" s="13">
        <f t="shared" si="23"/>
        <v>6.5421903918886297</v>
      </c>
      <c r="U132" s="7">
        <v>645140</v>
      </c>
      <c r="V132" s="11">
        <f t="shared" si="24"/>
        <v>0</v>
      </c>
      <c r="W132" s="11">
        <f t="shared" si="25"/>
        <v>0</v>
      </c>
      <c r="X132" s="11">
        <v>299.5234336876</v>
      </c>
      <c r="Y132" s="11">
        <f t="shared" si="26"/>
        <v>0</v>
      </c>
      <c r="Z132" s="11">
        <f t="shared" si="27"/>
        <v>0</v>
      </c>
      <c r="AA132" s="7">
        <v>1528.9666666666999</v>
      </c>
      <c r="AB132" s="15">
        <f>IFERROR(AA132/1156.1666666667,0)</f>
        <v>1.3224448608908657</v>
      </c>
      <c r="AC132" s="11">
        <v>10.365</v>
      </c>
      <c r="AD132" s="15">
        <f>IFERROR(AC132/39.7603333334,0)</f>
        <v>0.26068694930414621</v>
      </c>
      <c r="AE132" s="11"/>
      <c r="AF132" s="11"/>
      <c r="AG132" s="7">
        <v>-352520</v>
      </c>
      <c r="AH132" s="7">
        <v>622.5</v>
      </c>
      <c r="AI132" s="7">
        <v>10.2489959839</v>
      </c>
      <c r="AJ132" s="11">
        <v>3.2333333334000001</v>
      </c>
      <c r="AK132" s="11">
        <v>3.3333333334000002</v>
      </c>
      <c r="AL132" s="11">
        <v>0</v>
      </c>
      <c r="AM132" s="11">
        <v>0</v>
      </c>
      <c r="AN132" s="11">
        <v>0</v>
      </c>
      <c r="AO132" s="13"/>
      <c r="AP132" s="11"/>
      <c r="AQ132" s="7"/>
      <c r="AR132" s="7"/>
      <c r="AS132" s="7"/>
      <c r="AT132" s="7"/>
      <c r="AU132" s="7"/>
    </row>
    <row r="133" spans="1:47" x14ac:dyDescent="0.3">
      <c r="A133" s="5" t="s">
        <v>74</v>
      </c>
      <c r="B133" s="5">
        <v>202540</v>
      </c>
      <c r="C133" s="7"/>
      <c r="D133" s="7">
        <v>7</v>
      </c>
      <c r="E133" s="7"/>
      <c r="F133" s="7">
        <v>625951</v>
      </c>
      <c r="G133" s="7">
        <v>2306</v>
      </c>
      <c r="H133" s="9">
        <f t="shared" si="19"/>
        <v>3.6839944340691204E-3</v>
      </c>
      <c r="I133" s="9"/>
      <c r="J133" s="7">
        <v>2883320</v>
      </c>
      <c r="K133" s="11">
        <f t="shared" si="20"/>
        <v>0</v>
      </c>
      <c r="L133" s="11"/>
      <c r="M133" s="11">
        <v>69.623397118900002</v>
      </c>
      <c r="N133" s="11">
        <f t="shared" si="21"/>
        <v>-69.623397118900002</v>
      </c>
      <c r="O133" s="11"/>
      <c r="P133" s="11"/>
      <c r="Q133" s="11"/>
      <c r="R133" s="7">
        <v>496516</v>
      </c>
      <c r="S133" s="11">
        <f t="shared" si="22"/>
        <v>0</v>
      </c>
      <c r="T133" s="13">
        <f t="shared" si="23"/>
        <v>5.8071038999750257</v>
      </c>
      <c r="U133" s="7">
        <v>757220</v>
      </c>
      <c r="V133" s="11">
        <f t="shared" si="24"/>
        <v>0</v>
      </c>
      <c r="W133" s="11">
        <f t="shared" si="25"/>
        <v>0</v>
      </c>
      <c r="X133" s="11">
        <v>295.70072244829998</v>
      </c>
      <c r="Y133" s="11">
        <f t="shared" si="26"/>
        <v>0</v>
      </c>
      <c r="Z133" s="11">
        <f t="shared" si="27"/>
        <v>0</v>
      </c>
      <c r="AA133" s="7">
        <v>1442.5539215686999</v>
      </c>
      <c r="AB133" s="15">
        <f>IFERROR(AA133/1176.3725490196,0)</f>
        <v>1.2262730227519658</v>
      </c>
      <c r="AC133" s="11">
        <v>10.494999999999999</v>
      </c>
      <c r="AD133" s="15">
        <f>IFERROR(AC133/39.6534313726,0)</f>
        <v>0.26466814186607585</v>
      </c>
      <c r="AE133" s="11"/>
      <c r="AF133" s="11"/>
      <c r="AG133" s="7">
        <v>-490309</v>
      </c>
      <c r="AH133" s="7">
        <v>502</v>
      </c>
      <c r="AI133" s="7">
        <v>11.115537848600001</v>
      </c>
      <c r="AJ133" s="11">
        <v>2.7058823529999998</v>
      </c>
      <c r="AK133" s="11">
        <v>2.7647058823999999</v>
      </c>
      <c r="AL133" s="11">
        <v>0</v>
      </c>
      <c r="AM133" s="11">
        <v>0</v>
      </c>
      <c r="AN133" s="11">
        <v>0</v>
      </c>
      <c r="AO133" s="13"/>
      <c r="AP133" s="11"/>
      <c r="AQ133" s="7"/>
      <c r="AR133" s="7"/>
      <c r="AS133" s="7"/>
      <c r="AT133" s="7"/>
      <c r="AU133" s="7"/>
    </row>
    <row r="134" spans="1:47" x14ac:dyDescent="0.3">
      <c r="A134" s="5" t="s">
        <v>74</v>
      </c>
      <c r="B134" s="5">
        <v>202541</v>
      </c>
      <c r="C134" s="7"/>
      <c r="D134" s="7">
        <v>7</v>
      </c>
      <c r="E134" s="7"/>
      <c r="F134" s="7">
        <v>623507</v>
      </c>
      <c r="G134" s="7">
        <v>2378</v>
      </c>
      <c r="H134" s="9">
        <f t="shared" si="19"/>
        <v>3.8139106698080374E-3</v>
      </c>
      <c r="I134" s="9"/>
      <c r="J134" s="7">
        <v>3266320</v>
      </c>
      <c r="K134" s="11">
        <f t="shared" si="20"/>
        <v>0</v>
      </c>
      <c r="L134" s="11"/>
      <c r="M134" s="11">
        <v>79.411283754600007</v>
      </c>
      <c r="N134" s="11">
        <f t="shared" si="21"/>
        <v>-79.411283754600007</v>
      </c>
      <c r="O134" s="11"/>
      <c r="P134" s="11"/>
      <c r="Q134" s="11"/>
      <c r="R134" s="7">
        <v>502476</v>
      </c>
      <c r="S134" s="11">
        <f t="shared" si="22"/>
        <v>0</v>
      </c>
      <c r="T134" s="13">
        <f t="shared" si="23"/>
        <v>6.5004497727254638</v>
      </c>
      <c r="U134" s="7">
        <v>779327</v>
      </c>
      <c r="V134" s="11">
        <f t="shared" si="24"/>
        <v>0</v>
      </c>
      <c r="W134" s="11">
        <f t="shared" si="25"/>
        <v>0</v>
      </c>
      <c r="X134" s="11">
        <v>271.99042534519998</v>
      </c>
      <c r="Y134" s="11">
        <f t="shared" si="26"/>
        <v>0</v>
      </c>
      <c r="Z134" s="11">
        <f t="shared" si="27"/>
        <v>0</v>
      </c>
      <c r="AA134" s="7">
        <v>1334.4215686274999</v>
      </c>
      <c r="AB134" s="15">
        <f>IFERROR(AA134/1230.637254902,0)</f>
        <v>1.0843337980482028</v>
      </c>
      <c r="AC134" s="11">
        <v>10.581176470600001</v>
      </c>
      <c r="AD134" s="15">
        <f>IFERROR(AC134/41.6539215687,0)</f>
        <v>0.25402593734538104</v>
      </c>
      <c r="AE134" s="11"/>
      <c r="AF134" s="11"/>
      <c r="AG134" s="7">
        <v>-235834</v>
      </c>
      <c r="AH134" s="7">
        <v>527</v>
      </c>
      <c r="AI134" s="7">
        <v>12.523719165099999</v>
      </c>
      <c r="AJ134" s="11">
        <v>2.7647058823999999</v>
      </c>
      <c r="AK134" s="11">
        <v>2.2352941177000001</v>
      </c>
      <c r="AL134" s="11">
        <v>0</v>
      </c>
      <c r="AM134" s="11">
        <v>0</v>
      </c>
      <c r="AN134" s="11">
        <v>0</v>
      </c>
      <c r="AO134" s="13"/>
      <c r="AP134" s="11"/>
      <c r="AQ134" s="7"/>
      <c r="AR134" s="7"/>
      <c r="AS134" s="7"/>
      <c r="AT134" s="7"/>
      <c r="AU134" s="7"/>
    </row>
    <row r="135" spans="1:47" ht="15" thickBot="1" x14ac:dyDescent="0.35">
      <c r="A135" s="5" t="s">
        <v>74</v>
      </c>
      <c r="B135" s="5">
        <v>202542</v>
      </c>
      <c r="C135" s="7"/>
      <c r="D135" s="7">
        <v>7</v>
      </c>
      <c r="E135" s="7"/>
      <c r="F135" s="7">
        <v>621000</v>
      </c>
      <c r="G135" s="7">
        <v>2354</v>
      </c>
      <c r="H135" s="9">
        <f t="shared" si="19"/>
        <v>3.7906602254428341E-3</v>
      </c>
      <c r="I135" s="9"/>
      <c r="J135" s="7">
        <v>3240380</v>
      </c>
      <c r="K135" s="11">
        <f t="shared" si="20"/>
        <v>0</v>
      </c>
      <c r="L135" s="11"/>
      <c r="M135" s="11">
        <v>73.348611755299999</v>
      </c>
      <c r="N135" s="11">
        <f t="shared" si="21"/>
        <v>-73.348611755299999</v>
      </c>
      <c r="O135" s="11"/>
      <c r="P135" s="11"/>
      <c r="Q135" s="11"/>
      <c r="R135" s="7">
        <v>464708</v>
      </c>
      <c r="S135" s="11">
        <f t="shared" si="22"/>
        <v>0</v>
      </c>
      <c r="T135" s="13">
        <f t="shared" si="23"/>
        <v>6.9729378448402004</v>
      </c>
      <c r="U135" s="7">
        <v>761930</v>
      </c>
      <c r="V135" s="11">
        <f t="shared" si="24"/>
        <v>0</v>
      </c>
      <c r="W135" s="11">
        <f t="shared" si="25"/>
        <v>0</v>
      </c>
      <c r="X135" s="11">
        <v>295.35718384339998</v>
      </c>
      <c r="Y135" s="11">
        <f t="shared" si="26"/>
        <v>0</v>
      </c>
      <c r="Z135" s="11">
        <f t="shared" si="27"/>
        <v>0</v>
      </c>
      <c r="AA135" s="7">
        <v>1445.0441176470999</v>
      </c>
      <c r="AB135" s="15">
        <f>IFERROR(AA135/1237.9411764706,0)</f>
        <v>1.16729626989786</v>
      </c>
      <c r="AC135" s="11">
        <v>6.9123529412</v>
      </c>
      <c r="AD135" s="15">
        <f>IFERROR(AC135/41.9149509804,0)</f>
        <v>0.16491377848520711</v>
      </c>
      <c r="AE135" s="11"/>
      <c r="AF135" s="11"/>
      <c r="AG135" s="7">
        <v>15436</v>
      </c>
      <c r="AH135" s="7">
        <v>549</v>
      </c>
      <c r="AI135" s="7">
        <v>11.038251366100001</v>
      </c>
      <c r="AJ135" s="11">
        <v>2.4705882353000002</v>
      </c>
      <c r="AK135" s="11">
        <v>2.2352941177000001</v>
      </c>
      <c r="AL135" s="11">
        <v>0</v>
      </c>
      <c r="AM135" s="11">
        <v>0</v>
      </c>
      <c r="AN135" s="11">
        <v>0</v>
      </c>
      <c r="AO135" s="13"/>
      <c r="AP135" s="11"/>
      <c r="AQ135" s="7"/>
      <c r="AR135" s="7"/>
      <c r="AS135" s="7"/>
      <c r="AT135" s="7"/>
      <c r="AU135" s="7"/>
    </row>
    <row r="136" spans="1:47" ht="15" thickBot="1" x14ac:dyDescent="0.35">
      <c r="A136" s="16" t="s">
        <v>128</v>
      </c>
      <c r="B136" s="16"/>
      <c r="C136" s="17"/>
      <c r="D136" s="17">
        <f>AVERAGE(D94:D135)</f>
        <v>6.9285714285714288</v>
      </c>
      <c r="E136" s="17">
        <f>SUM(E94:E135)</f>
        <v>0</v>
      </c>
      <c r="F136" s="17">
        <f>SUM(F94:F135)</f>
        <v>23364671</v>
      </c>
      <c r="G136" s="17">
        <f>SUM(G94:G135)</f>
        <v>77086</v>
      </c>
      <c r="H136" s="18">
        <f t="shared" si="19"/>
        <v>3.2992546738620887E-3</v>
      </c>
      <c r="I136" s="18"/>
      <c r="J136" s="17">
        <f>SUM(J94:J135)</f>
        <v>126961623</v>
      </c>
      <c r="K136" s="19">
        <f>IFERROR(J136/D136/F136*100,0)</f>
        <v>78.427631010780701</v>
      </c>
      <c r="L136" s="19"/>
      <c r="M136" s="19">
        <f>IFERROR(SUMPRODUCT($F94:$F135,M94:M135)/$F136, 0)</f>
        <v>81.86891205528903</v>
      </c>
      <c r="N136" s="19">
        <f t="shared" si="21"/>
        <v>-3.4412810445083295</v>
      </c>
      <c r="O136" s="19">
        <f>IFERROR(SUMPRODUCT($E94:$E135,O94:O135)/$E136, 0)</f>
        <v>0</v>
      </c>
      <c r="P136" s="19">
        <f>IFERROR(SUMPRODUCT($E94:$E135,P94:P135)/$E136, 0)</f>
        <v>0</v>
      </c>
      <c r="Q136" s="19">
        <f>IFERROR(SUMPRODUCT($E94:$E135,Q94:Q135)/$E136, 0)</f>
        <v>0</v>
      </c>
      <c r="R136" s="17">
        <f>SUM(R94:R135)</f>
        <v>18611834</v>
      </c>
      <c r="S136" s="19">
        <f>IFERROR(R136/D136/$F136*1000,0)</f>
        <v>114.97033630279778</v>
      </c>
      <c r="T136" s="20">
        <f t="shared" si="23"/>
        <v>6.8215535878946696</v>
      </c>
      <c r="U136" s="17">
        <f>SUM(U94:U135)</f>
        <v>29507925</v>
      </c>
      <c r="V136" s="19">
        <f>IFERROR(U136/D136/$F136*1000,0)</f>
        <v>182.27843966627546</v>
      </c>
      <c r="W136" s="19">
        <f t="shared" si="25"/>
        <v>1.5854388664760282</v>
      </c>
      <c r="X136" s="19">
        <f>IFERROR(SUMPRODUCT(R94:R135,X94:X135)/R136,0)</f>
        <v>432.61788458548619</v>
      </c>
      <c r="Y136" s="19">
        <f>IFERROR(($F136*S136)/($F136*K136)*100,0)</f>
        <v>146.59417200424417</v>
      </c>
      <c r="Z136" s="19">
        <f t="shared" si="27"/>
        <v>63.419260585037016</v>
      </c>
      <c r="AA136" s="17"/>
      <c r="AB136" s="21">
        <f>IFERROR(SUMPRODUCT($F94:$F135,AB94:AB135)/$F136,0)</f>
        <v>0.83529443001957726</v>
      </c>
      <c r="AC136" s="19"/>
      <c r="AD136" s="21">
        <f>AVERAGE(AD94:AD135)</f>
        <v>0.19356056521505055</v>
      </c>
      <c r="AE136" s="19"/>
      <c r="AF136" s="19"/>
      <c r="AG136" s="17">
        <f>SUM(AG94:AG135)</f>
        <v>-6310459</v>
      </c>
      <c r="AH136" s="17">
        <f>SUM(AH94:AH135)</f>
        <v>13486.75</v>
      </c>
      <c r="AI136" s="17">
        <f>IFERROR(SUMPRODUCT(AH94:AH135,AI94:AI135)/AH136, 0)</f>
        <v>15.884479211071582</v>
      </c>
      <c r="AJ136" s="19">
        <f>AVERAGE(AJ94:AJ135)</f>
        <v>0.71188141924047621</v>
      </c>
      <c r="AK136" s="19">
        <f>AVERAGE(AK94:AK135)</f>
        <v>0.64400968721904761</v>
      </c>
      <c r="AL136" s="19">
        <f>AVERAGE(AL94:AL135)</f>
        <v>9.31839402452381E-2</v>
      </c>
      <c r="AM136" s="19">
        <f>AVERAGE(AM94:AM135)</f>
        <v>0</v>
      </c>
      <c r="AN136" s="19">
        <f>AVERAGE(AN94:AN135)</f>
        <v>0</v>
      </c>
      <c r="AO136" s="20"/>
      <c r="AP136" s="19"/>
      <c r="AQ136" s="17"/>
      <c r="AR136" s="17"/>
      <c r="AS136" s="17"/>
      <c r="AT136" s="17"/>
      <c r="AU13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43</vt:i4>
      </vt:variant>
    </vt:vector>
  </HeadingPairs>
  <TitlesOfParts>
    <vt:vector size="43" baseType="lpstr">
      <vt:lpstr>202501</vt:lpstr>
      <vt:lpstr>202502</vt:lpstr>
      <vt:lpstr>202503</vt:lpstr>
      <vt:lpstr>202504</vt:lpstr>
      <vt:lpstr>202505</vt:lpstr>
      <vt:lpstr>202506</vt:lpstr>
      <vt:lpstr>202507</vt:lpstr>
      <vt:lpstr>202508</vt:lpstr>
      <vt:lpstr>202509</vt:lpstr>
      <vt:lpstr>202510</vt:lpstr>
      <vt:lpstr>202511</vt:lpstr>
      <vt:lpstr>202512</vt:lpstr>
      <vt:lpstr>202513</vt:lpstr>
      <vt:lpstr>202514</vt:lpstr>
      <vt:lpstr>202515</vt:lpstr>
      <vt:lpstr>202516</vt:lpstr>
      <vt:lpstr>202517</vt:lpstr>
      <vt:lpstr>202518</vt:lpstr>
      <vt:lpstr>202519</vt:lpstr>
      <vt:lpstr>202520</vt:lpstr>
      <vt:lpstr>202521</vt:lpstr>
      <vt:lpstr>202522</vt:lpstr>
      <vt:lpstr>202523</vt:lpstr>
      <vt:lpstr>202524</vt:lpstr>
      <vt:lpstr>202525</vt:lpstr>
      <vt:lpstr>202526</vt:lpstr>
      <vt:lpstr>202527</vt:lpstr>
      <vt:lpstr>202528</vt:lpstr>
      <vt:lpstr>202529</vt:lpstr>
      <vt:lpstr>202530</vt:lpstr>
      <vt:lpstr>202531</vt:lpstr>
      <vt:lpstr>202532</vt:lpstr>
      <vt:lpstr>202533</vt:lpstr>
      <vt:lpstr>202534</vt:lpstr>
      <vt:lpstr>202535</vt:lpstr>
      <vt:lpstr>202536</vt:lpstr>
      <vt:lpstr>202537</vt:lpstr>
      <vt:lpstr>202538</vt:lpstr>
      <vt:lpstr>202539</vt:lpstr>
      <vt:lpstr>202540</vt:lpstr>
      <vt:lpstr>202541</vt:lpstr>
      <vt:lpstr>202542</vt:lpstr>
      <vt:lpstr>Resumen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Gonzalez</dc:creator>
  <cp:lastModifiedBy>Cristian Tobar Morales</cp:lastModifiedBy>
  <dcterms:created xsi:type="dcterms:W3CDTF">2025-10-20T15:51:12Z</dcterms:created>
  <dcterms:modified xsi:type="dcterms:W3CDTF">2026-03-27T09:15:57Z</dcterms:modified>
</cp:coreProperties>
</file>