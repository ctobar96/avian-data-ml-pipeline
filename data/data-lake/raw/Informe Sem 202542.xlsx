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ssica Gonzalez\OneDrive - AVICOLA Y COMERCIAL EL TOCO LTDA\Escritorio\Informe producción\S42\"/>
    </mc:Choice>
  </mc:AlternateContent>
  <bookViews>
    <workbookView xWindow="0" yWindow="0" windowWidth="28800" windowHeight="14145"/>
  </bookViews>
  <sheets>
    <sheet name="202542" sheetId="2" r:id="rId1"/>
    <sheet name="Resumen Anual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13" i="3" l="1"/>
  <c r="AM13" i="3"/>
  <c r="AL13" i="3"/>
  <c r="AK13" i="3"/>
  <c r="AJ13" i="3"/>
  <c r="AI13" i="3"/>
  <c r="AH13" i="3"/>
  <c r="AG13" i="3"/>
  <c r="AD13" i="3"/>
  <c r="AB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K13" i="3"/>
  <c r="J13" i="3"/>
  <c r="H13" i="3"/>
  <c r="G13" i="3"/>
  <c r="F13" i="3"/>
  <c r="E13" i="3"/>
  <c r="D13" i="3"/>
  <c r="AD12" i="3"/>
  <c r="AB12" i="3"/>
  <c r="Z12" i="3"/>
  <c r="Y12" i="3"/>
  <c r="W12" i="3"/>
  <c r="V12" i="3"/>
  <c r="T12" i="3"/>
  <c r="S12" i="3"/>
  <c r="N12" i="3"/>
  <c r="K12" i="3"/>
  <c r="H12" i="3"/>
  <c r="AN10" i="3"/>
  <c r="AM10" i="3"/>
  <c r="AL10" i="3"/>
  <c r="AK10" i="3"/>
  <c r="AJ10" i="3"/>
  <c r="AI10" i="3"/>
  <c r="AH10" i="3"/>
  <c r="AG10" i="3"/>
  <c r="AD10" i="3"/>
  <c r="AB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K10" i="3"/>
  <c r="J10" i="3"/>
  <c r="H10" i="3"/>
  <c r="G10" i="3"/>
  <c r="F10" i="3"/>
  <c r="E10" i="3"/>
  <c r="D10" i="3"/>
  <c r="AD9" i="3"/>
  <c r="AB9" i="3"/>
  <c r="Z9" i="3"/>
  <c r="Y9" i="3"/>
  <c r="W9" i="3"/>
  <c r="V9" i="3"/>
  <c r="T9" i="3"/>
  <c r="S9" i="3"/>
  <c r="N9" i="3"/>
  <c r="K9" i="3"/>
  <c r="H9" i="3"/>
  <c r="AN7" i="3"/>
  <c r="AM7" i="3"/>
  <c r="AL7" i="3"/>
  <c r="AK7" i="3"/>
  <c r="AJ7" i="3"/>
  <c r="AI7" i="3"/>
  <c r="AH7" i="3"/>
  <c r="AG7" i="3"/>
  <c r="AD7" i="3"/>
  <c r="AB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K7" i="3"/>
  <c r="J7" i="3"/>
  <c r="H7" i="3"/>
  <c r="G7" i="3"/>
  <c r="F7" i="3"/>
  <c r="E7" i="3"/>
  <c r="D7" i="3"/>
  <c r="AD6" i="3"/>
  <c r="AB6" i="3"/>
  <c r="Z6" i="3"/>
  <c r="Y6" i="3"/>
  <c r="W6" i="3"/>
  <c r="V6" i="3"/>
  <c r="T6" i="3"/>
  <c r="S6" i="3"/>
  <c r="N6" i="3"/>
  <c r="K6" i="3"/>
  <c r="H6" i="3"/>
  <c r="AB32" i="2"/>
  <c r="AC32" i="2" s="1"/>
  <c r="W32" i="2"/>
  <c r="AE32" i="2" s="1"/>
  <c r="M32" i="2"/>
  <c r="N32" i="2" s="1"/>
  <c r="G32" i="2"/>
  <c r="F32" i="2"/>
  <c r="E32" i="2"/>
  <c r="D32" i="2"/>
  <c r="AK31" i="2"/>
  <c r="AI31" i="2"/>
  <c r="AC31" i="2"/>
  <c r="AA31" i="2"/>
  <c r="X31" i="2"/>
  <c r="AF31" i="2" s="1"/>
  <c r="AG31" i="2" s="1"/>
  <c r="T31" i="2"/>
  <c r="V31" i="2" s="1"/>
  <c r="S31" i="2"/>
  <c r="N31" i="2"/>
  <c r="Q31" i="2" s="1"/>
  <c r="L31" i="2"/>
  <c r="H31" i="2"/>
  <c r="AK30" i="2"/>
  <c r="AI30" i="2"/>
  <c r="AC30" i="2"/>
  <c r="AA30" i="2"/>
  <c r="X30" i="2"/>
  <c r="AF30" i="2" s="1"/>
  <c r="AG30" i="2" s="1"/>
  <c r="T30" i="2"/>
  <c r="V30" i="2" s="1"/>
  <c r="N30" i="2"/>
  <c r="S30" i="2" s="1"/>
  <c r="L30" i="2"/>
  <c r="H30" i="2"/>
  <c r="AK29" i="2"/>
  <c r="AI29" i="2"/>
  <c r="AC29" i="2"/>
  <c r="AD29" i="2" s="1"/>
  <c r="AA29" i="2"/>
  <c r="X29" i="2"/>
  <c r="T29" i="2"/>
  <c r="V29" i="2" s="1"/>
  <c r="N29" i="2"/>
  <c r="Q29" i="2" s="1"/>
  <c r="L29" i="2"/>
  <c r="H29" i="2"/>
  <c r="AK28" i="2"/>
  <c r="AI28" i="2"/>
  <c r="AC28" i="2"/>
  <c r="AA28" i="2"/>
  <c r="X28" i="2"/>
  <c r="T28" i="2"/>
  <c r="V28" i="2" s="1"/>
  <c r="N28" i="2"/>
  <c r="S28" i="2" s="1"/>
  <c r="L28" i="2"/>
  <c r="H28" i="2"/>
  <c r="AK27" i="2"/>
  <c r="AI27" i="2"/>
  <c r="AC27" i="2"/>
  <c r="AA27" i="2"/>
  <c r="X27" i="2"/>
  <c r="T27" i="2"/>
  <c r="V27" i="2" s="1"/>
  <c r="N27" i="2"/>
  <c r="S27" i="2" s="1"/>
  <c r="L27" i="2"/>
  <c r="H27" i="2"/>
  <c r="AK26" i="2"/>
  <c r="AI26" i="2"/>
  <c r="AC26" i="2"/>
  <c r="AA26" i="2"/>
  <c r="X26" i="2"/>
  <c r="AF26" i="2" s="1"/>
  <c r="AG26" i="2" s="1"/>
  <c r="T26" i="2"/>
  <c r="V26" i="2" s="1"/>
  <c r="N26" i="2"/>
  <c r="S26" i="2" s="1"/>
  <c r="L26" i="2"/>
  <c r="H26" i="2"/>
  <c r="AK25" i="2"/>
  <c r="AI25" i="2"/>
  <c r="AC25" i="2"/>
  <c r="AA25" i="2"/>
  <c r="X25" i="2"/>
  <c r="T25" i="2"/>
  <c r="V25" i="2" s="1"/>
  <c r="N25" i="2"/>
  <c r="S25" i="2" s="1"/>
  <c r="L25" i="2"/>
  <c r="H25" i="2"/>
  <c r="AK24" i="2"/>
  <c r="AI24" i="2"/>
  <c r="AC24" i="2"/>
  <c r="AD24" i="2" s="1"/>
  <c r="AA24" i="2"/>
  <c r="X24" i="2"/>
  <c r="T24" i="2"/>
  <c r="V24" i="2" s="1"/>
  <c r="N24" i="2"/>
  <c r="S24" i="2" s="1"/>
  <c r="L24" i="2"/>
  <c r="H24" i="2"/>
  <c r="AK23" i="2"/>
  <c r="AI23" i="2"/>
  <c r="AC23" i="2"/>
  <c r="AD23" i="2" s="1"/>
  <c r="AA23" i="2"/>
  <c r="X23" i="2"/>
  <c r="AF23" i="2" s="1"/>
  <c r="AG23" i="2" s="1"/>
  <c r="T23" i="2"/>
  <c r="V23" i="2" s="1"/>
  <c r="N23" i="2"/>
  <c r="Q23" i="2" s="1"/>
  <c r="L23" i="2"/>
  <c r="H23" i="2"/>
  <c r="AK22" i="2"/>
  <c r="AI22" i="2"/>
  <c r="AC22" i="2"/>
  <c r="AA22" i="2"/>
  <c r="X22" i="2"/>
  <c r="T22" i="2"/>
  <c r="V22" i="2" s="1"/>
  <c r="Q22" i="2"/>
  <c r="N22" i="2"/>
  <c r="S22" i="2" s="1"/>
  <c r="L22" i="2"/>
  <c r="H22" i="2"/>
  <c r="AK21" i="2"/>
  <c r="AI21" i="2"/>
  <c r="AC21" i="2"/>
  <c r="AA21" i="2"/>
  <c r="X21" i="2"/>
  <c r="AF21" i="2" s="1"/>
  <c r="AG21" i="2" s="1"/>
  <c r="V21" i="2"/>
  <c r="T21" i="2"/>
  <c r="Q21" i="2"/>
  <c r="N21" i="2"/>
  <c r="S21" i="2" s="1"/>
  <c r="L21" i="2"/>
  <c r="H21" i="2"/>
  <c r="AK20" i="2"/>
  <c r="AI20" i="2"/>
  <c r="AC20" i="2"/>
  <c r="AA20" i="2"/>
  <c r="X20" i="2"/>
  <c r="T20" i="2"/>
  <c r="V20" i="2" s="1"/>
  <c r="N20" i="2"/>
  <c r="AF20" i="2" s="1"/>
  <c r="AG20" i="2" s="1"/>
  <c r="L20" i="2"/>
  <c r="H20" i="2"/>
  <c r="AK19" i="2"/>
  <c r="AI19" i="2"/>
  <c r="AC19" i="2"/>
  <c r="AA19" i="2"/>
  <c r="X19" i="2"/>
  <c r="AF19" i="2" s="1"/>
  <c r="AG19" i="2" s="1"/>
  <c r="T19" i="2"/>
  <c r="V19" i="2" s="1"/>
  <c r="S19" i="2"/>
  <c r="N19" i="2"/>
  <c r="Q19" i="2" s="1"/>
  <c r="L19" i="2"/>
  <c r="H19" i="2"/>
  <c r="AK18" i="2"/>
  <c r="AI18" i="2"/>
  <c r="AC18" i="2"/>
  <c r="AA18" i="2"/>
  <c r="X18" i="2"/>
  <c r="AF18" i="2" s="1"/>
  <c r="AG18" i="2" s="1"/>
  <c r="T18" i="2"/>
  <c r="V18" i="2" s="1"/>
  <c r="N18" i="2"/>
  <c r="S18" i="2" s="1"/>
  <c r="L18" i="2"/>
  <c r="H18" i="2"/>
  <c r="AK17" i="2"/>
  <c r="AI17" i="2"/>
  <c r="AC17" i="2"/>
  <c r="AA17" i="2"/>
  <c r="X17" i="2"/>
  <c r="AF17" i="2" s="1"/>
  <c r="AG17" i="2" s="1"/>
  <c r="T17" i="2"/>
  <c r="V17" i="2" s="1"/>
  <c r="S17" i="2"/>
  <c r="N17" i="2"/>
  <c r="Q17" i="2" s="1"/>
  <c r="L17" i="2"/>
  <c r="H17" i="2"/>
  <c r="AK16" i="2"/>
  <c r="AI16" i="2"/>
  <c r="AC16" i="2"/>
  <c r="AA16" i="2"/>
  <c r="X16" i="2"/>
  <c r="AF16" i="2" s="1"/>
  <c r="AG16" i="2" s="1"/>
  <c r="T16" i="2"/>
  <c r="V16" i="2" s="1"/>
  <c r="N16" i="2"/>
  <c r="S16" i="2" s="1"/>
  <c r="L16" i="2"/>
  <c r="H16" i="2"/>
  <c r="AK15" i="2"/>
  <c r="AI15" i="2"/>
  <c r="AC15" i="2"/>
  <c r="AD15" i="2" s="1"/>
  <c r="AA15" i="2"/>
  <c r="X15" i="2"/>
  <c r="T15" i="2"/>
  <c r="V15" i="2" s="1"/>
  <c r="N15" i="2"/>
  <c r="S15" i="2" s="1"/>
  <c r="L15" i="2"/>
  <c r="H15" i="2"/>
  <c r="AB12" i="2"/>
  <c r="AB34" i="2" s="1"/>
  <c r="W12" i="2"/>
  <c r="M12" i="2"/>
  <c r="G12" i="2"/>
  <c r="G34" i="2" s="1"/>
  <c r="F12" i="2"/>
  <c r="R12" i="2" s="1"/>
  <c r="E12" i="2"/>
  <c r="U12" i="2" s="1"/>
  <c r="D12" i="2"/>
  <c r="AK11" i="2"/>
  <c r="AI11" i="2"/>
  <c r="AC11" i="2"/>
  <c r="AD11" i="2" s="1"/>
  <c r="AA11" i="2"/>
  <c r="X11" i="2"/>
  <c r="T11" i="2"/>
  <c r="V11" i="2" s="1"/>
  <c r="N11" i="2"/>
  <c r="Q11" i="2" s="1"/>
  <c r="L11" i="2"/>
  <c r="H11" i="2"/>
  <c r="AK10" i="2"/>
  <c r="AI10" i="2"/>
  <c r="AC10" i="2"/>
  <c r="AA10" i="2"/>
  <c r="X10" i="2"/>
  <c r="T10" i="2"/>
  <c r="V10" i="2" s="1"/>
  <c r="N10" i="2"/>
  <c r="S10" i="2" s="1"/>
  <c r="L10" i="2"/>
  <c r="H10" i="2"/>
  <c r="AK9" i="2"/>
  <c r="AI9" i="2"/>
  <c r="AD9" i="2"/>
  <c r="AC9" i="2"/>
  <c r="AA9" i="2"/>
  <c r="X9" i="2"/>
  <c r="T9" i="2"/>
  <c r="V9" i="2" s="1"/>
  <c r="N9" i="2"/>
  <c r="S9" i="2" s="1"/>
  <c r="L9" i="2"/>
  <c r="H9" i="2"/>
  <c r="AK8" i="2"/>
  <c r="AI8" i="2"/>
  <c r="AC8" i="2"/>
  <c r="AA8" i="2"/>
  <c r="X8" i="2"/>
  <c r="AF8" i="2" s="1"/>
  <c r="AG8" i="2" s="1"/>
  <c r="T8" i="2"/>
  <c r="V8" i="2" s="1"/>
  <c r="Q8" i="2"/>
  <c r="N8" i="2"/>
  <c r="S8" i="2" s="1"/>
  <c r="L8" i="2"/>
  <c r="H8" i="2"/>
  <c r="AK7" i="2"/>
  <c r="AI7" i="2"/>
  <c r="AI12" i="2" s="1"/>
  <c r="AC7" i="2"/>
  <c r="AD7" i="2" s="1"/>
  <c r="AA7" i="2"/>
  <c r="X7" i="2"/>
  <c r="AF7" i="2" s="1"/>
  <c r="AG7" i="2" s="1"/>
  <c r="T7" i="2"/>
  <c r="V7" i="2" s="1"/>
  <c r="N7" i="2"/>
  <c r="S7" i="2" s="1"/>
  <c r="L7" i="2"/>
  <c r="H7" i="2"/>
  <c r="AK6" i="2"/>
  <c r="AI6" i="2"/>
  <c r="AC6" i="2"/>
  <c r="AD6" i="2" s="1"/>
  <c r="AA6" i="2"/>
  <c r="X6" i="2"/>
  <c r="T6" i="2"/>
  <c r="V6" i="2" s="1"/>
  <c r="Q6" i="2"/>
  <c r="N6" i="2"/>
  <c r="S6" i="2" s="1"/>
  <c r="L6" i="2"/>
  <c r="H6" i="2"/>
  <c r="AF25" i="2" l="1"/>
  <c r="AG25" i="2" s="1"/>
  <c r="X32" i="2"/>
  <c r="AD32" i="2" s="1"/>
  <c r="AF10" i="2"/>
  <c r="AG10" i="2" s="1"/>
  <c r="AD18" i="2"/>
  <c r="AD26" i="2"/>
  <c r="AK12" i="2"/>
  <c r="Q24" i="2"/>
  <c r="S29" i="2"/>
  <c r="AA32" i="2"/>
  <c r="AF9" i="2"/>
  <c r="AG9" i="2" s="1"/>
  <c r="AD10" i="2"/>
  <c r="AD17" i="2"/>
  <c r="AD16" i="2"/>
  <c r="AF24" i="2"/>
  <c r="AG24" i="2" s="1"/>
  <c r="AD25" i="2"/>
  <c r="AF29" i="2"/>
  <c r="AG29" i="2" s="1"/>
  <c r="AD30" i="2"/>
  <c r="AD31" i="2"/>
  <c r="AD19" i="2"/>
  <c r="AF15" i="2"/>
  <c r="AG15" i="2" s="1"/>
  <c r="M34" i="2"/>
  <c r="AA34" i="2" s="1"/>
  <c r="AF22" i="2"/>
  <c r="AG22" i="2" s="1"/>
  <c r="AD28" i="2"/>
  <c r="AD8" i="2"/>
  <c r="AF27" i="2"/>
  <c r="AG27" i="2" s="1"/>
  <c r="AF28" i="2"/>
  <c r="AG28" i="2" s="1"/>
  <c r="V32" i="2"/>
  <c r="T12" i="2"/>
  <c r="AK32" i="2"/>
  <c r="AD21" i="2"/>
  <c r="AF32" i="2"/>
  <c r="AG32" i="2" s="1"/>
  <c r="AI32" i="2"/>
  <c r="AF6" i="2"/>
  <c r="AG6" i="2" s="1"/>
  <c r="AF11" i="2"/>
  <c r="AG11" i="2" s="1"/>
  <c r="X12" i="2"/>
  <c r="AD20" i="2"/>
  <c r="AD27" i="2"/>
  <c r="H32" i="2"/>
  <c r="V12" i="2"/>
  <c r="H34" i="2"/>
  <c r="S11" i="2"/>
  <c r="Q20" i="2"/>
  <c r="Q27" i="2"/>
  <c r="Q16" i="2"/>
  <c r="S23" i="2"/>
  <c r="Q28" i="2"/>
  <c r="R32" i="2"/>
  <c r="S32" i="2" s="1"/>
  <c r="D34" i="2"/>
  <c r="AC34" i="2" s="1"/>
  <c r="W34" i="2"/>
  <c r="AD22" i="2"/>
  <c r="E34" i="2"/>
  <c r="Q25" i="2"/>
  <c r="Q18" i="2"/>
  <c r="Q30" i="2"/>
  <c r="H12" i="2"/>
  <c r="Q26" i="2"/>
  <c r="T32" i="2"/>
  <c r="F34" i="2"/>
  <c r="Q15" i="2"/>
  <c r="Q7" i="2"/>
  <c r="AA12" i="2"/>
  <c r="AC12" i="2"/>
  <c r="Q10" i="2"/>
  <c r="N12" i="2"/>
  <c r="S12" i="2" s="1"/>
  <c r="AE12" i="2"/>
  <c r="U32" i="2"/>
  <c r="Q9" i="2"/>
  <c r="S20" i="2"/>
  <c r="N34" i="2" l="1"/>
  <c r="T34" i="2"/>
  <c r="AD12" i="2"/>
  <c r="V34" i="2"/>
  <c r="X34" i="2"/>
  <c r="AD34" i="2" s="1"/>
  <c r="AE34" i="2"/>
  <c r="AF34" i="2"/>
  <c r="AG34" i="2" s="1"/>
  <c r="R34" i="2"/>
  <c r="U34" i="2"/>
  <c r="AF12" i="2"/>
  <c r="AG12" i="2" s="1"/>
  <c r="S34" i="2"/>
</calcChain>
</file>

<file path=xl/sharedStrings.xml><?xml version="1.0" encoding="utf-8"?>
<sst xmlns="http://schemas.openxmlformats.org/spreadsheetml/2006/main" count="157" uniqueCount="87">
  <si>
    <t>INFORME SEMANA 42</t>
  </si>
  <si>
    <t>DESDE:</t>
  </si>
  <si>
    <t>HASTA:</t>
  </si>
  <si>
    <t>SECTOR</t>
  </si>
  <si>
    <t>Sem</t>
  </si>
  <si>
    <t>P</t>
  </si>
  <si>
    <t>Días c/Reg</t>
  </si>
  <si>
    <t>Aves Alojadas</t>
  </si>
  <si>
    <t>Nro Aves</t>
  </si>
  <si>
    <t>Nro Mort</t>
  </si>
  <si>
    <t>% Mort</t>
  </si>
  <si>
    <t>Mort Acum</t>
  </si>
  <si>
    <t>Nro Huevos</t>
  </si>
  <si>
    <t>% Postura</t>
  </si>
  <si>
    <t>Dif S/A</t>
  </si>
  <si>
    <t>Post Std</t>
  </si>
  <si>
    <t>Dif/Std</t>
  </si>
  <si>
    <t>HAA</t>
  </si>
  <si>
    <t>HAA/Std</t>
  </si>
  <si>
    <t>Dif Tabla HAA</t>
  </si>
  <si>
    <t>Almto [Kgs]</t>
  </si>
  <si>
    <t>Grs/Día</t>
  </si>
  <si>
    <t>Conv</t>
  </si>
  <si>
    <t>Agua [CC]</t>
  </si>
  <si>
    <t>CC/Día</t>
  </si>
  <si>
    <t>Rel Agua /Almto</t>
  </si>
  <si>
    <t>$/Kg</t>
  </si>
  <si>
    <t>Grs/Hvo</t>
  </si>
  <si>
    <t>$/Hvo</t>
  </si>
  <si>
    <t>Peso Ave</t>
  </si>
  <si>
    <t>% / Tabla</t>
  </si>
  <si>
    <t>Peso Huevo</t>
  </si>
  <si>
    <t>% Peso / Tabla</t>
  </si>
  <si>
    <t>T Min</t>
  </si>
  <si>
    <t>T Max</t>
  </si>
  <si>
    <t>-Produc</t>
  </si>
  <si>
    <t>Kgs Hvo Liq</t>
  </si>
  <si>
    <t>Hvos x 1 Kg Liq</t>
  </si>
  <si>
    <t>% Placas 1</t>
  </si>
  <si>
    <t>% Placas 2</t>
  </si>
  <si>
    <t>% Placas 3</t>
  </si>
  <si>
    <t>% Placas 4</t>
  </si>
  <si>
    <t>% Placas 5</t>
  </si>
  <si>
    <t>Conchuela</t>
  </si>
  <si>
    <t>Cloro(1 a 2 ppm)</t>
  </si>
  <si>
    <t>Seguridad</t>
  </si>
  <si>
    <t>Sobre 30°</t>
  </si>
  <si>
    <t>Luz</t>
  </si>
  <si>
    <t>% Nidos</t>
  </si>
  <si>
    <t>CA3BCO</t>
  </si>
  <si>
    <t>CA3A</t>
  </si>
  <si>
    <t>CA3B</t>
  </si>
  <si>
    <t>CAP1A</t>
  </si>
  <si>
    <t>CAP1B</t>
  </si>
  <si>
    <t>CAP1C</t>
  </si>
  <si>
    <t>TOTAL Calera</t>
  </si>
  <si>
    <t>PICH1A COL</t>
  </si>
  <si>
    <t>PICH1B</t>
  </si>
  <si>
    <t>PICH1B COL</t>
  </si>
  <si>
    <t>PICH2A</t>
  </si>
  <si>
    <t>PICH3A</t>
  </si>
  <si>
    <t>PICH3C</t>
  </si>
  <si>
    <t>PICH5A</t>
  </si>
  <si>
    <t>PICH5C</t>
  </si>
  <si>
    <t>PICH5D</t>
  </si>
  <si>
    <t>PICH1A COL2</t>
  </si>
  <si>
    <t>PICH5A COL</t>
  </si>
  <si>
    <t>PICH5B</t>
  </si>
  <si>
    <t>PICH5C COL</t>
  </si>
  <si>
    <t>PICH3B</t>
  </si>
  <si>
    <t>PICH4A</t>
  </si>
  <si>
    <t>PICH4B</t>
  </si>
  <si>
    <t>PICH4BCOL</t>
  </si>
  <si>
    <t>TOTAL Pichidegua</t>
  </si>
  <si>
    <t>TOTAL AET</t>
  </si>
  <si>
    <t>Prom. Mortalidad</t>
  </si>
  <si>
    <t>RESUMEN ANUAL</t>
  </si>
  <si>
    <t>% Tabla HAA</t>
  </si>
  <si>
    <t>Calera</t>
  </si>
  <si>
    <t>Pichidegua</t>
  </si>
  <si>
    <t>TOTAL TOTAL AET</t>
  </si>
  <si>
    <t>PiPro</t>
  </si>
  <si>
    <t>M</t>
  </si>
  <si>
    <t>.</t>
  </si>
  <si>
    <t>%</t>
  </si>
  <si>
    <t>G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</si>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</sst>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_ ;_ * \-#,##0_ ;_ * &quot; - &quot;_ ;_ @_ "/>
    <numFmt numFmtId="165" formatCode="_ * #,##0.0_ ;_ * \-#,##0.0_ ;_ * &quot; - &quot;??_ ;_ @_ "/>
    <numFmt numFmtId="166" formatCode="_ * #,##0.00_ ;_ * \-#,##0.00_ ;_ * &quot; - &quot;??_ ;_ @_ "/>
    <numFmt numFmtId="167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BEE083"/>
        <bgColor indexed="64"/>
      </patternFill>
    </fill>
    <fill>
      <patternFill patternType="solid">
        <fgColor rgb="FFFACA8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0" fillId="0" borderId="2" xfId="0" applyBorder="1"/>
    <xf numFmtId="164" fontId="0" fillId="0" borderId="1" xfId="0" applyNumberFormat="1" applyBorder="1"/>
    <xf numFmtId="164" fontId="0" fillId="0" borderId="2" xfId="0" applyNumberFormat="1" applyBorder="1"/>
    <xf numFmtId="10" fontId="0" fillId="0" borderId="1" xfId="0" applyNumberFormat="1" applyBorder="1"/>
    <xf numFmtId="10" fontId="0" fillId="0" borderId="2" xfId="0" applyNumberFormat="1" applyBorder="1"/>
    <xf numFmtId="165" fontId="0" fillId="0" borderId="1" xfId="0" applyNumberFormat="1" applyBorder="1"/>
    <xf numFmtId="165" fontId="0" fillId="0" borderId="2" xfId="0" applyNumberFormat="1" applyBorder="1"/>
    <xf numFmtId="166" fontId="0" fillId="0" borderId="1" xfId="0" applyNumberFormat="1" applyBorder="1"/>
    <xf numFmtId="166" fontId="0" fillId="0" borderId="2" xfId="0" applyNumberFormat="1" applyBorder="1"/>
    <xf numFmtId="167" fontId="0" fillId="0" borderId="1" xfId="0" applyNumberFormat="1" applyBorder="1"/>
    <xf numFmtId="167" fontId="0" fillId="0" borderId="2" xfId="0" applyNumberFormat="1" applyBorder="1"/>
    <xf numFmtId="0" fontId="1" fillId="3" borderId="4" xfId="0" applyFont="1" applyFill="1" applyBorder="1"/>
    <xf numFmtId="164" fontId="1" fillId="3" borderId="4" xfId="0" applyNumberFormat="1" applyFont="1" applyFill="1" applyBorder="1"/>
    <xf numFmtId="10" fontId="1" fillId="3" borderId="4" xfId="0" applyNumberFormat="1" applyFont="1" applyFill="1" applyBorder="1"/>
    <xf numFmtId="165" fontId="1" fillId="3" borderId="4" xfId="0" applyNumberFormat="1" applyFont="1" applyFill="1" applyBorder="1"/>
    <xf numFmtId="166" fontId="1" fillId="3" borderId="4" xfId="0" applyNumberFormat="1" applyFont="1" applyFill="1" applyBorder="1"/>
    <xf numFmtId="167" fontId="1" fillId="3" borderId="4" xfId="0" applyNumberFormat="1" applyFont="1" applyFill="1" applyBorder="1"/>
    <xf numFmtId="164" fontId="1" fillId="4" borderId="4" xfId="0" applyNumberFormat="1" applyFont="1" applyFill="1" applyBorder="1"/>
    <xf numFmtId="10" fontId="1" fillId="4" borderId="4" xfId="0" applyNumberFormat="1" applyFont="1" applyFill="1" applyBorder="1"/>
    <xf numFmtId="165" fontId="1" fillId="4" borderId="4" xfId="0" applyNumberFormat="1" applyFont="1" applyFill="1" applyBorder="1"/>
    <xf numFmtId="166" fontId="1" fillId="4" borderId="4" xfId="0" applyNumberFormat="1" applyFont="1" applyFill="1" applyBorder="1"/>
    <xf numFmtId="167" fontId="1" fillId="4" borderId="4" xfId="0" applyNumberFormat="1" applyFont="1" applyFill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3" borderId="10" xfId="0" applyFont="1" applyFill="1" applyBorder="1"/>
    <xf numFmtId="164" fontId="1" fillId="3" borderId="10" xfId="0" applyNumberFormat="1" applyFont="1" applyFill="1" applyBorder="1"/>
    <xf numFmtId="10" fontId="1" fillId="3" borderId="10" xfId="0" applyNumberFormat="1" applyFont="1" applyFill="1" applyBorder="1"/>
    <xf numFmtId="165" fontId="1" fillId="3" borderId="10" xfId="0" applyNumberFormat="1" applyFont="1" applyFill="1" applyBorder="1"/>
    <xf numFmtId="166" fontId="1" fillId="3" borderId="10" xfId="0" applyNumberFormat="1" applyFont="1" applyFill="1" applyBorder="1"/>
    <xf numFmtId="167" fontId="1" fillId="3" borderId="10" xfId="0" applyNumberFormat="1" applyFont="1" applyFill="1" applyBorder="1"/>
    <xf numFmtId="0" fontId="0" fillId="0" borderId="9" xfId="0" applyBorder="1"/>
    <xf numFmtId="164" fontId="0" fillId="0" borderId="9" xfId="0" applyNumberFormat="1" applyBorder="1"/>
    <xf numFmtId="10" fontId="0" fillId="0" borderId="9" xfId="0" applyNumberFormat="1" applyBorder="1"/>
    <xf numFmtId="165" fontId="0" fillId="0" borderId="9" xfId="0" applyNumberFormat="1" applyBorder="1"/>
    <xf numFmtId="166" fontId="0" fillId="0" borderId="9" xfId="0" applyNumberFormat="1" applyBorder="1"/>
    <xf numFmtId="167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6"/>
  <sheetViews>
    <sheetView tabSelected="1" zoomScaleNormal="100"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 activeCell="AD43" sqref="AD43"/>
    </sheetView>
  </sheetViews>
  <sheetFormatPr baseColWidth="10" defaultRowHeight="15" x14ac:dyDescent="0.25"/>
  <cols>
    <col min="1" max="1" width="19.7109375" customWidth="1"/>
    <col min="2" max="2" width="6.7109375" customWidth="1"/>
    <col min="3" max="3" width="3.85546875" bestFit="1" customWidth="1"/>
    <col min="4" max="4" width="5.140625" customWidth="1"/>
    <col min="5" max="5" width="8.5703125" bestFit="1" customWidth="1"/>
    <col min="6" max="6" width="9.85546875" customWidth="1"/>
    <col min="7" max="7" width="6.28515625" customWidth="1"/>
    <col min="8" max="8" width="7.42578125" bestFit="1" customWidth="1"/>
    <col min="9" max="11" width="7.42578125" customWidth="1"/>
    <col min="12" max="12" width="8.5703125" customWidth="1"/>
    <col min="13" max="13" width="9.85546875" customWidth="1"/>
    <col min="14" max="14" width="8.85546875" customWidth="1"/>
    <col min="15" max="16" width="9.7109375" customWidth="1"/>
    <col min="17" max="17" width="7.140625" bestFit="1" customWidth="1"/>
    <col min="18" max="18" width="7.140625" customWidth="1"/>
    <col min="19" max="19" width="6.7109375" customWidth="1"/>
    <col min="20" max="20" width="7.28515625" bestFit="1" customWidth="1"/>
    <col min="21" max="21" width="7.5703125" customWidth="1"/>
    <col min="22" max="22" width="8.7109375" bestFit="1" customWidth="1"/>
    <col min="23" max="23" width="9" customWidth="1"/>
    <col min="24" max="24" width="7.7109375" bestFit="1" customWidth="1"/>
    <col min="25" max="26" width="7.7109375" customWidth="1"/>
    <col min="27" max="27" width="7.28515625" bestFit="1" customWidth="1"/>
    <col min="28" max="28" width="8.42578125" bestFit="1" customWidth="1"/>
    <col min="29" max="29" width="7.42578125" bestFit="1" customWidth="1"/>
    <col min="30" max="30" width="8.7109375" bestFit="1" customWidth="1"/>
    <col min="31" max="31" width="8.28515625" customWidth="1"/>
    <col min="32" max="32" width="8.28515625" bestFit="1" customWidth="1"/>
    <col min="33" max="34" width="8.42578125" customWidth="1"/>
    <col min="35" max="35" width="9.42578125" customWidth="1"/>
    <col min="37" max="37" width="11.140625" bestFit="1" customWidth="1"/>
  </cols>
  <sheetData>
    <row r="1" spans="1:37" ht="18.7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A2" s="2" t="s">
        <v>1</v>
      </c>
      <c r="B2" s="31">
        <v>45942</v>
      </c>
      <c r="C2" s="31"/>
      <c r="D2" s="3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x14ac:dyDescent="0.25">
      <c r="A3" s="2" t="s">
        <v>2</v>
      </c>
      <c r="B3" s="31">
        <v>45948</v>
      </c>
      <c r="C3" s="31"/>
      <c r="D3" s="3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15.75" thickBot="1" x14ac:dyDescent="0.3"/>
    <row r="5" spans="1:37" ht="45" x14ac:dyDescent="0.25">
      <c r="A5" s="32" t="s">
        <v>3</v>
      </c>
      <c r="B5" s="30" t="s">
        <v>4</v>
      </c>
      <c r="C5" s="30" t="s">
        <v>5</v>
      </c>
      <c r="D5" s="30" t="s">
        <v>6</v>
      </c>
      <c r="E5" s="30" t="s">
        <v>7</v>
      </c>
      <c r="F5" s="30" t="s">
        <v>8</v>
      </c>
      <c r="G5" s="30" t="s">
        <v>9</v>
      </c>
      <c r="H5" s="30" t="s">
        <v>10</v>
      </c>
      <c r="I5" s="30" t="s">
        <v>81</v>
      </c>
      <c r="J5" s="30" t="s">
        <v>82</v>
      </c>
      <c r="K5" s="30" t="s">
        <v>83</v>
      </c>
      <c r="L5" s="30" t="s">
        <v>11</v>
      </c>
      <c r="M5" s="30" t="s">
        <v>12</v>
      </c>
      <c r="N5" s="30" t="s">
        <v>13</v>
      </c>
      <c r="O5" s="30" t="s">
        <v>84</v>
      </c>
      <c r="P5" s="30" t="s">
        <v>83</v>
      </c>
      <c r="Q5" s="30" t="s">
        <v>14</v>
      </c>
      <c r="R5" s="30" t="s">
        <v>15</v>
      </c>
      <c r="S5" s="30" t="s">
        <v>16</v>
      </c>
      <c r="T5" s="30" t="s">
        <v>17</v>
      </c>
      <c r="U5" s="30" t="s">
        <v>18</v>
      </c>
      <c r="V5" s="30" t="s">
        <v>19</v>
      </c>
      <c r="W5" s="30" t="s">
        <v>20</v>
      </c>
      <c r="X5" s="30" t="s">
        <v>21</v>
      </c>
      <c r="Y5" s="30" t="s">
        <v>85</v>
      </c>
      <c r="Z5" s="30" t="s">
        <v>86</v>
      </c>
      <c r="AA5" s="30" t="s">
        <v>22</v>
      </c>
      <c r="AB5" s="30" t="s">
        <v>23</v>
      </c>
      <c r="AC5" s="30" t="s">
        <v>24</v>
      </c>
      <c r="AD5" s="30" t="s">
        <v>25</v>
      </c>
      <c r="AE5" s="30" t="s">
        <v>26</v>
      </c>
      <c r="AF5" s="30" t="s">
        <v>27</v>
      </c>
      <c r="AG5" s="30" t="s">
        <v>28</v>
      </c>
      <c r="AH5" s="30" t="s">
        <v>29</v>
      </c>
      <c r="AI5" s="30" t="s">
        <v>30</v>
      </c>
      <c r="AJ5" s="30" t="s">
        <v>31</v>
      </c>
      <c r="AK5" s="30" t="s">
        <v>32</v>
      </c>
    </row>
    <row r="6" spans="1:37" x14ac:dyDescent="0.25">
      <c r="A6" s="39" t="s">
        <v>49</v>
      </c>
      <c r="B6" s="39">
        <v>144</v>
      </c>
      <c r="C6" s="40"/>
      <c r="D6" s="40">
        <v>7</v>
      </c>
      <c r="E6" s="40">
        <v>4590</v>
      </c>
      <c r="F6" s="40">
        <v>5126</v>
      </c>
      <c r="G6" s="40">
        <v>64</v>
      </c>
      <c r="H6" s="41">
        <f t="shared" ref="H6:H12" si="0">IFERROR(G6/F6,0)</f>
        <v>1.2485368708544674E-2</v>
      </c>
      <c r="I6" s="41"/>
      <c r="J6" s="41"/>
      <c r="K6" s="41"/>
      <c r="L6" s="41">
        <f>IFERROR((4590-F6)/4590,0)</f>
        <v>-0.11677559912854031</v>
      </c>
      <c r="M6" s="40">
        <v>20280</v>
      </c>
      <c r="N6" s="42">
        <f t="shared" ref="N6:N12" si="1">IFERROR(M6/D6/F6*100,0)</f>
        <v>56.51858870742992</v>
      </c>
      <c r="O6" s="42"/>
      <c r="P6" s="42"/>
      <c r="Q6" s="42">
        <f>N6-57.6383</f>
        <v>-1.1197112925700807</v>
      </c>
      <c r="R6" s="42">
        <v>0</v>
      </c>
      <c r="S6" s="42">
        <f t="shared" ref="S6:S12" si="2">N6-R6</f>
        <v>56.51858870742992</v>
      </c>
      <c r="T6" s="42">
        <f>IFERROR(192540/4590,0)</f>
        <v>41.947712418300654</v>
      </c>
      <c r="U6" s="42">
        <v>0</v>
      </c>
      <c r="V6" s="42">
        <f t="shared" ref="V6:V11" si="3">IFERROR(T6-U6,0)</f>
        <v>41.947712418300654</v>
      </c>
      <c r="W6" s="40">
        <v>4270</v>
      </c>
      <c r="X6" s="42">
        <f t="shared" ref="X6:X11" si="4">IFERROR(W6/D6/F6*1000,0)</f>
        <v>119.00117050331642</v>
      </c>
      <c r="Y6" s="42"/>
      <c r="Z6" s="42"/>
      <c r="AA6" s="43">
        <f t="shared" ref="AA6:AA12" si="5">IFERROR(M6/W6,0)</f>
        <v>4.7494145199063231</v>
      </c>
      <c r="AB6" s="40">
        <v>0</v>
      </c>
      <c r="AC6" s="42">
        <f t="shared" ref="AC6:AC11" si="6">IFERROR(AB6/D6/F6*1000,0)</f>
        <v>0</v>
      </c>
      <c r="AD6" s="42">
        <f t="shared" ref="AD6:AD12" si="7">IFERROR(AC6/X6,0)</f>
        <v>0</v>
      </c>
      <c r="AE6" s="42">
        <v>296.88</v>
      </c>
      <c r="AF6" s="42">
        <f t="shared" ref="AF6:AF11" si="8">IFERROR((F6*X6)/(F6*N6)*100,0)</f>
        <v>210.55226824457586</v>
      </c>
      <c r="AG6" s="42">
        <f t="shared" ref="AG6:AG12" si="9">IFERROR(AF6*AE6/1000,0)</f>
        <v>62.508757396449674</v>
      </c>
      <c r="AH6" s="40">
        <v>0</v>
      </c>
      <c r="AI6" s="44">
        <f>IFERROR(AH6/0,0)</f>
        <v>0</v>
      </c>
      <c r="AJ6" s="42">
        <v>0</v>
      </c>
      <c r="AK6" s="44">
        <f>IFERROR(AJ6/0,0)</f>
        <v>0</v>
      </c>
    </row>
    <row r="7" spans="1:37" x14ac:dyDescent="0.25">
      <c r="A7" s="39" t="s">
        <v>50</v>
      </c>
      <c r="B7" s="39">
        <v>104</v>
      </c>
      <c r="C7" s="40">
        <v>34</v>
      </c>
      <c r="D7" s="40">
        <v>7</v>
      </c>
      <c r="E7" s="40">
        <v>14440</v>
      </c>
      <c r="F7" s="40">
        <v>10550</v>
      </c>
      <c r="G7" s="40">
        <v>46</v>
      </c>
      <c r="H7" s="41">
        <f t="shared" si="0"/>
        <v>4.3601895734597159E-3</v>
      </c>
      <c r="I7" s="41"/>
      <c r="J7" s="41"/>
      <c r="K7" s="41"/>
      <c r="L7" s="41">
        <f>IFERROR((14440-F7)/14440,0)</f>
        <v>0.2693905817174515</v>
      </c>
      <c r="M7" s="40">
        <v>48750</v>
      </c>
      <c r="N7" s="42">
        <f t="shared" si="1"/>
        <v>66.012186865267438</v>
      </c>
      <c r="O7" s="42"/>
      <c r="P7" s="42"/>
      <c r="Q7" s="42">
        <f>N7-67.3839</f>
        <v>-1.3717131347325591</v>
      </c>
      <c r="R7" s="42">
        <v>72</v>
      </c>
      <c r="S7" s="42">
        <f t="shared" si="2"/>
        <v>-5.987813134732562</v>
      </c>
      <c r="T7" s="42">
        <f>IFERROR(5749510/14440,0)</f>
        <v>398.16551246537398</v>
      </c>
      <c r="U7" s="42">
        <v>0</v>
      </c>
      <c r="V7" s="42">
        <f t="shared" si="3"/>
        <v>398.16551246537398</v>
      </c>
      <c r="W7" s="40">
        <v>8750</v>
      </c>
      <c r="X7" s="42">
        <f t="shared" si="4"/>
        <v>118.48341232227489</v>
      </c>
      <c r="Y7" s="42"/>
      <c r="Z7" s="42"/>
      <c r="AA7" s="43">
        <f t="shared" si="5"/>
        <v>5.5714285714285712</v>
      </c>
      <c r="AB7" s="40">
        <v>0</v>
      </c>
      <c r="AC7" s="42">
        <f t="shared" si="6"/>
        <v>0</v>
      </c>
      <c r="AD7" s="42">
        <f t="shared" si="7"/>
        <v>0</v>
      </c>
      <c r="AE7" s="42">
        <v>373.15</v>
      </c>
      <c r="AF7" s="42">
        <f t="shared" si="8"/>
        <v>179.48717948717947</v>
      </c>
      <c r="AG7" s="42">
        <f t="shared" si="9"/>
        <v>66.975641025641011</v>
      </c>
      <c r="AH7" s="40">
        <v>2092</v>
      </c>
      <c r="AI7" s="44">
        <f>IFERROR(AH7/0,0)</f>
        <v>0</v>
      </c>
      <c r="AJ7" s="42">
        <v>0</v>
      </c>
      <c r="AK7" s="44">
        <f>IFERROR(AJ7/0,0)</f>
        <v>0</v>
      </c>
    </row>
    <row r="8" spans="1:37" x14ac:dyDescent="0.25">
      <c r="A8" s="39" t="s">
        <v>51</v>
      </c>
      <c r="B8" s="39">
        <v>104</v>
      </c>
      <c r="C8" s="40">
        <v>34</v>
      </c>
      <c r="D8" s="40">
        <v>7</v>
      </c>
      <c r="E8" s="40">
        <v>16063</v>
      </c>
      <c r="F8" s="40">
        <v>12480</v>
      </c>
      <c r="G8" s="40">
        <v>35</v>
      </c>
      <c r="H8" s="41">
        <f t="shared" si="0"/>
        <v>2.8044871794871795E-3</v>
      </c>
      <c r="I8" s="41"/>
      <c r="J8" s="41"/>
      <c r="K8" s="41"/>
      <c r="L8" s="41">
        <f>IFERROR((16063-F8)/16063,0)</f>
        <v>0.22305920438274296</v>
      </c>
      <c r="M8" s="40">
        <v>53040</v>
      </c>
      <c r="N8" s="42">
        <f t="shared" si="1"/>
        <v>60.714285714285708</v>
      </c>
      <c r="O8" s="42"/>
      <c r="P8" s="42"/>
      <c r="Q8" s="42">
        <f>N8-61.2294</f>
        <v>-0.51511428571429008</v>
      </c>
      <c r="R8" s="42">
        <v>70</v>
      </c>
      <c r="S8" s="42">
        <f t="shared" si="2"/>
        <v>-9.2857142857142918</v>
      </c>
      <c r="T8" s="42">
        <f>IFERROR(6008760/16063,0)</f>
        <v>374.07458133598954</v>
      </c>
      <c r="U8" s="42">
        <v>0</v>
      </c>
      <c r="V8" s="42">
        <f t="shared" si="3"/>
        <v>374.07458133598954</v>
      </c>
      <c r="W8" s="40">
        <v>9590</v>
      </c>
      <c r="X8" s="42">
        <f t="shared" si="4"/>
        <v>109.77564102564102</v>
      </c>
      <c r="Y8" s="42"/>
      <c r="Z8" s="42"/>
      <c r="AA8" s="43">
        <f t="shared" si="5"/>
        <v>5.5307612095933267</v>
      </c>
      <c r="AB8" s="40">
        <v>0</v>
      </c>
      <c r="AC8" s="42">
        <f t="shared" si="6"/>
        <v>0</v>
      </c>
      <c r="AD8" s="42">
        <f t="shared" si="7"/>
        <v>0</v>
      </c>
      <c r="AE8" s="42">
        <v>370</v>
      </c>
      <c r="AF8" s="42">
        <f t="shared" si="8"/>
        <v>180.80693815987934</v>
      </c>
      <c r="AG8" s="42">
        <f t="shared" si="9"/>
        <v>66.898567119155359</v>
      </c>
      <c r="AH8" s="40">
        <v>1741</v>
      </c>
      <c r="AI8" s="44">
        <f>IFERROR(AH8/0,0)</f>
        <v>0</v>
      </c>
      <c r="AJ8" s="42">
        <v>0</v>
      </c>
      <c r="AK8" s="44">
        <f>IFERROR(AJ8/0,0)</f>
        <v>0</v>
      </c>
    </row>
    <row r="9" spans="1:37" x14ac:dyDescent="0.25">
      <c r="A9" s="39" t="s">
        <v>52</v>
      </c>
      <c r="B9" s="39">
        <v>65</v>
      </c>
      <c r="C9" s="40"/>
      <c r="D9" s="40">
        <v>7</v>
      </c>
      <c r="E9" s="40">
        <v>4686</v>
      </c>
      <c r="F9" s="40">
        <v>3841</v>
      </c>
      <c r="G9" s="40">
        <v>20</v>
      </c>
      <c r="H9" s="41">
        <f t="shared" si="0"/>
        <v>5.2069773496485287E-3</v>
      </c>
      <c r="I9" s="41"/>
      <c r="J9" s="41"/>
      <c r="K9" s="41"/>
      <c r="L9" s="41">
        <f>IFERROR((4686-F9)/4686,0)</f>
        <v>0.18032437046521554</v>
      </c>
      <c r="M9" s="40">
        <v>25920</v>
      </c>
      <c r="N9" s="42">
        <f t="shared" si="1"/>
        <v>96.403466359207044</v>
      </c>
      <c r="O9" s="42"/>
      <c r="P9" s="42"/>
      <c r="Q9" s="42">
        <f>N9-97.6801</f>
        <v>-1.2766336407929515</v>
      </c>
      <c r="R9" s="42">
        <v>84</v>
      </c>
      <c r="S9" s="42">
        <f t="shared" si="2"/>
        <v>12.403466359207044</v>
      </c>
      <c r="T9" s="42">
        <f>IFERROR(1293461/4686,0)</f>
        <v>276.02667520273155</v>
      </c>
      <c r="U9" s="42">
        <v>286</v>
      </c>
      <c r="V9" s="42">
        <f t="shared" si="3"/>
        <v>-9.9733247972684467</v>
      </c>
      <c r="W9" s="40">
        <v>4357</v>
      </c>
      <c r="X9" s="42">
        <f t="shared" si="4"/>
        <v>162.04857366013314</v>
      </c>
      <c r="Y9" s="42"/>
      <c r="Z9" s="42"/>
      <c r="AA9" s="43">
        <f t="shared" si="5"/>
        <v>5.9490475097544184</v>
      </c>
      <c r="AB9" s="40">
        <v>5040</v>
      </c>
      <c r="AC9" s="42">
        <f t="shared" si="6"/>
        <v>187.45118458734706</v>
      </c>
      <c r="AD9" s="42">
        <f t="shared" si="7"/>
        <v>1.1567592380078036</v>
      </c>
      <c r="AE9" s="42">
        <v>362.76</v>
      </c>
      <c r="AF9" s="42">
        <f t="shared" si="8"/>
        <v>168.09413580246911</v>
      </c>
      <c r="AG9" s="42">
        <f t="shared" si="9"/>
        <v>60.977828703703693</v>
      </c>
      <c r="AH9" s="40">
        <v>2038</v>
      </c>
      <c r="AI9" s="44">
        <f>IFERROR(AH9/1960,0)</f>
        <v>1.0397959183673469</v>
      </c>
      <c r="AJ9" s="42">
        <v>0</v>
      </c>
      <c r="AK9" s="44">
        <f>IFERROR(AJ9/64,0)</f>
        <v>0</v>
      </c>
    </row>
    <row r="10" spans="1:37" x14ac:dyDescent="0.25">
      <c r="A10" s="39" t="s">
        <v>53</v>
      </c>
      <c r="B10" s="39">
        <v>21</v>
      </c>
      <c r="C10" s="40"/>
      <c r="D10" s="40">
        <v>7</v>
      </c>
      <c r="E10" s="40">
        <v>5000</v>
      </c>
      <c r="F10" s="40">
        <v>3966</v>
      </c>
      <c r="G10" s="40">
        <v>4</v>
      </c>
      <c r="H10" s="41">
        <f t="shared" si="0"/>
        <v>1.0085728693898135E-3</v>
      </c>
      <c r="I10" s="41"/>
      <c r="J10" s="41"/>
      <c r="K10" s="41"/>
      <c r="L10" s="41">
        <f>IFERROR((5000-F10)/5000,0)</f>
        <v>0.20680000000000001</v>
      </c>
      <c r="M10" s="40">
        <v>13470</v>
      </c>
      <c r="N10" s="42">
        <f t="shared" si="1"/>
        <v>48.519559109574232</v>
      </c>
      <c r="O10" s="42"/>
      <c r="P10" s="42"/>
      <c r="Q10" s="42">
        <f>N10-9.176</f>
        <v>39.34355910957423</v>
      </c>
      <c r="R10" s="42">
        <v>80.5</v>
      </c>
      <c r="S10" s="42">
        <f t="shared" si="2"/>
        <v>-31.980440890425768</v>
      </c>
      <c r="T10" s="42">
        <f>IFERROR(2004030/5000,0)</f>
        <v>400.80599999999998</v>
      </c>
      <c r="U10" s="42">
        <v>13</v>
      </c>
      <c r="V10" s="42">
        <f t="shared" si="3"/>
        <v>387.80599999999998</v>
      </c>
      <c r="W10" s="40">
        <v>3769</v>
      </c>
      <c r="X10" s="42">
        <f t="shared" si="4"/>
        <v>135.76111231179311</v>
      </c>
      <c r="Y10" s="42"/>
      <c r="Z10" s="42"/>
      <c r="AA10" s="43">
        <f t="shared" si="5"/>
        <v>3.5738922791191299</v>
      </c>
      <c r="AB10" s="40">
        <v>5040</v>
      </c>
      <c r="AC10" s="42">
        <f t="shared" si="6"/>
        <v>181.54311649016643</v>
      </c>
      <c r="AD10" s="42">
        <f t="shared" si="7"/>
        <v>1.3372247280445742</v>
      </c>
      <c r="AE10" s="42">
        <v>374.81</v>
      </c>
      <c r="AF10" s="42">
        <f t="shared" si="8"/>
        <v>279.80697847067563</v>
      </c>
      <c r="AG10" s="42">
        <f t="shared" si="9"/>
        <v>104.87445360059392</v>
      </c>
      <c r="AH10" s="40">
        <v>1771</v>
      </c>
      <c r="AI10" s="44">
        <f>IFERROR(AH10/1720,0)</f>
        <v>1.0296511627906977</v>
      </c>
      <c r="AJ10" s="42">
        <v>0</v>
      </c>
      <c r="AK10" s="44">
        <f>IFERROR(AJ10/52.55,0)</f>
        <v>0</v>
      </c>
    </row>
    <row r="11" spans="1:37" x14ac:dyDescent="0.25">
      <c r="A11" s="39" t="s">
        <v>54</v>
      </c>
      <c r="B11" s="39">
        <v>65</v>
      </c>
      <c r="C11" s="40"/>
      <c r="D11" s="40">
        <v>7</v>
      </c>
      <c r="E11" s="40">
        <v>4819</v>
      </c>
      <c r="F11" s="40">
        <v>4203</v>
      </c>
      <c r="G11" s="40">
        <v>20</v>
      </c>
      <c r="H11" s="41">
        <f t="shared" si="0"/>
        <v>4.7585058291696406E-3</v>
      </c>
      <c r="I11" s="41"/>
      <c r="J11" s="41"/>
      <c r="K11" s="41"/>
      <c r="L11" s="41">
        <f>IFERROR((4819-F11)/4819,0)</f>
        <v>0.12782735007262919</v>
      </c>
      <c r="M11" s="40">
        <v>25590</v>
      </c>
      <c r="N11" s="42">
        <f t="shared" si="1"/>
        <v>86.97868869175079</v>
      </c>
      <c r="O11" s="42"/>
      <c r="P11" s="42"/>
      <c r="Q11" s="42">
        <f>N11-87.7846</f>
        <v>-0.80591130824920754</v>
      </c>
      <c r="R11" s="42">
        <v>84</v>
      </c>
      <c r="S11" s="42">
        <f t="shared" si="2"/>
        <v>2.97868869175079</v>
      </c>
      <c r="T11" s="42">
        <f>IFERROR(1330396/4819,0)</f>
        <v>276.07304420004152</v>
      </c>
      <c r="U11" s="42">
        <v>286</v>
      </c>
      <c r="V11" s="42">
        <f t="shared" si="3"/>
        <v>-9.9269557999584777</v>
      </c>
      <c r="W11" s="40">
        <v>4177</v>
      </c>
      <c r="X11" s="42">
        <f t="shared" si="4"/>
        <v>141.97342034601135</v>
      </c>
      <c r="Y11" s="42"/>
      <c r="Z11" s="42"/>
      <c r="AA11" s="43">
        <f t="shared" si="5"/>
        <v>6.1264065118506101</v>
      </c>
      <c r="AB11" s="40">
        <v>5040</v>
      </c>
      <c r="AC11" s="42">
        <f t="shared" si="6"/>
        <v>171.30620985010705</v>
      </c>
      <c r="AD11" s="42">
        <f t="shared" si="7"/>
        <v>1.2066076131194636</v>
      </c>
      <c r="AE11" s="42">
        <v>310.93714285710001</v>
      </c>
      <c r="AF11" s="42">
        <f t="shared" si="8"/>
        <v>163.22782336850329</v>
      </c>
      <c r="AG11" s="42">
        <f t="shared" si="9"/>
        <v>50.753593032985798</v>
      </c>
      <c r="AH11" s="40">
        <v>1883</v>
      </c>
      <c r="AI11" s="44">
        <f>IFERROR(AH11/1960,0)</f>
        <v>0.96071428571428574</v>
      </c>
      <c r="AJ11" s="42">
        <v>0</v>
      </c>
      <c r="AK11" s="44">
        <f>IFERROR(AJ11/64,0)</f>
        <v>0</v>
      </c>
    </row>
    <row r="12" spans="1:37" ht="15.75" thickBot="1" x14ac:dyDescent="0.3">
      <c r="A12" s="33" t="s">
        <v>55</v>
      </c>
      <c r="B12" s="33"/>
      <c r="C12" s="34"/>
      <c r="D12" s="34">
        <f>AVERAGE(D6:D11)</f>
        <v>7</v>
      </c>
      <c r="E12" s="34">
        <f>SUM(E6:E11)</f>
        <v>49598</v>
      </c>
      <c r="F12" s="34">
        <f>SUM(F6:F11)</f>
        <v>40166</v>
      </c>
      <c r="G12" s="34">
        <f>SUM(G6:G11)</f>
        <v>189</v>
      </c>
      <c r="H12" s="35">
        <f t="shared" si="0"/>
        <v>4.7054722899965143E-3</v>
      </c>
      <c r="I12" s="35"/>
      <c r="J12" s="35"/>
      <c r="K12" s="35"/>
      <c r="L12" s="35"/>
      <c r="M12" s="34">
        <f>SUM(M6:M11)</f>
        <v>187050</v>
      </c>
      <c r="N12" s="36">
        <f t="shared" si="1"/>
        <v>66.527482376708093</v>
      </c>
      <c r="O12" s="36"/>
      <c r="P12" s="36"/>
      <c r="Q12" s="36"/>
      <c r="R12" s="36">
        <f>IFERROR(SUMPRODUCT($F6:$F11,R6:R11)/$F12, 0)</f>
        <v>65.432430413782797</v>
      </c>
      <c r="S12" s="36">
        <f t="shared" si="2"/>
        <v>1.0950519629252966</v>
      </c>
      <c r="T12" s="36">
        <f>IFERROR(SUMPRODUCT($E6:$E11,T6:T11)/$E12, 0)</f>
        <v>334.26140166942213</v>
      </c>
      <c r="U12" s="36">
        <f>IFERROR(SUMPRODUCT($E6:$E11,U6:U11)/$E12, 0)</f>
        <v>56.119803217871691</v>
      </c>
      <c r="V12" s="36">
        <f>IFERROR(SUMPRODUCT($E6:$E11,V6:V11)/$E12, 0)</f>
        <v>278.14159845155046</v>
      </c>
      <c r="W12" s="34">
        <f>SUM(W6:W11)</f>
        <v>34913</v>
      </c>
      <c r="X12" s="36">
        <f>IFERROR(W12/D12/$F12*1000,0)</f>
        <v>124.17396376466236</v>
      </c>
      <c r="Y12" s="36"/>
      <c r="Z12" s="36"/>
      <c r="AA12" s="37">
        <f t="shared" si="5"/>
        <v>5.3576031850600065</v>
      </c>
      <c r="AB12" s="34">
        <f>SUM(AB6:AB11)</f>
        <v>15120</v>
      </c>
      <c r="AC12" s="36">
        <f>IFERROR(AB12/D12/$F12*1000,0)</f>
        <v>53.776826171388734</v>
      </c>
      <c r="AD12" s="36">
        <f t="shared" si="7"/>
        <v>0.43307650445392831</v>
      </c>
      <c r="AE12" s="36">
        <f>IFERROR(SUMPRODUCT(W6:W11,AE6:AE11)/W12,0)</f>
        <v>354.39603459210343</v>
      </c>
      <c r="AF12" s="36">
        <f>IFERROR(($F12*X12)/($F12*N12)*100,0)</f>
        <v>186.65062817428492</v>
      </c>
      <c r="AG12" s="36">
        <f t="shared" si="9"/>
        <v>66.148242479091721</v>
      </c>
      <c r="AH12" s="34"/>
      <c r="AI12" s="38">
        <f>IFERROR(SUMPRODUCT($F6:$F11,AI6:AI11)/$F12,0)</f>
        <v>0.30163159829044539</v>
      </c>
      <c r="AJ12" s="36"/>
      <c r="AK12" s="38">
        <f>AVERAGE(AK6:AK11)</f>
        <v>0</v>
      </c>
    </row>
    <row r="13" spans="1:37" ht="15.75" thickBot="1" x14ac:dyDescent="0.3"/>
    <row r="14" spans="1:37" ht="45" x14ac:dyDescent="0.25">
      <c r="A14" s="32" t="s">
        <v>3</v>
      </c>
      <c r="B14" s="30" t="s">
        <v>4</v>
      </c>
      <c r="C14" s="30" t="s">
        <v>5</v>
      </c>
      <c r="D14" s="30" t="s">
        <v>6</v>
      </c>
      <c r="E14" s="30" t="s">
        <v>7</v>
      </c>
      <c r="F14" s="30" t="s">
        <v>8</v>
      </c>
      <c r="G14" s="30" t="s">
        <v>9</v>
      </c>
      <c r="H14" s="30" t="s">
        <v>10</v>
      </c>
      <c r="I14" s="30" t="s">
        <v>81</v>
      </c>
      <c r="J14" s="30" t="s">
        <v>82</v>
      </c>
      <c r="K14" s="30" t="s">
        <v>83</v>
      </c>
      <c r="L14" s="30" t="s">
        <v>11</v>
      </c>
      <c r="M14" s="30" t="s">
        <v>12</v>
      </c>
      <c r="N14" s="30" t="s">
        <v>13</v>
      </c>
      <c r="O14" s="30" t="s">
        <v>84</v>
      </c>
      <c r="P14" s="30" t="s">
        <v>83</v>
      </c>
      <c r="Q14" s="30" t="s">
        <v>14</v>
      </c>
      <c r="R14" s="30" t="s">
        <v>15</v>
      </c>
      <c r="S14" s="30" t="s">
        <v>16</v>
      </c>
      <c r="T14" s="30" t="s">
        <v>17</v>
      </c>
      <c r="U14" s="30" t="s">
        <v>18</v>
      </c>
      <c r="V14" s="30" t="s">
        <v>19</v>
      </c>
      <c r="W14" s="30" t="s">
        <v>20</v>
      </c>
      <c r="X14" s="30" t="s">
        <v>21</v>
      </c>
      <c r="Y14" s="30" t="s">
        <v>85</v>
      </c>
      <c r="Z14" s="30" t="s">
        <v>86</v>
      </c>
      <c r="AA14" s="30" t="s">
        <v>22</v>
      </c>
      <c r="AB14" s="30" t="s">
        <v>23</v>
      </c>
      <c r="AC14" s="30" t="s">
        <v>24</v>
      </c>
      <c r="AD14" s="30" t="s">
        <v>25</v>
      </c>
      <c r="AE14" s="30" t="s">
        <v>26</v>
      </c>
      <c r="AF14" s="30" t="s">
        <v>27</v>
      </c>
      <c r="AG14" s="30" t="s">
        <v>28</v>
      </c>
      <c r="AH14" s="30" t="s">
        <v>29</v>
      </c>
      <c r="AI14" s="30" t="s">
        <v>30</v>
      </c>
      <c r="AJ14" s="30" t="s">
        <v>31</v>
      </c>
      <c r="AK14" s="30" t="s">
        <v>32</v>
      </c>
    </row>
    <row r="15" spans="1:37" x14ac:dyDescent="0.25">
      <c r="A15" s="39" t="s">
        <v>56</v>
      </c>
      <c r="B15" s="39">
        <v>20</v>
      </c>
      <c r="C15" s="40"/>
      <c r="D15" s="40">
        <v>7</v>
      </c>
      <c r="E15" s="40">
        <v>5260</v>
      </c>
      <c r="F15" s="40">
        <v>20545</v>
      </c>
      <c r="G15" s="40">
        <v>64</v>
      </c>
      <c r="H15" s="41">
        <f t="shared" ref="H15:H32" si="10">IFERROR(G15/F15,0)</f>
        <v>3.1151131662204914E-3</v>
      </c>
      <c r="I15" s="41"/>
      <c r="J15" s="41"/>
      <c r="K15" s="41"/>
      <c r="L15" s="41">
        <f>IFERROR((5260-F15)/5260,0)</f>
        <v>-2.9058935361216731</v>
      </c>
      <c r="M15" s="40">
        <v>59310</v>
      </c>
      <c r="N15" s="42">
        <f t="shared" ref="N15:N32" si="11">IFERROR(M15/D15/F15*100,0)</f>
        <v>41.24048256440566</v>
      </c>
      <c r="O15" s="42"/>
      <c r="P15" s="42"/>
      <c r="Q15" s="42">
        <f>N15-18.6812</f>
        <v>22.55928256440566</v>
      </c>
      <c r="R15" s="42">
        <v>42.5</v>
      </c>
      <c r="S15" s="42">
        <f t="shared" ref="S15:S32" si="12">N15-R15</f>
        <v>-1.2595174355943399</v>
      </c>
      <c r="T15" s="42">
        <f>IFERROR(90670/5260,0)</f>
        <v>17.237642585551331</v>
      </c>
      <c r="U15" s="42">
        <v>4</v>
      </c>
      <c r="V15" s="42">
        <f t="shared" ref="V15:V31" si="13">IFERROR(T15-U15,0)</f>
        <v>13.237642585551331</v>
      </c>
      <c r="W15" s="40">
        <v>13510</v>
      </c>
      <c r="X15" s="42">
        <f t="shared" ref="X15:X31" si="14">IFERROR(W15/D15/F15*1000,0)</f>
        <v>93.9401314188367</v>
      </c>
      <c r="Y15" s="42"/>
      <c r="Z15" s="42"/>
      <c r="AA15" s="43">
        <f t="shared" ref="AA15:AA32" si="15">IFERROR(M15/W15,0)</f>
        <v>4.3900814211695041</v>
      </c>
      <c r="AB15" s="40">
        <v>19520</v>
      </c>
      <c r="AC15" s="42">
        <f t="shared" ref="AC15:AC31" si="16">IFERROR(AB15/D15/F15*1000,0)</f>
        <v>135.72993081389285</v>
      </c>
      <c r="AD15" s="42">
        <f t="shared" ref="AD15:AD32" si="17">IFERROR(AC15/X15,0)</f>
        <v>1.4448556624722428</v>
      </c>
      <c r="AE15" s="42">
        <v>246.06428571430001</v>
      </c>
      <c r="AF15" s="42">
        <f t="shared" ref="AF15:AF31" si="18">IFERROR((F15*X15)/(F15*N15)*100,0)</f>
        <v>227.78620805934918</v>
      </c>
      <c r="AG15" s="42">
        <f t="shared" ref="AG15:AG32" si="19">IFERROR(AF15*AE15/1000,0)</f>
        <v>56.05005058169268</v>
      </c>
      <c r="AH15" s="40">
        <v>1710</v>
      </c>
      <c r="AI15" s="44">
        <f>IFERROR(AH15/1375,0)</f>
        <v>1.2436363636363637</v>
      </c>
      <c r="AJ15" s="42">
        <v>0</v>
      </c>
      <c r="AK15" s="44">
        <f>IFERROR(AJ15/45.9,0)</f>
        <v>0</v>
      </c>
    </row>
    <row r="16" spans="1:37" x14ac:dyDescent="0.25">
      <c r="A16" s="39" t="s">
        <v>57</v>
      </c>
      <c r="B16" s="39">
        <v>105</v>
      </c>
      <c r="C16" s="40">
        <v>42</v>
      </c>
      <c r="D16" s="40">
        <v>7</v>
      </c>
      <c r="E16" s="40">
        <v>3499</v>
      </c>
      <c r="F16" s="40">
        <v>3407</v>
      </c>
      <c r="G16" s="40">
        <v>24</v>
      </c>
      <c r="H16" s="41">
        <f t="shared" si="10"/>
        <v>7.0443205165835049E-3</v>
      </c>
      <c r="I16" s="41"/>
      <c r="J16" s="41"/>
      <c r="K16" s="41"/>
      <c r="L16" s="41">
        <f>IFERROR((3499-F16)/3499,0)</f>
        <v>2.6293226636181766E-2</v>
      </c>
      <c r="M16" s="40">
        <v>16200</v>
      </c>
      <c r="N16" s="42">
        <f t="shared" si="11"/>
        <v>67.92737640991237</v>
      </c>
      <c r="O16" s="42"/>
      <c r="P16" s="42"/>
      <c r="Q16" s="42">
        <f>N16-63.58</f>
        <v>4.3473764099123713</v>
      </c>
      <c r="R16" s="42">
        <v>0</v>
      </c>
      <c r="S16" s="42">
        <f t="shared" si="12"/>
        <v>67.92737640991237</v>
      </c>
      <c r="T16" s="42">
        <f>IFERROR(92590/3499,0)</f>
        <v>26.461846241783366</v>
      </c>
      <c r="U16" s="42">
        <v>0</v>
      </c>
      <c r="V16" s="42">
        <f t="shared" si="13"/>
        <v>26.461846241783366</v>
      </c>
      <c r="W16" s="40">
        <v>2630</v>
      </c>
      <c r="X16" s="42">
        <f t="shared" si="14"/>
        <v>110.27716046794416</v>
      </c>
      <c r="Y16" s="42"/>
      <c r="Z16" s="42"/>
      <c r="AA16" s="43">
        <f t="shared" si="15"/>
        <v>6.1596958174904941</v>
      </c>
      <c r="AB16" s="40">
        <v>4570</v>
      </c>
      <c r="AC16" s="42">
        <f t="shared" si="16"/>
        <v>191.6222902427775</v>
      </c>
      <c r="AD16" s="42">
        <f t="shared" si="17"/>
        <v>1.7376425855513309</v>
      </c>
      <c r="AE16" s="42">
        <v>245.41142857139999</v>
      </c>
      <c r="AF16" s="42">
        <f t="shared" si="18"/>
        <v>162.34567901234567</v>
      </c>
      <c r="AG16" s="42">
        <f t="shared" si="19"/>
        <v>39.841485008813706</v>
      </c>
      <c r="AH16" s="40">
        <v>0</v>
      </c>
      <c r="AI16" s="44">
        <f>IFERROR(AH16/0,0)</f>
        <v>0</v>
      </c>
      <c r="AJ16" s="42">
        <v>0</v>
      </c>
      <c r="AK16" s="44">
        <f>IFERROR(AJ16/0,0)</f>
        <v>0</v>
      </c>
    </row>
    <row r="17" spans="1:37" x14ac:dyDescent="0.25">
      <c r="A17" s="39" t="s">
        <v>58</v>
      </c>
      <c r="B17" s="39">
        <v>65</v>
      </c>
      <c r="C17" s="40"/>
      <c r="D17" s="40">
        <v>7</v>
      </c>
      <c r="E17" s="40">
        <v>10225</v>
      </c>
      <c r="F17" s="40">
        <v>6759</v>
      </c>
      <c r="G17" s="40">
        <v>68</v>
      </c>
      <c r="H17" s="41">
        <f t="shared" si="10"/>
        <v>1.0060659860926172E-2</v>
      </c>
      <c r="I17" s="41"/>
      <c r="J17" s="41"/>
      <c r="K17" s="41"/>
      <c r="L17" s="41">
        <f>IFERROR((10225-F17)/10225,0)</f>
        <v>0.33897310513447432</v>
      </c>
      <c r="M17" s="40">
        <v>35040</v>
      </c>
      <c r="N17" s="42">
        <f t="shared" si="11"/>
        <v>74.05998351404476</v>
      </c>
      <c r="O17" s="42"/>
      <c r="P17" s="42"/>
      <c r="Q17" s="42">
        <f>N17-75.7078</f>
        <v>-1.6478164859552464</v>
      </c>
      <c r="R17" s="42">
        <v>84</v>
      </c>
      <c r="S17" s="42">
        <f t="shared" si="12"/>
        <v>-9.9400164859552405</v>
      </c>
      <c r="T17" s="42">
        <f>IFERROR(2221950/10225,0)</f>
        <v>217.30562347188265</v>
      </c>
      <c r="U17" s="42">
        <v>286</v>
      </c>
      <c r="V17" s="42">
        <f t="shared" si="13"/>
        <v>-68.694376528117346</v>
      </c>
      <c r="W17" s="40">
        <v>6680</v>
      </c>
      <c r="X17" s="42">
        <f t="shared" si="14"/>
        <v>141.1874114936698</v>
      </c>
      <c r="Y17" s="42"/>
      <c r="Z17" s="42"/>
      <c r="AA17" s="43">
        <f t="shared" si="15"/>
        <v>5.2455089820359282</v>
      </c>
      <c r="AB17" s="40">
        <v>11290</v>
      </c>
      <c r="AC17" s="42">
        <f t="shared" si="16"/>
        <v>238.62363409633716</v>
      </c>
      <c r="AD17" s="42">
        <f t="shared" si="17"/>
        <v>1.6901197604790421</v>
      </c>
      <c r="AE17" s="42">
        <v>245.3242857143</v>
      </c>
      <c r="AF17" s="42">
        <f t="shared" si="18"/>
        <v>190.63926940639269</v>
      </c>
      <c r="AG17" s="42">
        <f t="shared" si="19"/>
        <v>46.768442596219288</v>
      </c>
      <c r="AH17" s="40">
        <v>0</v>
      </c>
      <c r="AI17" s="44">
        <f>IFERROR(AH17/1960,0)</f>
        <v>0</v>
      </c>
      <c r="AJ17" s="42">
        <v>0</v>
      </c>
      <c r="AK17" s="44">
        <f>IFERROR(AJ17/64,0)</f>
        <v>0</v>
      </c>
    </row>
    <row r="18" spans="1:37" x14ac:dyDescent="0.25">
      <c r="A18" s="39" t="s">
        <v>59</v>
      </c>
      <c r="B18" s="39">
        <v>93</v>
      </c>
      <c r="C18" s="40">
        <v>6</v>
      </c>
      <c r="D18" s="40">
        <v>7</v>
      </c>
      <c r="E18" s="40">
        <v>56050</v>
      </c>
      <c r="F18" s="40">
        <v>51916</v>
      </c>
      <c r="G18" s="40">
        <v>129</v>
      </c>
      <c r="H18" s="41">
        <f t="shared" si="10"/>
        <v>2.4847831111795976E-3</v>
      </c>
      <c r="I18" s="41"/>
      <c r="J18" s="41"/>
      <c r="K18" s="41"/>
      <c r="L18" s="41">
        <f>IFERROR((56050-F18)/56050,0)</f>
        <v>7.3755575379125776E-2</v>
      </c>
      <c r="M18" s="40">
        <v>226380</v>
      </c>
      <c r="N18" s="42">
        <f t="shared" si="11"/>
        <v>62.292934740735028</v>
      </c>
      <c r="O18" s="42"/>
      <c r="P18" s="42"/>
      <c r="Q18" s="42">
        <f>N18-38.0011</f>
        <v>24.291834740735027</v>
      </c>
      <c r="R18" s="42">
        <v>37</v>
      </c>
      <c r="S18" s="42">
        <f t="shared" si="12"/>
        <v>25.292934740735028</v>
      </c>
      <c r="T18" s="42">
        <f>IFERROR(23111471/56050,0)</f>
        <v>412.33668153434434</v>
      </c>
      <c r="U18" s="42">
        <v>0</v>
      </c>
      <c r="V18" s="42">
        <f t="shared" si="13"/>
        <v>412.33668153434434</v>
      </c>
      <c r="W18" s="40">
        <v>39880</v>
      </c>
      <c r="X18" s="42">
        <f t="shared" si="14"/>
        <v>109.73770816593837</v>
      </c>
      <c r="Y18" s="42"/>
      <c r="Z18" s="42"/>
      <c r="AA18" s="43">
        <f t="shared" si="15"/>
        <v>5.6765295887662992</v>
      </c>
      <c r="AB18" s="40">
        <v>65800</v>
      </c>
      <c r="AC18" s="42">
        <f t="shared" si="16"/>
        <v>181.06171507820326</v>
      </c>
      <c r="AD18" s="42">
        <f t="shared" si="17"/>
        <v>1.6499498495486462</v>
      </c>
      <c r="AE18" s="42">
        <v>293.21571428570002</v>
      </c>
      <c r="AF18" s="42">
        <f t="shared" si="18"/>
        <v>176.16397208233943</v>
      </c>
      <c r="AG18" s="42">
        <f t="shared" si="19"/>
        <v>51.654044905529268</v>
      </c>
      <c r="AH18" s="40">
        <v>1641</v>
      </c>
      <c r="AI18" s="44">
        <f>IFERROR(AH18/1725,0)</f>
        <v>0.95130434782608697</v>
      </c>
      <c r="AJ18" s="42">
        <v>0</v>
      </c>
      <c r="AK18" s="44">
        <f>IFERROR(AJ18/64.75,0)</f>
        <v>0</v>
      </c>
    </row>
    <row r="19" spans="1:37" x14ac:dyDescent="0.25">
      <c r="A19" s="39" t="s">
        <v>60</v>
      </c>
      <c r="B19" s="39">
        <v>86</v>
      </c>
      <c r="C19" s="40">
        <v>13</v>
      </c>
      <c r="D19" s="40">
        <v>7</v>
      </c>
      <c r="E19" s="40">
        <v>51536</v>
      </c>
      <c r="F19" s="40">
        <v>47399</v>
      </c>
      <c r="G19" s="40">
        <v>72</v>
      </c>
      <c r="H19" s="41">
        <f t="shared" si="10"/>
        <v>1.5190193885946961E-3</v>
      </c>
      <c r="I19" s="41"/>
      <c r="J19" s="41"/>
      <c r="K19" s="41"/>
      <c r="L19" s="41">
        <f>IFERROR((51536-F19)/51536,0)</f>
        <v>8.0273983235020177E-2</v>
      </c>
      <c r="M19" s="40">
        <v>290660</v>
      </c>
      <c r="N19" s="42">
        <f t="shared" si="11"/>
        <v>87.602812597010796</v>
      </c>
      <c r="O19" s="42"/>
      <c r="P19" s="42"/>
      <c r="Q19" s="42">
        <f>N19-88.8433</f>
        <v>-1.2404874029892028</v>
      </c>
      <c r="R19" s="42">
        <v>83</v>
      </c>
      <c r="S19" s="42">
        <f t="shared" si="12"/>
        <v>4.6028125970107965</v>
      </c>
      <c r="T19" s="42">
        <f>IFERROR(19059422/51536,0)</f>
        <v>369.82734399254889</v>
      </c>
      <c r="U19" s="42">
        <v>0</v>
      </c>
      <c r="V19" s="42">
        <f t="shared" si="13"/>
        <v>369.82734399254889</v>
      </c>
      <c r="W19" s="40">
        <v>38640</v>
      </c>
      <c r="X19" s="42">
        <f t="shared" si="14"/>
        <v>116.45815312559337</v>
      </c>
      <c r="Y19" s="42"/>
      <c r="Z19" s="42"/>
      <c r="AA19" s="43">
        <f t="shared" si="15"/>
        <v>7.5222567287784683</v>
      </c>
      <c r="AB19" s="40">
        <v>68426</v>
      </c>
      <c r="AC19" s="42">
        <f t="shared" si="16"/>
        <v>206.23099342059655</v>
      </c>
      <c r="AD19" s="42">
        <f t="shared" si="17"/>
        <v>1.7708592132505172</v>
      </c>
      <c r="AE19" s="42">
        <v>296.14999999999998</v>
      </c>
      <c r="AF19" s="42">
        <f t="shared" si="18"/>
        <v>132.93882887222185</v>
      </c>
      <c r="AG19" s="42">
        <f t="shared" si="19"/>
        <v>39.369834170508497</v>
      </c>
      <c r="AH19" s="40">
        <v>1757</v>
      </c>
      <c r="AI19" s="44">
        <f>IFERROR(AH19/1725,0)</f>
        <v>1.0185507246376813</v>
      </c>
      <c r="AJ19" s="42">
        <v>0</v>
      </c>
      <c r="AK19" s="44">
        <f>IFERROR(AJ19/64.4,0)</f>
        <v>0</v>
      </c>
    </row>
    <row r="20" spans="1:37" x14ac:dyDescent="0.25">
      <c r="A20" s="39" t="s">
        <v>61</v>
      </c>
      <c r="B20" s="39">
        <v>33</v>
      </c>
      <c r="C20" s="40"/>
      <c r="D20" s="40">
        <v>7</v>
      </c>
      <c r="E20" s="40">
        <v>49067</v>
      </c>
      <c r="F20" s="40">
        <v>47126</v>
      </c>
      <c r="G20" s="40">
        <v>150</v>
      </c>
      <c r="H20" s="41">
        <f t="shared" si="10"/>
        <v>3.1829563298391545E-3</v>
      </c>
      <c r="I20" s="41"/>
      <c r="J20" s="41"/>
      <c r="K20" s="41"/>
      <c r="L20" s="41">
        <f>IFERROR((49067-F20)/49067,0)</f>
        <v>3.9558155175576253E-2</v>
      </c>
      <c r="M20" s="40">
        <v>321320</v>
      </c>
      <c r="N20" s="42">
        <f t="shared" si="11"/>
        <v>97.40452646703973</v>
      </c>
      <c r="O20" s="42"/>
      <c r="P20" s="42"/>
      <c r="Q20" s="42">
        <f>N20-97.1499</f>
        <v>0.2546264670397278</v>
      </c>
      <c r="R20" s="42">
        <v>95.75</v>
      </c>
      <c r="S20" s="42">
        <f t="shared" si="12"/>
        <v>1.6545264670397302</v>
      </c>
      <c r="T20" s="42">
        <f>IFERROR(4215830/49067,0)</f>
        <v>85.919864674832368</v>
      </c>
      <c r="U20" s="42">
        <v>86</v>
      </c>
      <c r="V20" s="42">
        <f t="shared" si="13"/>
        <v>-8.0135325167631777E-2</v>
      </c>
      <c r="W20" s="40">
        <v>39840</v>
      </c>
      <c r="X20" s="42">
        <f t="shared" si="14"/>
        <v>120.77045731503992</v>
      </c>
      <c r="Y20" s="42"/>
      <c r="Z20" s="42"/>
      <c r="AA20" s="43">
        <f t="shared" si="15"/>
        <v>8.0652610441767063</v>
      </c>
      <c r="AB20" s="40">
        <v>59730</v>
      </c>
      <c r="AC20" s="42">
        <f t="shared" si="16"/>
        <v>181.0647443631359</v>
      </c>
      <c r="AD20" s="42">
        <f t="shared" si="17"/>
        <v>1.4992469879518071</v>
      </c>
      <c r="AE20" s="42">
        <v>293.57857142860001</v>
      </c>
      <c r="AF20" s="42">
        <f t="shared" si="18"/>
        <v>123.98854724262416</v>
      </c>
      <c r="AG20" s="42">
        <f t="shared" si="19"/>
        <v>36.400380572997086</v>
      </c>
      <c r="AH20" s="40">
        <v>1630</v>
      </c>
      <c r="AI20" s="44">
        <f>IFERROR(AH20/1685,0)</f>
        <v>0.96735905044510384</v>
      </c>
      <c r="AJ20" s="42">
        <v>0</v>
      </c>
      <c r="AK20" s="44">
        <f>IFERROR(AJ20/60.3,0)</f>
        <v>0</v>
      </c>
    </row>
    <row r="21" spans="1:37" x14ac:dyDescent="0.25">
      <c r="A21" s="39" t="s">
        <v>62</v>
      </c>
      <c r="B21" s="39">
        <v>65</v>
      </c>
      <c r="C21" s="40">
        <v>1</v>
      </c>
      <c r="D21" s="40">
        <v>7</v>
      </c>
      <c r="E21" s="40">
        <v>52424</v>
      </c>
      <c r="F21" s="40">
        <v>41268</v>
      </c>
      <c r="G21" s="40">
        <v>435</v>
      </c>
      <c r="H21" s="41">
        <f t="shared" si="10"/>
        <v>1.054085489968014E-2</v>
      </c>
      <c r="I21" s="41"/>
      <c r="J21" s="41"/>
      <c r="K21" s="41"/>
      <c r="L21" s="41">
        <f>IFERROR((52424-F21)/52424,0)</f>
        <v>0.21280329620021365</v>
      </c>
      <c r="M21" s="40">
        <v>123060</v>
      </c>
      <c r="N21" s="42">
        <f t="shared" si="11"/>
        <v>42.599592904914218</v>
      </c>
      <c r="O21" s="42"/>
      <c r="P21" s="42"/>
      <c r="Q21" s="42">
        <f>N21-88.846</f>
        <v>-46.246407095085786</v>
      </c>
      <c r="R21" s="42">
        <v>28</v>
      </c>
      <c r="S21" s="42">
        <f t="shared" si="12"/>
        <v>14.599592904914218</v>
      </c>
      <c r="T21" s="42">
        <f>IFERROR(13533000/52424,0)</f>
        <v>258.14512437051729</v>
      </c>
      <c r="U21" s="42">
        <v>0</v>
      </c>
      <c r="V21" s="42">
        <f t="shared" si="13"/>
        <v>258.14512437051729</v>
      </c>
      <c r="W21" s="40">
        <v>7859</v>
      </c>
      <c r="X21" s="42">
        <f t="shared" si="14"/>
        <v>27.205444550603026</v>
      </c>
      <c r="Y21" s="42"/>
      <c r="Z21" s="42"/>
      <c r="AA21" s="43">
        <f t="shared" si="15"/>
        <v>15.658480722738261</v>
      </c>
      <c r="AB21" s="40">
        <v>23632</v>
      </c>
      <c r="AC21" s="42">
        <f t="shared" si="16"/>
        <v>81.806726761655526</v>
      </c>
      <c r="AD21" s="42">
        <f t="shared" si="17"/>
        <v>3.0069983458455276</v>
      </c>
      <c r="AE21" s="42">
        <v>297.36333333329998</v>
      </c>
      <c r="AF21" s="42">
        <f t="shared" si="18"/>
        <v>63.863156183975292</v>
      </c>
      <c r="AG21" s="42">
        <f t="shared" si="19"/>
        <v>18.990561000052043</v>
      </c>
      <c r="AH21" s="40">
        <v>0</v>
      </c>
      <c r="AI21" s="44">
        <f>IFERROR(AH21/1725,0)</f>
        <v>0</v>
      </c>
      <c r="AJ21" s="42">
        <v>0</v>
      </c>
      <c r="AK21" s="44">
        <f>IFERROR(AJ21/63.4,0)</f>
        <v>0</v>
      </c>
    </row>
    <row r="22" spans="1:37" x14ac:dyDescent="0.25">
      <c r="A22" s="39" t="s">
        <v>63</v>
      </c>
      <c r="B22" s="39">
        <v>55</v>
      </c>
      <c r="C22" s="40"/>
      <c r="D22" s="40">
        <v>7</v>
      </c>
      <c r="E22" s="40">
        <v>50525</v>
      </c>
      <c r="F22" s="40">
        <v>45084</v>
      </c>
      <c r="G22" s="40">
        <v>264</v>
      </c>
      <c r="H22" s="41">
        <f t="shared" si="10"/>
        <v>5.8557359595421878E-3</v>
      </c>
      <c r="I22" s="41"/>
      <c r="J22" s="41"/>
      <c r="K22" s="41"/>
      <c r="L22" s="41">
        <f>IFERROR((50525-F22)/50525,0)</f>
        <v>0.10768926274121722</v>
      </c>
      <c r="M22" s="40">
        <v>271500</v>
      </c>
      <c r="N22" s="42">
        <f t="shared" si="11"/>
        <v>86.029887067949346</v>
      </c>
      <c r="O22" s="42"/>
      <c r="P22" s="42"/>
      <c r="Q22" s="42">
        <f>N22-93.7386</f>
        <v>-7.7087129320506591</v>
      </c>
      <c r="R22" s="42">
        <v>89</v>
      </c>
      <c r="S22" s="42">
        <f t="shared" si="12"/>
        <v>-2.9701129320506539</v>
      </c>
      <c r="T22" s="42">
        <f>IFERROR(10540970/50525,0)</f>
        <v>208.62879762493816</v>
      </c>
      <c r="U22" s="42">
        <v>226</v>
      </c>
      <c r="V22" s="42">
        <f t="shared" si="13"/>
        <v>-17.371202375061841</v>
      </c>
      <c r="W22" s="40">
        <v>37420</v>
      </c>
      <c r="X22" s="42">
        <f t="shared" si="14"/>
        <v>118.5723158041497</v>
      </c>
      <c r="Y22" s="42"/>
      <c r="Z22" s="42"/>
      <c r="AA22" s="43">
        <f t="shared" si="15"/>
        <v>7.255478353821486</v>
      </c>
      <c r="AB22" s="40">
        <v>64377</v>
      </c>
      <c r="AC22" s="42">
        <f t="shared" si="16"/>
        <v>203.99064603216854</v>
      </c>
      <c r="AD22" s="42">
        <f t="shared" si="17"/>
        <v>1.7203901656867988</v>
      </c>
      <c r="AE22" s="42">
        <v>310.7671428571</v>
      </c>
      <c r="AF22" s="42">
        <f t="shared" si="18"/>
        <v>137.8268876611418</v>
      </c>
      <c r="AG22" s="42">
        <f t="shared" si="19"/>
        <v>42.832068087339522</v>
      </c>
      <c r="AH22" s="40">
        <v>1627</v>
      </c>
      <c r="AI22" s="44">
        <f>IFERROR(AH22/1580,0)</f>
        <v>1.0297468354430379</v>
      </c>
      <c r="AJ22" s="42">
        <v>61.22</v>
      </c>
      <c r="AK22" s="44">
        <f>IFERROR(AJ22/62.7,0)</f>
        <v>0.97639553429027104</v>
      </c>
    </row>
    <row r="23" spans="1:37" x14ac:dyDescent="0.25">
      <c r="A23" s="39" t="s">
        <v>64</v>
      </c>
      <c r="B23" s="39">
        <v>74</v>
      </c>
      <c r="C23" s="40"/>
      <c r="D23" s="40">
        <v>7</v>
      </c>
      <c r="E23" s="40">
        <v>50845</v>
      </c>
      <c r="F23" s="40">
        <v>45974</v>
      </c>
      <c r="G23" s="40">
        <v>153</v>
      </c>
      <c r="H23" s="41">
        <f t="shared" si="10"/>
        <v>3.3279679819028145E-3</v>
      </c>
      <c r="I23" s="41"/>
      <c r="J23" s="41"/>
      <c r="K23" s="41"/>
      <c r="L23" s="41">
        <f>IFERROR((50845-F23)/50845,0)</f>
        <v>9.5800963713246146E-2</v>
      </c>
      <c r="M23" s="40">
        <v>270400</v>
      </c>
      <c r="N23" s="42">
        <f t="shared" si="11"/>
        <v>84.022646340478161</v>
      </c>
      <c r="O23" s="42"/>
      <c r="P23" s="42"/>
      <c r="Q23" s="42">
        <f>N23-83.7997</f>
        <v>0.22294634047815975</v>
      </c>
      <c r="R23" s="42">
        <v>87.1</v>
      </c>
      <c r="S23" s="42">
        <f t="shared" si="12"/>
        <v>-3.0773536595218332</v>
      </c>
      <c r="T23" s="42">
        <f>IFERROR(16859130/50845,0)</f>
        <v>331.57891631428851</v>
      </c>
      <c r="U23" s="42">
        <v>338</v>
      </c>
      <c r="V23" s="42">
        <f t="shared" si="13"/>
        <v>-6.4210836857114941</v>
      </c>
      <c r="W23" s="40">
        <v>37654</v>
      </c>
      <c r="X23" s="42">
        <f t="shared" si="14"/>
        <v>117.0040209062265</v>
      </c>
      <c r="Y23" s="42"/>
      <c r="Z23" s="42"/>
      <c r="AA23" s="43">
        <f t="shared" si="15"/>
        <v>7.1811759706804059</v>
      </c>
      <c r="AB23" s="40">
        <v>66933</v>
      </c>
      <c r="AC23" s="42">
        <f t="shared" si="16"/>
        <v>207.98401581017842</v>
      </c>
      <c r="AD23" s="42">
        <f t="shared" si="17"/>
        <v>1.7775800711743772</v>
      </c>
      <c r="AE23" s="42">
        <v>271.7042857143</v>
      </c>
      <c r="AF23" s="42">
        <f t="shared" si="18"/>
        <v>139.25295857988164</v>
      </c>
      <c r="AG23" s="42">
        <f t="shared" si="19"/>
        <v>37.835625644549744</v>
      </c>
      <c r="AH23" s="40">
        <v>1673</v>
      </c>
      <c r="AI23" s="44">
        <f>IFERROR(AH23/1725,0)</f>
        <v>0.96985507246376812</v>
      </c>
      <c r="AJ23" s="42">
        <v>61.92</v>
      </c>
      <c r="AK23" s="44">
        <f>IFERROR(AJ23/63.85,0)</f>
        <v>0.96977290524667192</v>
      </c>
    </row>
    <row r="24" spans="1:37" x14ac:dyDescent="0.25">
      <c r="A24" s="39" t="s">
        <v>65</v>
      </c>
      <c r="B24" s="39">
        <v>41</v>
      </c>
      <c r="C24" s="40"/>
      <c r="D24" s="40">
        <v>7</v>
      </c>
      <c r="E24" s="40">
        <v>21024</v>
      </c>
      <c r="F24" s="40">
        <v>19613</v>
      </c>
      <c r="G24" s="40">
        <v>42</v>
      </c>
      <c r="H24" s="41">
        <f t="shared" si="10"/>
        <v>2.1414368021210424E-3</v>
      </c>
      <c r="I24" s="41"/>
      <c r="J24" s="41"/>
      <c r="K24" s="41"/>
      <c r="L24" s="41">
        <f>IFERROR((21024-F24)/21024,0)</f>
        <v>6.7113774733637749E-2</v>
      </c>
      <c r="M24" s="40">
        <v>95680</v>
      </c>
      <c r="N24" s="42">
        <f t="shared" si="11"/>
        <v>69.691385451340579</v>
      </c>
      <c r="O24" s="42"/>
      <c r="P24" s="42"/>
      <c r="Q24" s="42">
        <f>N24-74.652</f>
        <v>-4.9606145486594215</v>
      </c>
      <c r="R24" s="42">
        <v>92</v>
      </c>
      <c r="S24" s="42">
        <f t="shared" si="12"/>
        <v>-22.308614548659421</v>
      </c>
      <c r="T24" s="42">
        <f>IFERROR(1949511/21024,0)</f>
        <v>92.727882420091319</v>
      </c>
      <c r="U24" s="42">
        <v>143</v>
      </c>
      <c r="V24" s="42">
        <f t="shared" si="13"/>
        <v>-50.272117579908681</v>
      </c>
      <c r="W24" s="40">
        <v>17710</v>
      </c>
      <c r="X24" s="42">
        <f t="shared" si="14"/>
        <v>128.99607403252944</v>
      </c>
      <c r="Y24" s="42"/>
      <c r="Z24" s="42"/>
      <c r="AA24" s="43">
        <f t="shared" si="15"/>
        <v>5.4025974025974026</v>
      </c>
      <c r="AB24" s="40">
        <v>22920</v>
      </c>
      <c r="AC24" s="42">
        <f t="shared" si="16"/>
        <v>166.94466498168126</v>
      </c>
      <c r="AD24" s="42">
        <f t="shared" si="17"/>
        <v>1.2941840767927726</v>
      </c>
      <c r="AE24" s="42">
        <v>246.06428571430001</v>
      </c>
      <c r="AF24" s="42">
        <f t="shared" si="18"/>
        <v>185.09615384615387</v>
      </c>
      <c r="AG24" s="42">
        <f t="shared" si="19"/>
        <v>45.54555288461804</v>
      </c>
      <c r="AH24" s="40">
        <v>1970</v>
      </c>
      <c r="AI24" s="44">
        <f>IFERROR(AH24/1930,0)</f>
        <v>1.0207253886010363</v>
      </c>
      <c r="AJ24" s="42">
        <v>0</v>
      </c>
      <c r="AK24" s="44">
        <f>IFERROR(AJ24/62.4,0)</f>
        <v>0</v>
      </c>
    </row>
    <row r="25" spans="1:37" x14ac:dyDescent="0.25">
      <c r="A25" s="39" t="s">
        <v>66</v>
      </c>
      <c r="B25" s="39">
        <v>65</v>
      </c>
      <c r="C25" s="40">
        <v>1</v>
      </c>
      <c r="D25" s="40">
        <v>7</v>
      </c>
      <c r="E25" s="40">
        <v>21875</v>
      </c>
      <c r="F25" s="40">
        <v>19862</v>
      </c>
      <c r="G25" s="40">
        <v>186</v>
      </c>
      <c r="H25" s="41">
        <f t="shared" si="10"/>
        <v>9.3646158493605886E-3</v>
      </c>
      <c r="I25" s="41"/>
      <c r="J25" s="41"/>
      <c r="K25" s="41"/>
      <c r="L25" s="41">
        <f>IFERROR((21875-F25)/21875,0)</f>
        <v>9.2022857142857142E-2</v>
      </c>
      <c r="M25" s="40">
        <v>53080</v>
      </c>
      <c r="N25" s="42">
        <f t="shared" si="11"/>
        <v>38.177711926579114</v>
      </c>
      <c r="O25" s="42"/>
      <c r="P25" s="42"/>
      <c r="Q25" s="42">
        <f>N25-83.1006</f>
        <v>-44.922888073420886</v>
      </c>
      <c r="R25" s="42">
        <v>28</v>
      </c>
      <c r="S25" s="42">
        <f t="shared" si="12"/>
        <v>10.177711926579114</v>
      </c>
      <c r="T25" s="42">
        <f>IFERROR(6293840/21875,0)</f>
        <v>287.71839999999997</v>
      </c>
      <c r="U25" s="42">
        <v>0</v>
      </c>
      <c r="V25" s="42">
        <f t="shared" si="13"/>
        <v>287.71839999999997</v>
      </c>
      <c r="W25" s="40">
        <v>2400</v>
      </c>
      <c r="X25" s="42">
        <f t="shared" si="14"/>
        <v>17.261964699282188</v>
      </c>
      <c r="Y25" s="42"/>
      <c r="Z25" s="42"/>
      <c r="AA25" s="43">
        <f t="shared" si="15"/>
        <v>22.116666666666667</v>
      </c>
      <c r="AB25" s="40">
        <v>9466</v>
      </c>
      <c r="AC25" s="42">
        <f t="shared" si="16"/>
        <v>68.084065768085495</v>
      </c>
      <c r="AD25" s="42">
        <f t="shared" si="17"/>
        <v>3.9441666666666664</v>
      </c>
      <c r="AE25" s="42">
        <v>298.01</v>
      </c>
      <c r="AF25" s="42">
        <f t="shared" si="18"/>
        <v>45.214770158251696</v>
      </c>
      <c r="AG25" s="42">
        <f t="shared" si="19"/>
        <v>13.474453654860588</v>
      </c>
      <c r="AH25" s="40">
        <v>0</v>
      </c>
      <c r="AI25" s="44">
        <f>IFERROR(AH25/1960,0)</f>
        <v>0</v>
      </c>
      <c r="AJ25" s="42">
        <v>0</v>
      </c>
      <c r="AK25" s="44">
        <f>IFERROR(AJ25/64,0)</f>
        <v>0</v>
      </c>
    </row>
    <row r="26" spans="1:37" x14ac:dyDescent="0.25">
      <c r="A26" s="39" t="s">
        <v>67</v>
      </c>
      <c r="B26" s="39">
        <v>21</v>
      </c>
      <c r="C26" s="40"/>
      <c r="D26" s="40">
        <v>7</v>
      </c>
      <c r="E26" s="40">
        <v>77078</v>
      </c>
      <c r="F26" s="40">
        <v>76878</v>
      </c>
      <c r="G26" s="40">
        <v>90</v>
      </c>
      <c r="H26" s="41">
        <f t="shared" si="10"/>
        <v>1.1706860220088973E-3</v>
      </c>
      <c r="I26" s="41"/>
      <c r="J26" s="41"/>
      <c r="K26" s="41"/>
      <c r="L26" s="41">
        <f>IFERROR((77078-F26)/77078,0)</f>
        <v>2.5947741249124265E-3</v>
      </c>
      <c r="M26" s="40">
        <v>366940</v>
      </c>
      <c r="N26" s="42">
        <f t="shared" si="11"/>
        <v>68.185956970784872</v>
      </c>
      <c r="O26" s="42"/>
      <c r="P26" s="42"/>
      <c r="Q26" s="42">
        <f>N26-51.8471</f>
        <v>16.338856970784875</v>
      </c>
      <c r="R26" s="42">
        <v>80.5</v>
      </c>
      <c r="S26" s="42">
        <f t="shared" si="12"/>
        <v>-12.314043029215128</v>
      </c>
      <c r="T26" s="42">
        <f>IFERROR(703600/77078,0)</f>
        <v>9.1284153714419158</v>
      </c>
      <c r="U26" s="42">
        <v>13</v>
      </c>
      <c r="V26" s="42">
        <f t="shared" si="13"/>
        <v>-3.8715846285580842</v>
      </c>
      <c r="W26" s="40">
        <v>53692</v>
      </c>
      <c r="X26" s="42">
        <f t="shared" si="14"/>
        <v>99.772180783653511</v>
      </c>
      <c r="Y26" s="42"/>
      <c r="Z26" s="42"/>
      <c r="AA26" s="43">
        <f t="shared" si="15"/>
        <v>6.8341652387692768</v>
      </c>
      <c r="AB26" s="40">
        <v>94487</v>
      </c>
      <c r="AC26" s="42">
        <f t="shared" si="16"/>
        <v>175.578746288182</v>
      </c>
      <c r="AD26" s="42">
        <f t="shared" si="17"/>
        <v>1.7597966177456603</v>
      </c>
      <c r="AE26" s="42">
        <v>297.87571428569998</v>
      </c>
      <c r="AF26" s="42">
        <f t="shared" si="18"/>
        <v>146.32364964299342</v>
      </c>
      <c r="AG26" s="42">
        <f t="shared" si="19"/>
        <v>43.586261654297175</v>
      </c>
      <c r="AH26" s="40">
        <v>1464</v>
      </c>
      <c r="AI26" s="44">
        <f>IFERROR(AH26/1720,0)</f>
        <v>0.85116279069767442</v>
      </c>
      <c r="AJ26" s="42">
        <v>46.82</v>
      </c>
      <c r="AK26" s="44">
        <f>IFERROR(AJ26/52.55,0)</f>
        <v>0.89096098953377745</v>
      </c>
    </row>
    <row r="27" spans="1:37" x14ac:dyDescent="0.25">
      <c r="A27" s="39" t="s">
        <v>68</v>
      </c>
      <c r="B27" s="39">
        <v>55</v>
      </c>
      <c r="C27" s="40"/>
      <c r="D27" s="40">
        <v>7</v>
      </c>
      <c r="E27" s="40">
        <v>21339</v>
      </c>
      <c r="F27" s="40">
        <v>19875</v>
      </c>
      <c r="G27" s="40">
        <v>80</v>
      </c>
      <c r="H27" s="41">
        <f t="shared" si="10"/>
        <v>4.0251572327044023E-3</v>
      </c>
      <c r="I27" s="41"/>
      <c r="J27" s="41"/>
      <c r="K27" s="41"/>
      <c r="L27" s="41">
        <f>IFERROR((21339-F27)/21339,0)</f>
        <v>6.8606776325038657E-2</v>
      </c>
      <c r="M27" s="40">
        <v>117640</v>
      </c>
      <c r="N27" s="42">
        <f t="shared" si="11"/>
        <v>84.557053009883205</v>
      </c>
      <c r="O27" s="42"/>
      <c r="P27" s="42"/>
      <c r="Q27" s="42">
        <f>N27-87.8119</f>
        <v>-3.2548469901167891</v>
      </c>
      <c r="R27" s="42">
        <v>87</v>
      </c>
      <c r="S27" s="42">
        <f t="shared" si="12"/>
        <v>-2.4429469901167948</v>
      </c>
      <c r="T27" s="42">
        <f>IFERROR(4662490/21339,0)</f>
        <v>218.49618070200103</v>
      </c>
      <c r="U27" s="42">
        <v>228</v>
      </c>
      <c r="V27" s="42">
        <f t="shared" si="13"/>
        <v>-9.5038192979989731</v>
      </c>
      <c r="W27" s="40">
        <v>17450</v>
      </c>
      <c r="X27" s="42">
        <f t="shared" si="14"/>
        <v>125.42677448337824</v>
      </c>
      <c r="Y27" s="42"/>
      <c r="Z27" s="42"/>
      <c r="AA27" s="43">
        <f t="shared" si="15"/>
        <v>6.741547277936963</v>
      </c>
      <c r="AB27" s="40">
        <v>32189</v>
      </c>
      <c r="AC27" s="42">
        <f t="shared" si="16"/>
        <v>231.3674752920036</v>
      </c>
      <c r="AD27" s="42">
        <f t="shared" si="17"/>
        <v>1.8446418338108885</v>
      </c>
      <c r="AE27" s="42">
        <v>297.64857142860001</v>
      </c>
      <c r="AF27" s="42">
        <f t="shared" si="18"/>
        <v>148.33390003400203</v>
      </c>
      <c r="AG27" s="42">
        <f t="shared" si="19"/>
        <v>44.15137343955346</v>
      </c>
      <c r="AH27" s="40">
        <v>1955</v>
      </c>
      <c r="AI27" s="44">
        <f>IFERROR(AH27/1960,0)</f>
        <v>0.99744897959183676</v>
      </c>
      <c r="AJ27" s="42">
        <v>65.06</v>
      </c>
      <c r="AK27" s="44">
        <f>IFERROR(AJ27/63.5,0)</f>
        <v>1.0245669291338584</v>
      </c>
    </row>
    <row r="28" spans="1:37" x14ac:dyDescent="0.25">
      <c r="A28" s="39" t="s">
        <v>69</v>
      </c>
      <c r="B28" s="39">
        <v>42</v>
      </c>
      <c r="C28" s="40"/>
      <c r="D28" s="40">
        <v>7</v>
      </c>
      <c r="E28" s="40">
        <v>64976</v>
      </c>
      <c r="F28" s="40">
        <v>62305</v>
      </c>
      <c r="G28" s="40">
        <v>107</v>
      </c>
      <c r="H28" s="41">
        <f t="shared" si="10"/>
        <v>1.717358157451248E-3</v>
      </c>
      <c r="I28" s="41"/>
      <c r="J28" s="41"/>
      <c r="K28" s="41"/>
      <c r="L28" s="41">
        <f>IFERROR((64976-F28)/64976,0)</f>
        <v>4.1107485840925884E-2</v>
      </c>
      <c r="M28" s="40">
        <v>422960</v>
      </c>
      <c r="N28" s="42">
        <f t="shared" si="11"/>
        <v>96.979146365230946</v>
      </c>
      <c r="O28" s="42"/>
      <c r="P28" s="42"/>
      <c r="Q28" s="42">
        <f>N28-97.4217</f>
        <v>-0.44255363476905529</v>
      </c>
      <c r="R28" s="42">
        <v>93</v>
      </c>
      <c r="S28" s="42">
        <f t="shared" si="12"/>
        <v>3.979146365230946</v>
      </c>
      <c r="T28" s="42">
        <f>IFERROR(9505170/64976,0)</f>
        <v>146.28739842403348</v>
      </c>
      <c r="U28" s="42">
        <v>146</v>
      </c>
      <c r="V28" s="42">
        <f t="shared" si="13"/>
        <v>0.28739842403348348</v>
      </c>
      <c r="W28" s="40">
        <v>50320</v>
      </c>
      <c r="X28" s="42">
        <f t="shared" si="14"/>
        <v>115.37711946988891</v>
      </c>
      <c r="Y28" s="42"/>
      <c r="Z28" s="42"/>
      <c r="AA28" s="43">
        <f t="shared" si="15"/>
        <v>8.4054054054054053</v>
      </c>
      <c r="AB28" s="40">
        <v>98870</v>
      </c>
      <c r="AC28" s="42">
        <f t="shared" si="16"/>
        <v>226.69586251963267</v>
      </c>
      <c r="AD28" s="42">
        <f t="shared" si="17"/>
        <v>1.9648251192368837</v>
      </c>
      <c r="AE28" s="42">
        <v>294.87142857139997</v>
      </c>
      <c r="AF28" s="42">
        <f t="shared" si="18"/>
        <v>118.97106109324757</v>
      </c>
      <c r="AG28" s="42">
        <f t="shared" si="19"/>
        <v>35.08116674322121</v>
      </c>
      <c r="AH28" s="40">
        <v>1641</v>
      </c>
      <c r="AI28" s="44">
        <f>IFERROR(AH28/1580,0)</f>
        <v>1.0386075949367088</v>
      </c>
      <c r="AJ28" s="42">
        <v>0</v>
      </c>
      <c r="AK28" s="44">
        <f>IFERROR(AJ28/61.3,0)</f>
        <v>0</v>
      </c>
    </row>
    <row r="29" spans="1:37" x14ac:dyDescent="0.25">
      <c r="A29" s="39" t="s">
        <v>70</v>
      </c>
      <c r="B29" s="39">
        <v>113</v>
      </c>
      <c r="C29" s="40">
        <v>41</v>
      </c>
      <c r="D29" s="40">
        <v>7</v>
      </c>
      <c r="E29" s="40">
        <v>47224</v>
      </c>
      <c r="F29" s="40">
        <v>38687</v>
      </c>
      <c r="G29" s="40">
        <v>125</v>
      </c>
      <c r="H29" s="41">
        <f t="shared" si="10"/>
        <v>3.2310595290407631E-3</v>
      </c>
      <c r="I29" s="41"/>
      <c r="J29" s="41"/>
      <c r="K29" s="41"/>
      <c r="L29" s="41">
        <f>IFERROR((47224-F29)/47224,0)</f>
        <v>0.18077672369981365</v>
      </c>
      <c r="M29" s="40">
        <v>158020</v>
      </c>
      <c r="N29" s="42">
        <f t="shared" si="11"/>
        <v>58.3510887747453</v>
      </c>
      <c r="O29" s="42"/>
      <c r="P29" s="42"/>
      <c r="Q29" s="42">
        <f>N29-58.0443</f>
        <v>0.30678877474529997</v>
      </c>
      <c r="R29" s="42">
        <v>68</v>
      </c>
      <c r="S29" s="42">
        <f t="shared" si="12"/>
        <v>-9.6489112252547002</v>
      </c>
      <c r="T29" s="42">
        <f>IFERROR(19849970/47224,0)</f>
        <v>420.33648145011011</v>
      </c>
      <c r="U29" s="42">
        <v>0</v>
      </c>
      <c r="V29" s="42">
        <f t="shared" si="13"/>
        <v>420.33648145011011</v>
      </c>
      <c r="W29" s="40">
        <v>34050</v>
      </c>
      <c r="X29" s="42">
        <f t="shared" si="14"/>
        <v>125.7343736729577</v>
      </c>
      <c r="Y29" s="42"/>
      <c r="Z29" s="42"/>
      <c r="AA29" s="43">
        <f t="shared" si="15"/>
        <v>4.6408223201174739</v>
      </c>
      <c r="AB29" s="40">
        <v>59500</v>
      </c>
      <c r="AC29" s="42">
        <f t="shared" si="16"/>
        <v>219.71204797477191</v>
      </c>
      <c r="AD29" s="42">
        <f t="shared" si="17"/>
        <v>1.7474302496328928</v>
      </c>
      <c r="AE29" s="42">
        <v>302.9714285714</v>
      </c>
      <c r="AF29" s="42">
        <f t="shared" si="18"/>
        <v>215.47905328439438</v>
      </c>
      <c r="AG29" s="42">
        <f t="shared" si="19"/>
        <v>65.283996600785784</v>
      </c>
      <c r="AH29" s="40">
        <v>1660</v>
      </c>
      <c r="AI29" s="44">
        <f>IFERROR(AH29/0,0)</f>
        <v>0</v>
      </c>
      <c r="AJ29" s="42">
        <v>0</v>
      </c>
      <c r="AK29" s="44">
        <f>IFERROR(AJ29/0,0)</f>
        <v>0</v>
      </c>
    </row>
    <row r="30" spans="1:37" x14ac:dyDescent="0.25">
      <c r="A30" s="39" t="s">
        <v>71</v>
      </c>
      <c r="B30" s="39">
        <v>33</v>
      </c>
      <c r="C30" s="40"/>
      <c r="D30" s="40">
        <v>7</v>
      </c>
      <c r="E30" s="40">
        <v>24546</v>
      </c>
      <c r="F30" s="40">
        <v>23005</v>
      </c>
      <c r="G30" s="40">
        <v>106</v>
      </c>
      <c r="H30" s="41">
        <f t="shared" si="10"/>
        <v>4.6076939795696584E-3</v>
      </c>
      <c r="I30" s="41"/>
      <c r="J30" s="41"/>
      <c r="K30" s="41"/>
      <c r="L30" s="41">
        <f>IFERROR((24546-F30)/24546,0)</f>
        <v>6.2780086368451074E-2</v>
      </c>
      <c r="M30" s="40">
        <v>152820</v>
      </c>
      <c r="N30" s="42">
        <f t="shared" si="11"/>
        <v>94.898624522619315</v>
      </c>
      <c r="O30" s="42"/>
      <c r="P30" s="42"/>
      <c r="Q30" s="42">
        <f>N30-91.4592</f>
        <v>3.4394245226193192</v>
      </c>
      <c r="R30" s="42">
        <v>95</v>
      </c>
      <c r="S30" s="42">
        <f t="shared" si="12"/>
        <v>-0.1013754773806852</v>
      </c>
      <c r="T30" s="42">
        <f>IFERROR(1991110/24546,0)</f>
        <v>81.117493685325513</v>
      </c>
      <c r="U30" s="42">
        <v>87</v>
      </c>
      <c r="V30" s="42">
        <f t="shared" si="13"/>
        <v>-5.8825063146744867</v>
      </c>
      <c r="W30" s="40">
        <v>19600</v>
      </c>
      <c r="X30" s="42">
        <f t="shared" si="14"/>
        <v>121.71267115844383</v>
      </c>
      <c r="Y30" s="42"/>
      <c r="Z30" s="42"/>
      <c r="AA30" s="43">
        <f t="shared" si="15"/>
        <v>7.7969387755102044</v>
      </c>
      <c r="AB30" s="40">
        <v>30300</v>
      </c>
      <c r="AC30" s="42">
        <f t="shared" si="16"/>
        <v>188.15785388269629</v>
      </c>
      <c r="AD30" s="42">
        <f t="shared" si="17"/>
        <v>1.5459183673469385</v>
      </c>
      <c r="AE30" s="42">
        <v>293.43714285710001</v>
      </c>
      <c r="AF30" s="42">
        <f t="shared" si="18"/>
        <v>128.25546394450987</v>
      </c>
      <c r="AG30" s="42">
        <f t="shared" si="19"/>
        <v>37.634916895688782</v>
      </c>
      <c r="AH30" s="40">
        <v>1574</v>
      </c>
      <c r="AI30" s="44">
        <f>IFERROR(AH30/1550,0)</f>
        <v>1.0154838709677418</v>
      </c>
      <c r="AJ30" s="42">
        <v>0</v>
      </c>
      <c r="AK30" s="44">
        <f>IFERROR(AJ30/59,0)</f>
        <v>0</v>
      </c>
    </row>
    <row r="31" spans="1:37" x14ac:dyDescent="0.25">
      <c r="A31" s="39" t="s">
        <v>72</v>
      </c>
      <c r="B31" s="39">
        <v>33</v>
      </c>
      <c r="C31" s="40"/>
      <c r="D31" s="40">
        <v>7</v>
      </c>
      <c r="E31" s="40">
        <v>12056</v>
      </c>
      <c r="F31" s="40">
        <v>11131</v>
      </c>
      <c r="G31" s="40">
        <v>70</v>
      </c>
      <c r="H31" s="41">
        <f t="shared" si="10"/>
        <v>6.2887431497619262E-3</v>
      </c>
      <c r="I31" s="41"/>
      <c r="J31" s="41"/>
      <c r="K31" s="41"/>
      <c r="L31" s="41">
        <f>IFERROR((12056-F31)/12056,0)</f>
        <v>7.6725282017252816E-2</v>
      </c>
      <c r="M31" s="40">
        <v>72320</v>
      </c>
      <c r="N31" s="42">
        <f t="shared" si="11"/>
        <v>92.816715222608664</v>
      </c>
      <c r="O31" s="42"/>
      <c r="P31" s="42"/>
      <c r="Q31" s="42">
        <f>N31-92.5683</f>
        <v>0.24841522260867066</v>
      </c>
      <c r="R31" s="42">
        <v>94.5</v>
      </c>
      <c r="S31" s="42">
        <f t="shared" si="12"/>
        <v>-1.6832847773913358</v>
      </c>
      <c r="T31" s="42">
        <f>IFERROR(1069830/12056,0)</f>
        <v>88.738387524883876</v>
      </c>
      <c r="U31" s="42">
        <v>91</v>
      </c>
      <c r="V31" s="42">
        <f t="shared" si="13"/>
        <v>-2.2616124751161237</v>
      </c>
      <c r="W31" s="40">
        <v>10460</v>
      </c>
      <c r="X31" s="42">
        <f t="shared" si="14"/>
        <v>134.24541499287704</v>
      </c>
      <c r="Y31" s="42"/>
      <c r="Z31" s="42"/>
      <c r="AA31" s="43">
        <f t="shared" si="15"/>
        <v>6.9139579349904396</v>
      </c>
      <c r="AB31" s="40">
        <v>14800</v>
      </c>
      <c r="AC31" s="42">
        <f t="shared" si="16"/>
        <v>189.94571146219693</v>
      </c>
      <c r="AD31" s="42">
        <f t="shared" si="17"/>
        <v>1.4149139579349901</v>
      </c>
      <c r="AE31" s="42">
        <v>294.24428571430002</v>
      </c>
      <c r="AF31" s="42">
        <f t="shared" si="18"/>
        <v>144.63495575221242</v>
      </c>
      <c r="AG31" s="42">
        <f t="shared" si="19"/>
        <v>42.558009244629133</v>
      </c>
      <c r="AH31" s="40">
        <v>1842</v>
      </c>
      <c r="AI31" s="44">
        <f>IFERROR(AH31/1910,0)</f>
        <v>0.96439790575916229</v>
      </c>
      <c r="AJ31" s="42">
        <v>0</v>
      </c>
      <c r="AK31" s="44">
        <f>IFERROR(AJ31/61.5,0)</f>
        <v>0</v>
      </c>
    </row>
    <row r="32" spans="1:37" ht="15.75" thickBot="1" x14ac:dyDescent="0.3">
      <c r="A32" s="33" t="s">
        <v>73</v>
      </c>
      <c r="B32" s="33"/>
      <c r="C32" s="34"/>
      <c r="D32" s="34">
        <f>AVERAGE(D15:D31)</f>
        <v>7</v>
      </c>
      <c r="E32" s="34">
        <f>SUM(E15:E31)</f>
        <v>619549</v>
      </c>
      <c r="F32" s="34">
        <f>SUM(F15:F31)</f>
        <v>580834</v>
      </c>
      <c r="G32" s="34">
        <f>SUM(G15:G31)</f>
        <v>2165</v>
      </c>
      <c r="H32" s="35">
        <f t="shared" si="10"/>
        <v>3.7273988781648458E-3</v>
      </c>
      <c r="I32" s="35"/>
      <c r="J32" s="35"/>
      <c r="K32" s="35"/>
      <c r="L32" s="35"/>
      <c r="M32" s="34">
        <f>SUM(M15:M31)</f>
        <v>3053330</v>
      </c>
      <c r="N32" s="36">
        <f t="shared" si="11"/>
        <v>75.097187836800188</v>
      </c>
      <c r="O32" s="36"/>
      <c r="P32" s="36"/>
      <c r="Q32" s="36"/>
      <c r="R32" s="36">
        <f>IFERROR(SUMPRODUCT($F15:$F31,R15:R31)/$F32, 0)</f>
        <v>73.896033806560908</v>
      </c>
      <c r="S32" s="36">
        <f t="shared" si="12"/>
        <v>1.2011540302392802</v>
      </c>
      <c r="T32" s="36">
        <f>IFERROR(SUMPRODUCT($E15:$E31,T15:T31)/$E32, 0)</f>
        <v>219.11189268322602</v>
      </c>
      <c r="U32" s="36">
        <f>IFERROR(SUMPRODUCT($E15:$E31,U15:U31)/$E32, 0)</f>
        <v>92.587098034215217</v>
      </c>
      <c r="V32" s="36">
        <f>IFERROR(SUMPRODUCT($E15:$E31,V15:V31)/$E32, 0)</f>
        <v>126.52479464901081</v>
      </c>
      <c r="W32" s="34">
        <f>SUM(W15:W31)</f>
        <v>429795</v>
      </c>
      <c r="X32" s="36">
        <f>IFERROR(W32/D32/$F32*1000,0)</f>
        <v>105.70883542334938</v>
      </c>
      <c r="Y32" s="36"/>
      <c r="Z32" s="36"/>
      <c r="AA32" s="37">
        <f t="shared" si="15"/>
        <v>7.1041543061226866</v>
      </c>
      <c r="AB32" s="34">
        <f>SUM(AB15:AB31)</f>
        <v>746810</v>
      </c>
      <c r="AC32" s="36">
        <f>IFERROR(AB32/D32/$F32*1000,0)</f>
        <v>183.67923168606322</v>
      </c>
      <c r="AD32" s="36">
        <f t="shared" si="17"/>
        <v>1.737595830570388</v>
      </c>
      <c r="AE32" s="36">
        <f>IFERROR(SUMPRODUCT(W15:W31,AE15:AE31)/W32,0)</f>
        <v>290.56135467794155</v>
      </c>
      <c r="AF32" s="36">
        <f>IFERROR(($F32*X32)/($F32*N32)*100,0)</f>
        <v>140.76270825623172</v>
      </c>
      <c r="AG32" s="36">
        <f t="shared" si="19"/>
        <v>40.900203199066553</v>
      </c>
      <c r="AH32" s="34"/>
      <c r="AI32" s="38">
        <f>IFERROR(SUMPRODUCT($F15:$F31,AI15:AI31)/$F32,0)</f>
        <v>0.79868523835383975</v>
      </c>
      <c r="AJ32" s="36"/>
      <c r="AK32" s="38">
        <f>AVERAGE(AK15:AK31)</f>
        <v>0.2271586093061517</v>
      </c>
    </row>
    <row r="33" spans="1:37" ht="15.75" thickBot="1" x14ac:dyDescent="0.3"/>
    <row r="34" spans="1:37" ht="15.75" thickBot="1" x14ac:dyDescent="0.3">
      <c r="A34" s="21" t="s">
        <v>74</v>
      </c>
      <c r="B34" s="21"/>
      <c r="C34" s="21"/>
      <c r="D34" s="21">
        <f>IFERROR($F$12/$F34*D$12,0)+IFERROR($F$32/$F34*D$32,0)</f>
        <v>7</v>
      </c>
      <c r="E34" s="21">
        <f>E12+E32</f>
        <v>669147</v>
      </c>
      <c r="F34" s="21">
        <f>F12+F32</f>
        <v>621000</v>
      </c>
      <c r="G34" s="21">
        <f>G12+G32</f>
        <v>2354</v>
      </c>
      <c r="H34" s="22">
        <f>IFERROR(G34/F34,0)</f>
        <v>3.7906602254428341E-3</v>
      </c>
      <c r="I34" s="22"/>
      <c r="J34" s="22"/>
      <c r="K34" s="22"/>
      <c r="L34" s="21"/>
      <c r="M34" s="21">
        <f>M12+M32</f>
        <v>3240380</v>
      </c>
      <c r="N34" s="23">
        <f>IFERROR(M34/D34/F34*100,0)</f>
        <v>74.542903151598807</v>
      </c>
      <c r="O34" s="23"/>
      <c r="P34" s="23"/>
      <c r="Q34" s="21"/>
      <c r="R34" s="23">
        <f>IFERROR($F$12/$F34*R$12,0)+IFERROR($F$32/$F34*R$32,0)</f>
        <v>73.348611755233492</v>
      </c>
      <c r="S34" s="23">
        <f>N34-R34</f>
        <v>1.1942913963653154</v>
      </c>
      <c r="T34" s="21">
        <f>IFERROR($E$12/$E34*T$12,0)+IFERROR($E$32/$E34*T$32,0)</f>
        <v>227.64691614846961</v>
      </c>
      <c r="U34" s="21">
        <f>IFERROR($E$12/$E34*U$12,0)+IFERROR($E$32/$E34*U$32,0)</f>
        <v>89.884097216306742</v>
      </c>
      <c r="V34" s="21">
        <f>IFERROR($E$12/$E34*V$12,0)+IFERROR($E$32/$E34*V$32,0)</f>
        <v>137.7628189321629</v>
      </c>
      <c r="W34" s="21">
        <f>W12+W32</f>
        <v>464708</v>
      </c>
      <c r="X34" s="23">
        <f>IFERROR(W34/D34/$F34*1000,0)</f>
        <v>106.90315159880377</v>
      </c>
      <c r="Y34" s="23"/>
      <c r="Z34" s="23"/>
      <c r="AA34" s="24">
        <f>IFERROR(M34/W34,0)</f>
        <v>6.9729378448402004</v>
      </c>
      <c r="AB34" s="21">
        <f>AB12+AB32</f>
        <v>761930</v>
      </c>
      <c r="AC34" s="23">
        <f>IFERROR(AB34/D34/$F34*1000,0)</f>
        <v>175.27720266850702</v>
      </c>
      <c r="AD34" s="23">
        <f>IFERROR(AC34/X34,0)</f>
        <v>1.6395887309880612</v>
      </c>
      <c r="AE34" s="23">
        <f>IFERROR($F$12/$F34*AE$12,0)+IFERROR($F$32/$F34*AE$32,0)</f>
        <v>294.6901529926472</v>
      </c>
      <c r="AF34" s="23">
        <f>IFERROR(($F34*X34)/($F34*N34)*100,0)</f>
        <v>143.41157518562636</v>
      </c>
      <c r="AG34" s="23">
        <f>IFERROR(AF34*AE34/1000,0)</f>
        <v>42.261979032368757</v>
      </c>
      <c r="AH34" s="21"/>
      <c r="AI34" s="25"/>
      <c r="AJ34" s="21"/>
      <c r="AK34" s="25"/>
    </row>
    <row r="36" spans="1:37" x14ac:dyDescent="0.25">
      <c r="A36" s="29" t="s">
        <v>75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</row>
  </sheetData>
  <mergeCells count="2">
    <mergeCell ref="B2:D2"/>
    <mergeCell ref="B3:D3"/>
  </mergeCells>
  <pageMargins left="0.39370078740157483" right="0.39370078740157483" top="0.39370078740157483" bottom="0.39370078740157483" header="0.39370078740157483" footer="0.39370078740157483"/>
  <pageSetup paperSize="9" scale="4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3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5" x14ac:dyDescent="0.25"/>
  <cols>
    <col min="1" max="1" width="21.7109375" bestFit="1" customWidth="1"/>
    <col min="2" max="2" width="7" bestFit="1" customWidth="1"/>
    <col min="3" max="3" width="2.140625" bestFit="1" customWidth="1"/>
    <col min="4" max="4" width="10.140625" bestFit="1" customWidth="1"/>
    <col min="5" max="5" width="8.5703125" bestFit="1" customWidth="1"/>
    <col min="6" max="6" width="9" bestFit="1" customWidth="1"/>
    <col min="7" max="7" width="9.140625" bestFit="1" customWidth="1"/>
    <col min="8" max="8" width="7.42578125" bestFit="1" customWidth="1"/>
    <col min="9" max="9" width="10.85546875" bestFit="1" customWidth="1"/>
    <col min="10" max="10" width="11.28515625" bestFit="1" customWidth="1"/>
    <col min="11" max="11" width="9.7109375" bestFit="1" customWidth="1"/>
    <col min="12" max="12" width="7.140625" bestFit="1" customWidth="1"/>
    <col min="13" max="13" width="8.140625" bestFit="1" customWidth="1"/>
    <col min="14" max="14" width="7.28515625" bestFit="1" customWidth="1"/>
    <col min="15" max="15" width="5.42578125" bestFit="1" customWidth="1"/>
    <col min="16" max="16" width="8.5703125" bestFit="1" customWidth="1"/>
    <col min="17" max="17" width="7.7109375" bestFit="1" customWidth="1"/>
    <col min="18" max="18" width="11.28515625" bestFit="1" customWidth="1"/>
    <col min="19" max="19" width="7.7109375" bestFit="1" customWidth="1"/>
    <col min="20" max="20" width="5.42578125" bestFit="1" customWidth="1"/>
    <col min="21" max="21" width="9.5703125" bestFit="1" customWidth="1"/>
    <col min="22" max="22" width="7" bestFit="1" customWidth="1"/>
    <col min="23" max="23" width="8.7109375" bestFit="1" customWidth="1"/>
    <col min="24" max="24" width="6.42578125" bestFit="1" customWidth="1"/>
    <col min="25" max="25" width="8.28515625" bestFit="1" customWidth="1"/>
    <col min="26" max="26" width="6.28515625" bestFit="1" customWidth="1"/>
    <col min="27" max="27" width="9.140625" bestFit="1" customWidth="1"/>
    <col min="28" max="28" width="9" bestFit="1" customWidth="1"/>
    <col min="30" max="30" width="8.5703125" bestFit="1" customWidth="1"/>
    <col min="31" max="31" width="6" bestFit="1" customWidth="1"/>
    <col min="32" max="32" width="6.28515625" bestFit="1" customWidth="1"/>
    <col min="33" max="33" width="8.140625" bestFit="1" customWidth="1"/>
    <col min="34" max="34" width="10.85546875" bestFit="1" customWidth="1"/>
    <col min="35" max="35" width="10.7109375" bestFit="1" customWidth="1"/>
    <col min="36" max="40" width="9.85546875" bestFit="1" customWidth="1"/>
    <col min="41" max="42" width="10.28515625" bestFit="1" customWidth="1"/>
    <col min="43" max="43" width="9.85546875" bestFit="1" customWidth="1"/>
    <col min="44" max="44" width="9.28515625" bestFit="1" customWidth="1"/>
    <col min="45" max="45" width="3.85546875" bestFit="1" customWidth="1"/>
    <col min="46" max="46" width="8.140625" bestFit="1" customWidth="1"/>
  </cols>
  <sheetData>
    <row r="1" spans="1:47" ht="18.75" x14ac:dyDescent="0.3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4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7" ht="15.75" thickBot="1" x14ac:dyDescent="0.3"/>
    <row r="5" spans="1:47" ht="30.75" thickBot="1" x14ac:dyDescent="0.3">
      <c r="A5" s="26" t="s">
        <v>3</v>
      </c>
      <c r="B5" s="27" t="s">
        <v>4</v>
      </c>
      <c r="C5" s="27" t="s">
        <v>5</v>
      </c>
      <c r="D5" s="27" t="s">
        <v>6</v>
      </c>
      <c r="E5" s="27" t="s">
        <v>7</v>
      </c>
      <c r="F5" s="27" t="s">
        <v>8</v>
      </c>
      <c r="G5" s="27" t="s">
        <v>9</v>
      </c>
      <c r="H5" s="27" t="s">
        <v>10</v>
      </c>
      <c r="I5" s="27" t="s">
        <v>11</v>
      </c>
      <c r="J5" s="27" t="s">
        <v>12</v>
      </c>
      <c r="K5" s="27" t="s">
        <v>13</v>
      </c>
      <c r="L5" s="27" t="s">
        <v>14</v>
      </c>
      <c r="M5" s="27" t="s">
        <v>15</v>
      </c>
      <c r="N5" s="27" t="s">
        <v>16</v>
      </c>
      <c r="O5" s="27" t="s">
        <v>17</v>
      </c>
      <c r="P5" s="27" t="s">
        <v>18</v>
      </c>
      <c r="Q5" s="27" t="s">
        <v>77</v>
      </c>
      <c r="R5" s="27" t="s">
        <v>20</v>
      </c>
      <c r="S5" s="27" t="s">
        <v>21</v>
      </c>
      <c r="T5" s="27" t="s">
        <v>22</v>
      </c>
      <c r="U5" s="27" t="s">
        <v>23</v>
      </c>
      <c r="V5" s="27" t="s">
        <v>24</v>
      </c>
      <c r="W5" s="27" t="s">
        <v>25</v>
      </c>
      <c r="X5" s="27" t="s">
        <v>26</v>
      </c>
      <c r="Y5" s="27" t="s">
        <v>27</v>
      </c>
      <c r="Z5" s="27" t="s">
        <v>28</v>
      </c>
      <c r="AA5" s="27" t="s">
        <v>29</v>
      </c>
      <c r="AB5" s="27" t="s">
        <v>30</v>
      </c>
      <c r="AC5" s="27" t="s">
        <v>31</v>
      </c>
      <c r="AD5" s="27" t="s">
        <v>32</v>
      </c>
      <c r="AE5" s="27" t="s">
        <v>33</v>
      </c>
      <c r="AF5" s="27" t="s">
        <v>34</v>
      </c>
      <c r="AG5" s="27" t="s">
        <v>35</v>
      </c>
      <c r="AH5" s="27" t="s">
        <v>36</v>
      </c>
      <c r="AI5" s="27" t="s">
        <v>37</v>
      </c>
      <c r="AJ5" s="27" t="s">
        <v>38</v>
      </c>
      <c r="AK5" s="27" t="s">
        <v>39</v>
      </c>
      <c r="AL5" s="27" t="s">
        <v>40</v>
      </c>
      <c r="AM5" s="27" t="s">
        <v>41</v>
      </c>
      <c r="AN5" s="27" t="s">
        <v>42</v>
      </c>
      <c r="AO5" s="27" t="s">
        <v>43</v>
      </c>
      <c r="AP5" s="27" t="s">
        <v>44</v>
      </c>
      <c r="AQ5" s="27" t="s">
        <v>45</v>
      </c>
      <c r="AR5" s="27" t="s">
        <v>46</v>
      </c>
      <c r="AS5" s="27" t="s">
        <v>47</v>
      </c>
      <c r="AT5" s="27" t="s">
        <v>48</v>
      </c>
      <c r="AU5" s="28"/>
    </row>
    <row r="6" spans="1:47" ht="15.75" thickBot="1" x14ac:dyDescent="0.3">
      <c r="A6" s="4" t="s">
        <v>78</v>
      </c>
      <c r="B6" s="4">
        <v>202542</v>
      </c>
      <c r="C6" s="6"/>
      <c r="D6" s="6">
        <v>7</v>
      </c>
      <c r="E6" s="6"/>
      <c r="F6" s="6">
        <v>40166</v>
      </c>
      <c r="G6" s="6">
        <v>189</v>
      </c>
      <c r="H6" s="8">
        <f>IFERROR(G6/F6,0)</f>
        <v>4.7054722899965143E-3</v>
      </c>
      <c r="I6" s="8"/>
      <c r="J6" s="6">
        <v>187050</v>
      </c>
      <c r="K6" s="10">
        <f>IFERROR(J6/E6/F6*100,0)</f>
        <v>0</v>
      </c>
      <c r="L6" s="10"/>
      <c r="M6" s="10">
        <v>65.432430413800006</v>
      </c>
      <c r="N6" s="10">
        <f>K6-M6</f>
        <v>-65.432430413800006</v>
      </c>
      <c r="O6" s="10"/>
      <c r="P6" s="10"/>
      <c r="Q6" s="10"/>
      <c r="R6" s="6">
        <v>34913</v>
      </c>
      <c r="S6" s="10">
        <f>IFERROR(R6/E6/F6*1000,0)</f>
        <v>0</v>
      </c>
      <c r="T6" s="12">
        <f>IFERROR(J6/R6,0)</f>
        <v>5.3576031850600065</v>
      </c>
      <c r="U6" s="6">
        <v>15120</v>
      </c>
      <c r="V6" s="10">
        <f>IFERROR(U6/E6/F6*1000,0)</f>
        <v>0</v>
      </c>
      <c r="W6" s="10">
        <f>IFERROR(V6/S6,0)</f>
        <v>0</v>
      </c>
      <c r="X6" s="10">
        <v>354.39603459210002</v>
      </c>
      <c r="Y6" s="10">
        <f>IFERROR((F6*S6)/(F6*K6)*100,0)</f>
        <v>0</v>
      </c>
      <c r="Z6" s="10">
        <f>IFERROR(Y6*X6/1000,0)</f>
        <v>0</v>
      </c>
      <c r="AA6" s="6">
        <v>1587.5</v>
      </c>
      <c r="AB6" s="14">
        <f>IFERROR(AA6/940,0)</f>
        <v>1.6888297872340425</v>
      </c>
      <c r="AC6" s="10">
        <v>0</v>
      </c>
      <c r="AD6" s="14">
        <f>IFERROR(AC6/30.0916666667,0)</f>
        <v>0</v>
      </c>
      <c r="AE6" s="10"/>
      <c r="AF6" s="10"/>
      <c r="AG6" s="6">
        <v>-17201</v>
      </c>
      <c r="AH6" s="6">
        <v>0</v>
      </c>
      <c r="AI6" s="6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2"/>
      <c r="AP6" s="10"/>
      <c r="AQ6" s="6"/>
      <c r="AR6" s="6"/>
      <c r="AS6" s="6"/>
      <c r="AT6" s="6"/>
      <c r="AU6" s="6"/>
    </row>
    <row r="7" spans="1:47" ht="15.75" thickBot="1" x14ac:dyDescent="0.3">
      <c r="A7" s="15" t="s">
        <v>55</v>
      </c>
      <c r="B7" s="15"/>
      <c r="C7" s="16"/>
      <c r="D7" s="16">
        <f>AVERAGE(D6:D6)</f>
        <v>7</v>
      </c>
      <c r="E7" s="16">
        <f>SUM(E6:E6)</f>
        <v>0</v>
      </c>
      <c r="F7" s="16">
        <f>SUM(F6:F6)</f>
        <v>40166</v>
      </c>
      <c r="G7" s="16">
        <f>SUM(G6:G6)</f>
        <v>189</v>
      </c>
      <c r="H7" s="17">
        <f>IFERROR(G7/F7,0)</f>
        <v>4.7054722899965143E-3</v>
      </c>
      <c r="I7" s="17"/>
      <c r="J7" s="16">
        <f>SUM(J6:J6)</f>
        <v>187050</v>
      </c>
      <c r="K7" s="18">
        <f>IFERROR(J7/D7/F7*100,0)</f>
        <v>66.527482376708093</v>
      </c>
      <c r="L7" s="18"/>
      <c r="M7" s="18">
        <f>IFERROR(SUMPRODUCT($F6:$F6,M6:M6)/$F7, 0)</f>
        <v>65.432430413800006</v>
      </c>
      <c r="N7" s="18">
        <f>K7-M7</f>
        <v>1.0950519629080873</v>
      </c>
      <c r="O7" s="18">
        <f>IFERROR(SUMPRODUCT($E6:$E6,O6:O6)/$E7, 0)</f>
        <v>0</v>
      </c>
      <c r="P7" s="18">
        <f>IFERROR(SUMPRODUCT($E6:$E6,P6:P6)/$E7, 0)</f>
        <v>0</v>
      </c>
      <c r="Q7" s="18">
        <f>IFERROR(SUMPRODUCT($E6:$E6,Q6:Q6)/$E7, 0)</f>
        <v>0</v>
      </c>
      <c r="R7" s="16">
        <f>SUM(R6:R6)</f>
        <v>34913</v>
      </c>
      <c r="S7" s="18">
        <f>IFERROR(R7/D7/$F7*1000,0)</f>
        <v>124.17396376466236</v>
      </c>
      <c r="T7" s="19">
        <f>IFERROR(J7/R7,0)</f>
        <v>5.3576031850600065</v>
      </c>
      <c r="U7" s="16">
        <f>SUM(U6:U6)</f>
        <v>15120</v>
      </c>
      <c r="V7" s="18">
        <f>IFERROR(U7/D7/$F7*1000,0)</f>
        <v>53.776826171388734</v>
      </c>
      <c r="W7" s="18">
        <f>IFERROR(V7/S7,0)</f>
        <v>0.43307650445392831</v>
      </c>
      <c r="X7" s="18">
        <f>IFERROR(SUMPRODUCT(R6:R6,X6:X6)/R7,0)</f>
        <v>354.39603459210002</v>
      </c>
      <c r="Y7" s="18">
        <f>IFERROR(($F7*S7)/($F7*K7)*100,0)</f>
        <v>186.65062817428492</v>
      </c>
      <c r="Z7" s="18">
        <f>IFERROR(Y7*X7/1000,0)</f>
        <v>66.148242479091067</v>
      </c>
      <c r="AA7" s="16"/>
      <c r="AB7" s="20">
        <f>IFERROR(SUMPRODUCT($F6:$F6,AB6:AB6)/$F7,0)</f>
        <v>1.6888297872340425</v>
      </c>
      <c r="AC7" s="18"/>
      <c r="AD7" s="20">
        <f>AVERAGE(AD6:AD6)</f>
        <v>0</v>
      </c>
      <c r="AE7" s="18"/>
      <c r="AF7" s="18"/>
      <c r="AG7" s="16">
        <f>SUM(AG6:AG6)</f>
        <v>-17201</v>
      </c>
      <c r="AH7" s="16">
        <f>SUM(AH6:AH6)</f>
        <v>0</v>
      </c>
      <c r="AI7" s="16">
        <f>IFERROR(SUMPRODUCT(AH6:AH6,AI6:AI6)/AH7, 0)</f>
        <v>0</v>
      </c>
      <c r="AJ7" s="18">
        <f>AVERAGE(AJ6:AJ6)</f>
        <v>0</v>
      </c>
      <c r="AK7" s="18">
        <f>AVERAGE(AK6:AK6)</f>
        <v>0</v>
      </c>
      <c r="AL7" s="18">
        <f>AVERAGE(AL6:AL6)</f>
        <v>0</v>
      </c>
      <c r="AM7" s="18">
        <f>AVERAGE(AM6:AM6)</f>
        <v>0</v>
      </c>
      <c r="AN7" s="18">
        <f>AVERAGE(AN6:AN6)</f>
        <v>0</v>
      </c>
      <c r="AO7" s="19"/>
      <c r="AP7" s="18"/>
      <c r="AQ7" s="16"/>
      <c r="AR7" s="16"/>
      <c r="AS7" s="16"/>
      <c r="AT7" s="16"/>
      <c r="AU7" s="16"/>
    </row>
    <row r="9" spans="1:47" ht="15.75" thickBot="1" x14ac:dyDescent="0.3">
      <c r="A9" s="3" t="s">
        <v>79</v>
      </c>
      <c r="B9" s="3">
        <v>202542</v>
      </c>
      <c r="C9" s="5"/>
      <c r="D9" s="5">
        <v>7</v>
      </c>
      <c r="E9" s="5"/>
      <c r="F9" s="5">
        <v>580834</v>
      </c>
      <c r="G9" s="5">
        <v>2165</v>
      </c>
      <c r="H9" s="7">
        <f>IFERROR(G9/F9,0)</f>
        <v>3.7273988781648458E-3</v>
      </c>
      <c r="I9" s="7"/>
      <c r="J9" s="5">
        <v>3053330</v>
      </c>
      <c r="K9" s="9">
        <f>IFERROR(J9/E9/F9*100,0)</f>
        <v>0</v>
      </c>
      <c r="L9" s="9"/>
      <c r="M9" s="9">
        <v>73.896033806600002</v>
      </c>
      <c r="N9" s="9">
        <f>K9-M9</f>
        <v>-73.896033806600002</v>
      </c>
      <c r="O9" s="9"/>
      <c r="P9" s="9"/>
      <c r="Q9" s="9"/>
      <c r="R9" s="5">
        <v>429795</v>
      </c>
      <c r="S9" s="9">
        <f>IFERROR(R9/E9/F9*1000,0)</f>
        <v>0</v>
      </c>
      <c r="T9" s="11">
        <f>IFERROR(J9/R9,0)</f>
        <v>7.1041543061226866</v>
      </c>
      <c r="U9" s="5">
        <v>746810</v>
      </c>
      <c r="V9" s="9">
        <f>IFERROR(U9/E9/F9*1000,0)</f>
        <v>0</v>
      </c>
      <c r="W9" s="9">
        <f>IFERROR(V9/S9,0)</f>
        <v>0</v>
      </c>
      <c r="X9" s="9">
        <v>290.5613546779</v>
      </c>
      <c r="Y9" s="9">
        <f>IFERROR((F9*S9)/(F9*K9)*100,0)</f>
        <v>0</v>
      </c>
      <c r="Z9" s="9">
        <f>IFERROR(Y9*X9/1000,0)</f>
        <v>0</v>
      </c>
      <c r="AA9" s="5">
        <v>1302.5882352941001</v>
      </c>
      <c r="AB9" s="13">
        <f>IFERROR(AA9/1535.8823529412,0)</f>
        <v>0.8481041746457052</v>
      </c>
      <c r="AC9" s="9">
        <v>13.8247058824</v>
      </c>
      <c r="AD9" s="13">
        <f>IFERROR(AC9/53.7382352941,0)</f>
        <v>0.25726013901907629</v>
      </c>
      <c r="AE9" s="9"/>
      <c r="AF9" s="9"/>
      <c r="AG9" s="5">
        <v>32637</v>
      </c>
      <c r="AH9" s="5">
        <v>549</v>
      </c>
      <c r="AI9" s="5">
        <v>11.038251366100001</v>
      </c>
      <c r="AJ9" s="9">
        <v>4.9411764706000003</v>
      </c>
      <c r="AK9" s="9">
        <v>4.4705882353000002</v>
      </c>
      <c r="AL9" s="9">
        <v>0</v>
      </c>
      <c r="AM9" s="9">
        <v>0</v>
      </c>
      <c r="AN9" s="9">
        <v>0</v>
      </c>
      <c r="AO9" s="11"/>
      <c r="AP9" s="9"/>
      <c r="AQ9" s="5"/>
      <c r="AR9" s="5"/>
      <c r="AS9" s="5"/>
      <c r="AT9" s="5"/>
      <c r="AU9" s="5"/>
    </row>
    <row r="10" spans="1:47" ht="15.75" thickBot="1" x14ac:dyDescent="0.3">
      <c r="A10" s="15" t="s">
        <v>73</v>
      </c>
      <c r="B10" s="15"/>
      <c r="C10" s="16"/>
      <c r="D10" s="16">
        <f>AVERAGE(D9:D9)</f>
        <v>7</v>
      </c>
      <c r="E10" s="16">
        <f>SUM(E9:E9)</f>
        <v>0</v>
      </c>
      <c r="F10" s="16">
        <f>SUM(F9:F9)</f>
        <v>580834</v>
      </c>
      <c r="G10" s="16">
        <f>SUM(G9:G9)</f>
        <v>2165</v>
      </c>
      <c r="H10" s="17">
        <f>IFERROR(G10/F10,0)</f>
        <v>3.7273988781648458E-3</v>
      </c>
      <c r="I10" s="17"/>
      <c r="J10" s="16">
        <f>SUM(J9:J9)</f>
        <v>3053330</v>
      </c>
      <c r="K10" s="18">
        <f>IFERROR(J10/D10/F10*100,0)</f>
        <v>75.097187836800188</v>
      </c>
      <c r="L10" s="18"/>
      <c r="M10" s="18">
        <f>IFERROR(SUMPRODUCT($F9:$F9,M9:M9)/$F10, 0)</f>
        <v>73.896033806600002</v>
      </c>
      <c r="N10" s="18">
        <f>K10-M10</f>
        <v>1.2011540302001862</v>
      </c>
      <c r="O10" s="18">
        <f>IFERROR(SUMPRODUCT($E9:$E9,O9:O9)/$E10, 0)</f>
        <v>0</v>
      </c>
      <c r="P10" s="18">
        <f>IFERROR(SUMPRODUCT($E9:$E9,P9:P9)/$E10, 0)</f>
        <v>0</v>
      </c>
      <c r="Q10" s="18">
        <f>IFERROR(SUMPRODUCT($E9:$E9,Q9:Q9)/$E10, 0)</f>
        <v>0</v>
      </c>
      <c r="R10" s="16">
        <f>SUM(R9:R9)</f>
        <v>429795</v>
      </c>
      <c r="S10" s="18">
        <f>IFERROR(R10/D10/$F10*1000,0)</f>
        <v>105.70883542334938</v>
      </c>
      <c r="T10" s="19">
        <f>IFERROR(J10/R10,0)</f>
        <v>7.1041543061226866</v>
      </c>
      <c r="U10" s="16">
        <f>SUM(U9:U9)</f>
        <v>746810</v>
      </c>
      <c r="V10" s="18">
        <f>IFERROR(U10/D10/$F10*1000,0)</f>
        <v>183.67923168606322</v>
      </c>
      <c r="W10" s="18">
        <f>IFERROR(V10/S10,0)</f>
        <v>1.737595830570388</v>
      </c>
      <c r="X10" s="18">
        <f>IFERROR(SUMPRODUCT(R9:R9,X9:X9)/R10,0)</f>
        <v>290.5613546779</v>
      </c>
      <c r="Y10" s="18">
        <f>IFERROR(($F10*S10)/($F10*K10)*100,0)</f>
        <v>140.76270825623172</v>
      </c>
      <c r="Z10" s="18">
        <f>IFERROR(Y10*X10/1000,0)</f>
        <v>40.900203199060705</v>
      </c>
      <c r="AA10" s="16"/>
      <c r="AB10" s="20">
        <f>IFERROR(SUMPRODUCT($F9:$F9,AB9:AB9)/$F10,0)</f>
        <v>0.8481041746457052</v>
      </c>
      <c r="AC10" s="18"/>
      <c r="AD10" s="20">
        <f>AVERAGE(AD9:AD9)</f>
        <v>0.25726013901907629</v>
      </c>
      <c r="AE10" s="18"/>
      <c r="AF10" s="18"/>
      <c r="AG10" s="16">
        <f>SUM(AG9:AG9)</f>
        <v>32637</v>
      </c>
      <c r="AH10" s="16">
        <f>SUM(AH9:AH9)</f>
        <v>549</v>
      </c>
      <c r="AI10" s="16">
        <f>IFERROR(SUMPRODUCT(AH9:AH9,AI9:AI9)/AH10, 0)</f>
        <v>11.038251366100001</v>
      </c>
      <c r="AJ10" s="18">
        <f>AVERAGE(AJ9:AJ9)</f>
        <v>4.9411764706000003</v>
      </c>
      <c r="AK10" s="18">
        <f>AVERAGE(AK9:AK9)</f>
        <v>4.4705882353000002</v>
      </c>
      <c r="AL10" s="18">
        <f>AVERAGE(AL9:AL9)</f>
        <v>0</v>
      </c>
      <c r="AM10" s="18">
        <f>AVERAGE(AM9:AM9)</f>
        <v>0</v>
      </c>
      <c r="AN10" s="18">
        <f>AVERAGE(AN9:AN9)</f>
        <v>0</v>
      </c>
      <c r="AO10" s="19"/>
      <c r="AP10" s="18"/>
      <c r="AQ10" s="16"/>
      <c r="AR10" s="16"/>
      <c r="AS10" s="16"/>
      <c r="AT10" s="16"/>
      <c r="AU10" s="16"/>
    </row>
    <row r="12" spans="1:47" ht="15.75" thickBot="1" x14ac:dyDescent="0.3">
      <c r="A12" s="3" t="s">
        <v>74</v>
      </c>
      <c r="B12" s="3">
        <v>202542</v>
      </c>
      <c r="C12" s="5"/>
      <c r="D12" s="5">
        <v>7</v>
      </c>
      <c r="E12" s="5"/>
      <c r="F12" s="5">
        <v>621000</v>
      </c>
      <c r="G12" s="5">
        <v>2354</v>
      </c>
      <c r="H12" s="7">
        <f>IFERROR(G12/F12,0)</f>
        <v>3.7906602254428341E-3</v>
      </c>
      <c r="I12" s="7"/>
      <c r="J12" s="5">
        <v>3240380</v>
      </c>
      <c r="K12" s="9">
        <f>IFERROR(J12/E12/F12*100,0)</f>
        <v>0</v>
      </c>
      <c r="L12" s="9"/>
      <c r="M12" s="9">
        <v>73.348611755299999</v>
      </c>
      <c r="N12" s="9">
        <f>K12-M12</f>
        <v>-73.348611755299999</v>
      </c>
      <c r="O12" s="9"/>
      <c r="P12" s="9"/>
      <c r="Q12" s="9"/>
      <c r="R12" s="5">
        <v>464708</v>
      </c>
      <c r="S12" s="9">
        <f>IFERROR(R12/E12/F12*1000,0)</f>
        <v>0</v>
      </c>
      <c r="T12" s="11">
        <f>IFERROR(J12/R12,0)</f>
        <v>6.9729378448402004</v>
      </c>
      <c r="U12" s="5">
        <v>761930</v>
      </c>
      <c r="V12" s="9">
        <f>IFERROR(U12/E12/F12*1000,0)</f>
        <v>0</v>
      </c>
      <c r="W12" s="9">
        <f>IFERROR(V12/S12,0)</f>
        <v>0</v>
      </c>
      <c r="X12" s="9">
        <v>295.35718384339998</v>
      </c>
      <c r="Y12" s="9">
        <f>IFERROR((F12*S12)/(F12*K12)*100,0)</f>
        <v>0</v>
      </c>
      <c r="Z12" s="9">
        <f>IFERROR(Y12*X12/1000,0)</f>
        <v>0</v>
      </c>
      <c r="AA12" s="5">
        <v>1445.0441176470999</v>
      </c>
      <c r="AB12" s="13">
        <f>IFERROR(AA12/1237.9411764706,0)</f>
        <v>1.16729626989786</v>
      </c>
      <c r="AC12" s="9">
        <v>6.9123529412</v>
      </c>
      <c r="AD12" s="13">
        <f>IFERROR(AC12/41.9149509804,0)</f>
        <v>0.16491377848520711</v>
      </c>
      <c r="AE12" s="9"/>
      <c r="AF12" s="9"/>
      <c r="AG12" s="5">
        <v>15436</v>
      </c>
      <c r="AH12" s="5">
        <v>549</v>
      </c>
      <c r="AI12" s="5">
        <v>11.038251366100001</v>
      </c>
      <c r="AJ12" s="9">
        <v>2.4705882353000002</v>
      </c>
      <c r="AK12" s="9">
        <v>2.2352941177000001</v>
      </c>
      <c r="AL12" s="9">
        <v>0</v>
      </c>
      <c r="AM12" s="9">
        <v>0</v>
      </c>
      <c r="AN12" s="9">
        <v>0</v>
      </c>
      <c r="AO12" s="11"/>
      <c r="AP12" s="9"/>
      <c r="AQ12" s="5"/>
      <c r="AR12" s="5"/>
      <c r="AS12" s="5"/>
      <c r="AT12" s="5"/>
      <c r="AU12" s="5"/>
    </row>
    <row r="13" spans="1:47" ht="15.75" thickBot="1" x14ac:dyDescent="0.3">
      <c r="A13" s="15" t="s">
        <v>80</v>
      </c>
      <c r="B13" s="15"/>
      <c r="C13" s="16"/>
      <c r="D13" s="16">
        <f>AVERAGE(D12:D12)</f>
        <v>7</v>
      </c>
      <c r="E13" s="16">
        <f>SUM(E12:E12)</f>
        <v>0</v>
      </c>
      <c r="F13" s="16">
        <f>SUM(F12:F12)</f>
        <v>621000</v>
      </c>
      <c r="G13" s="16">
        <f>SUM(G12:G12)</f>
        <v>2354</v>
      </c>
      <c r="H13" s="17">
        <f>IFERROR(G13/F13,0)</f>
        <v>3.7906602254428341E-3</v>
      </c>
      <c r="I13" s="17"/>
      <c r="J13" s="16">
        <f>SUM(J12:J12)</f>
        <v>3240380</v>
      </c>
      <c r="K13" s="18">
        <f>IFERROR(J13/D13/F13*100,0)</f>
        <v>74.542903151598807</v>
      </c>
      <c r="L13" s="18"/>
      <c r="M13" s="18">
        <f>IFERROR(SUMPRODUCT($F12:$F12,M12:M12)/$F13, 0)</f>
        <v>73.348611755299999</v>
      </c>
      <c r="N13" s="18">
        <f>K13-M13</f>
        <v>1.1942913962988086</v>
      </c>
      <c r="O13" s="18">
        <f>IFERROR(SUMPRODUCT($E12:$E12,O12:O12)/$E13, 0)</f>
        <v>0</v>
      </c>
      <c r="P13" s="18">
        <f>IFERROR(SUMPRODUCT($E12:$E12,P12:P12)/$E13, 0)</f>
        <v>0</v>
      </c>
      <c r="Q13" s="18">
        <f>IFERROR(SUMPRODUCT($E12:$E12,Q12:Q12)/$E13, 0)</f>
        <v>0</v>
      </c>
      <c r="R13" s="16">
        <f>SUM(R12:R12)</f>
        <v>464708</v>
      </c>
      <c r="S13" s="18">
        <f>IFERROR(R13/D13/$F13*1000,0)</f>
        <v>106.90315159880377</v>
      </c>
      <c r="T13" s="19">
        <f>IFERROR(J13/R13,0)</f>
        <v>6.9729378448402004</v>
      </c>
      <c r="U13" s="16">
        <f>SUM(U12:U12)</f>
        <v>761930</v>
      </c>
      <c r="V13" s="18">
        <f>IFERROR(U13/D13/$F13*1000,0)</f>
        <v>175.27720266850702</v>
      </c>
      <c r="W13" s="18">
        <f>IFERROR(V13/S13,0)</f>
        <v>1.6395887309880612</v>
      </c>
      <c r="X13" s="18">
        <f>IFERROR(SUMPRODUCT(R12:R12,X12:X12)/R13,0)</f>
        <v>295.35718384339998</v>
      </c>
      <c r="Y13" s="18">
        <f>IFERROR(($F13*S13)/($F13*K13)*100,0)</f>
        <v>143.41157518562636</v>
      </c>
      <c r="Z13" s="18">
        <f>IFERROR(Y13*X13/1000,0)</f>
        <v>42.357638977372623</v>
      </c>
      <c r="AA13" s="16"/>
      <c r="AB13" s="20">
        <f>IFERROR(SUMPRODUCT($F12:$F12,AB12:AB12)/$F13,0)</f>
        <v>1.16729626989786</v>
      </c>
      <c r="AC13" s="18"/>
      <c r="AD13" s="20">
        <f>AVERAGE(AD12:AD12)</f>
        <v>0.16491377848520711</v>
      </c>
      <c r="AE13" s="18"/>
      <c r="AF13" s="18"/>
      <c r="AG13" s="16">
        <f>SUM(AG12:AG12)</f>
        <v>15436</v>
      </c>
      <c r="AH13" s="16">
        <f>SUM(AH12:AH12)</f>
        <v>549</v>
      </c>
      <c r="AI13" s="16">
        <f>IFERROR(SUMPRODUCT(AH12:AH12,AI12:AI12)/AH13, 0)</f>
        <v>11.038251366100001</v>
      </c>
      <c r="AJ13" s="18">
        <f>AVERAGE(AJ12:AJ12)</f>
        <v>2.4705882353000002</v>
      </c>
      <c r="AK13" s="18">
        <f>AVERAGE(AK12:AK12)</f>
        <v>2.2352941177000001</v>
      </c>
      <c r="AL13" s="18">
        <f>AVERAGE(AL12:AL12)</f>
        <v>0</v>
      </c>
      <c r="AM13" s="18">
        <f>AVERAGE(AM12:AM12)</f>
        <v>0</v>
      </c>
      <c r="AN13" s="18">
        <f>AVERAGE(AN12:AN12)</f>
        <v>0</v>
      </c>
      <c r="AO13" s="19"/>
      <c r="AP13" s="18"/>
      <c r="AQ13" s="16"/>
      <c r="AR13" s="16"/>
      <c r="AS13" s="16"/>
      <c r="AT13" s="16"/>
      <c r="AU13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202542</vt:lpstr>
      <vt:lpstr>Resumen 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Gonzalez</dc:creator>
  <cp:lastModifiedBy>Jessica Gonzalez</cp:lastModifiedBy>
  <dcterms:created xsi:type="dcterms:W3CDTF">2025-10-20T15:50:19Z</dcterms:created>
  <dcterms:modified xsi:type="dcterms:W3CDTF">2025-10-20T15:55:06Z</dcterms:modified>
</cp:coreProperties>
</file>